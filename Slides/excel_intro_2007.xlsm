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embeddings/oleObject8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6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xl/embeddings/oleObject9.bin" ContentType="application/vnd.openxmlformats-officedocument.oleObject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Default Extension="png" ContentType="image/png"/>
  <Override PartName="/xl/embeddings/oleObject7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charts/chart5.xml" ContentType="application/vnd.openxmlformats-officedocument.drawingml.chart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embeddings/oleObject3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/>
  <bookViews>
    <workbookView xWindow="-15" yWindow="-15" windowWidth="7530" windowHeight="4785" firstSheet="6" activeTab="9"/>
  </bookViews>
  <sheets>
    <sheet name="Sheet.m" sheetId="1" state="veryHidden" r:id=""/>
    <sheet name="Table of Contents" sheetId="3" r:id="rId1"/>
    <sheet name="Very Basics" sheetId="4" r:id="rId2"/>
    <sheet name="Navigating" sheetId="4909" r:id="rId3"/>
    <sheet name="Copy &amp; Paste" sheetId="4910" r:id="rId4"/>
    <sheet name="Formatting cells" sheetId="8" r:id="rId5"/>
    <sheet name="Formula" sheetId="6" r:id="rId6"/>
    <sheet name="Build-In Functions" sheetId="7" r:id="rId7"/>
    <sheet name="Build-In Functions (Time Value)" sheetId="4913" r:id="rId8"/>
    <sheet name="Build-In Functions (Stat)" sheetId="4914" r:id="rId9"/>
    <sheet name="Rand" sheetId="4915" r:id="rId10"/>
    <sheet name="Security (Price Model)" sheetId="2819" r:id="rId11"/>
    <sheet name="Data Table" sheetId="44" r:id="rId12"/>
    <sheet name="Pivot Table" sheetId="4923" r:id="rId13"/>
    <sheet name="Solver" sheetId="4924" r:id="rId14"/>
    <sheet name="Misc" sheetId="100" r:id="rId15"/>
    <sheet name="Normal Variates" sheetId="4922" r:id="rId16"/>
    <sheet name="Monte Carlo" sheetId="4921" r:id="rId17"/>
    <sheet name="BS" sheetId="4919" r:id="rId18"/>
  </sheets>
  <externalReferences>
    <externalReference r:id="rId19"/>
    <externalReference r:id="rId20"/>
    <externalReference r:id="rId21"/>
  </externalReferences>
  <definedNames>
    <definedName name="_1_">Navigating!$A$14</definedName>
    <definedName name="_2_">Navigating!$D$14</definedName>
    <definedName name="_3_">Navigating!$G$14</definedName>
    <definedName name="_4_">Navigating!$G$17</definedName>
    <definedName name="_5_">Navigating!$A$17</definedName>
    <definedName name="_6_">Navigating!$A$20</definedName>
    <definedName name="_xlnm._FilterDatabase" localSheetId="15" hidden="1">Misc!$A$6:$D$24</definedName>
    <definedName name="BS_d1">BS!$E$22</definedName>
    <definedName name="BS_d2">BS!$E$23</definedName>
    <definedName name="BS_Dividend">BS!$E$12</definedName>
    <definedName name="BS_DividendCC">BS!$E$21</definedName>
    <definedName name="BS_Interest">BS!$E$10</definedName>
    <definedName name="BS_InterestCC">BS!$E$20</definedName>
    <definedName name="BS_Maturity">BS!$E$9</definedName>
    <definedName name="BS_MaturityY">BS!$E$19</definedName>
    <definedName name="BS_Spot">BS!$E$7</definedName>
    <definedName name="BS_Strike">BS!$E$8</definedName>
    <definedName name="BS_Volatility">BS!$E$11</definedName>
    <definedName name="ComRate" localSheetId="13">[1]Lookup!$F$5:$G$7</definedName>
    <definedName name="ComRate" localSheetId="14">[1]Lookup!$F$5:$G$7</definedName>
    <definedName name="ComRate">[2]Lookup!$F$5:$G$7</definedName>
    <definedName name="Coupon">#REF!</definedName>
    <definedName name="Data_Table" localSheetId="7">'Build-In Functions'!#REF!</definedName>
    <definedName name="Data_Table" localSheetId="8">'Build-In Functions (Time Value)'!#REF!</definedName>
    <definedName name="Dept." localSheetId="7">'Build-In Functions'!#REF!</definedName>
    <definedName name="Dept." localSheetId="8">'Build-In Functions (Time Value)'!#REF!</definedName>
    <definedName name="Go_To_This_Cell">Navigating!$D$7</definedName>
    <definedName name="Index">#REF!</definedName>
    <definedName name="Interest_At_Maturity">Formula!$B$75</definedName>
    <definedName name="invA" localSheetId="13">[1]MatDef!$I$17:$K$19</definedName>
    <definedName name="invA" localSheetId="14">[1]MatDef!$I$17:$K$19</definedName>
    <definedName name="invA">[2]MatDef!$I$17:$K$19</definedName>
    <definedName name="MC_Dividend">'Monte Carlo'!$E$8</definedName>
    <definedName name="MC_DividendCC">'Monte Carlo'!$E$21</definedName>
    <definedName name="MC_Interest">'Monte Carlo'!$E$7</definedName>
    <definedName name="MC_InterestCC">'Monte Carlo'!$E$20</definedName>
    <definedName name="MC_NumOfSteps">'Monte Carlo'!$E$14</definedName>
    <definedName name="MC_Spot">'Monte Carlo'!$E$6</definedName>
    <definedName name="MC_Step">'Monte Carlo'!$E$13</definedName>
    <definedName name="MC_StepY">'Monte Carlo'!$E$19</definedName>
    <definedName name="MC_Volatility">'Monte Carlo'!$E$9</definedName>
    <definedName name="Name" localSheetId="7">'Build-In Functions'!#REF!</definedName>
    <definedName name="Name" localSheetId="8">'Build-In Functions (Time Value)'!#REF!</definedName>
    <definedName name="One_Month_Fixed">Formula!$A$70:$B$74</definedName>
    <definedName name="Period" localSheetId="13">[3]Formula!#REF!</definedName>
    <definedName name="Period" localSheetId="14">[3]Formula!#REF!</definedName>
    <definedName name="Period">Formula!#REF!</definedName>
    <definedName name="Qty_Sold" localSheetId="7">'Build-In Functions'!#REF!</definedName>
    <definedName name="Qty_Sold" localSheetId="8">'Build-In Functions (Time Value)'!#REF!</definedName>
    <definedName name="regoutput" localSheetId="13">[1]Beta!$E$8:$M$28</definedName>
    <definedName name="regoutput" localSheetId="14">[1]Beta!$E$8:$M$28</definedName>
    <definedName name="regoutput">[2]Beta!$E$8:$M$28</definedName>
    <definedName name="Salary" localSheetId="7">'Build-In Functions'!#REF!</definedName>
    <definedName name="Salary" localSheetId="8">'Build-In Functions (Time Value)'!#REF!</definedName>
    <definedName name="Sample_text" localSheetId="7">'Build-In Functions'!#REF!</definedName>
    <definedName name="Sample_text" localSheetId="8">'Build-In Functions (Time Value)'!#REF!</definedName>
    <definedName name="ShareA">#REF!</definedName>
    <definedName name="solver_adj" localSheetId="14" hidden="1">Solver!$B$19</definedName>
    <definedName name="solver_cvg" localSheetId="14" hidden="1">0.0001</definedName>
    <definedName name="solver_drv" localSheetId="14" hidden="1">1</definedName>
    <definedName name="solver_est" localSheetId="14" hidden="1">1</definedName>
    <definedName name="solver_itr" localSheetId="14" hidden="1">100</definedName>
    <definedName name="solver_lhs1" localSheetId="14" hidden="1">Solver!$B$19</definedName>
    <definedName name="solver_lhs2" localSheetId="14" hidden="1">Solver!$B$19</definedName>
    <definedName name="solver_lin" localSheetId="14" hidden="1">2</definedName>
    <definedName name="solver_neg" localSheetId="14" hidden="1">2</definedName>
    <definedName name="solver_num" localSheetId="14" hidden="1">2</definedName>
    <definedName name="solver_nwt" localSheetId="14" hidden="1">1</definedName>
    <definedName name="solver_opt" localSheetId="14" hidden="1">Solver!$B$15</definedName>
    <definedName name="solver_pre" localSheetId="14" hidden="1">0.000001</definedName>
    <definedName name="solver_rel1" localSheetId="14" hidden="1">1</definedName>
    <definedName name="solver_rel2" localSheetId="14" hidden="1">3</definedName>
    <definedName name="solver_rhs1" localSheetId="14" hidden="1">Solver!$B$24</definedName>
    <definedName name="solver_rhs2" localSheetId="14" hidden="1">Solver!$B$23</definedName>
    <definedName name="solver_scl" localSheetId="14" hidden="1">2</definedName>
    <definedName name="solver_sho" localSheetId="14" hidden="1">2</definedName>
    <definedName name="solver_tim" localSheetId="14" hidden="1">100</definedName>
    <definedName name="solver_tol" localSheetId="14" hidden="1">0.05</definedName>
    <definedName name="solver_typ" localSheetId="14" hidden="1">2</definedName>
    <definedName name="solver_val" localSheetId="14" hidden="1">0</definedName>
    <definedName name="testrange">Formula!A$112</definedName>
    <definedName name="Y" localSheetId="13">[1]MatDef!$C$21:$C$23</definedName>
    <definedName name="Y" localSheetId="14">[1]MatDef!$C$21:$C$23</definedName>
    <definedName name="Y">[2]MatDef!$C$21:$C$23</definedName>
  </definedNames>
  <calcPr calcId="124519"/>
  <pivotCaches>
    <pivotCache cacheId="0" r:id="rId22"/>
  </pivotCaches>
</workbook>
</file>

<file path=xl/calcChain.xml><?xml version="1.0" encoding="utf-8"?>
<calcChain xmlns="http://schemas.openxmlformats.org/spreadsheetml/2006/main">
  <c r="L15" i="4915"/>
  <c r="J11" i="4924"/>
  <c r="J10"/>
  <c r="B15"/>
  <c r="A155" i="7" a="1"/>
  <c r="A155"/>
  <c r="B155"/>
  <c r="A156"/>
  <c r="B156"/>
  <c r="A149" a="1"/>
  <c r="A149"/>
  <c r="B149"/>
  <c r="A150"/>
  <c r="B150"/>
  <c r="A144" a="1"/>
  <c r="A144"/>
  <c r="B144"/>
  <c r="D84"/>
  <c r="G36"/>
  <c r="G37"/>
  <c r="F23" i="4922"/>
  <c r="F22"/>
  <c r="B30" i="4921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G11" i="2819"/>
  <c r="G12"/>
  <c r="G13"/>
  <c r="G14"/>
  <c r="G15"/>
  <c r="G16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D8" i="44"/>
  <c r="C12"/>
  <c r="C13"/>
  <c r="C18"/>
  <c r="D18"/>
  <c r="I18"/>
  <c r="B32"/>
  <c r="G17" i="2819"/>
  <c r="G18"/>
  <c r="G19"/>
  <c r="G20"/>
  <c r="H21"/>
  <c r="A31" i="4915"/>
  <c r="A32"/>
  <c r="A33"/>
  <c r="A34"/>
  <c r="A35"/>
  <c r="A36"/>
  <c r="A37"/>
  <c r="A38"/>
  <c r="A39"/>
  <c r="A4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4" i="4914"/>
  <c r="F16"/>
  <c r="F17"/>
  <c r="F18"/>
  <c r="F19"/>
  <c r="F20"/>
  <c r="F21"/>
  <c r="F22"/>
  <c r="F23"/>
  <c r="F24"/>
  <c r="F25"/>
  <c r="F31"/>
  <c r="F32"/>
  <c r="F33"/>
  <c r="B44"/>
  <c r="C44"/>
  <c r="D44"/>
  <c r="A45"/>
  <c r="B45"/>
  <c r="C45"/>
  <c r="D45"/>
  <c r="A46"/>
  <c r="B46"/>
  <c r="C46"/>
  <c r="D46"/>
  <c r="A47"/>
  <c r="B47"/>
  <c r="C47"/>
  <c r="D47"/>
  <c r="A48"/>
  <c r="B48"/>
  <c r="C48"/>
  <c r="D48"/>
  <c r="A49"/>
  <c r="B49"/>
  <c r="C49"/>
  <c r="D49"/>
  <c r="A50"/>
  <c r="B50"/>
  <c r="C50"/>
  <c r="D50"/>
  <c r="A51"/>
  <c r="B51"/>
  <c r="C51"/>
  <c r="D51"/>
  <c r="A52"/>
  <c r="B52"/>
  <c r="C52"/>
  <c r="D52"/>
  <c r="A53"/>
  <c r="B53"/>
  <c r="C53"/>
  <c r="D53"/>
  <c r="A54"/>
  <c r="B54"/>
  <c r="C54"/>
  <c r="D54"/>
  <c r="A55"/>
  <c r="B55"/>
  <c r="C55"/>
  <c r="D55"/>
  <c r="A56"/>
  <c r="B56"/>
  <c r="C56"/>
  <c r="D56"/>
  <c r="A57"/>
  <c r="B57"/>
  <c r="C57"/>
  <c r="D57"/>
  <c r="A58"/>
  <c r="B58"/>
  <c r="C58"/>
  <c r="D58"/>
  <c r="A59"/>
  <c r="B59"/>
  <c r="C59"/>
  <c r="D59"/>
  <c r="A60"/>
  <c r="B60"/>
  <c r="C60"/>
  <c r="D60"/>
  <c r="B13" i="4913"/>
  <c r="C13"/>
  <c r="D13" s="1"/>
  <c r="E13" s="1"/>
  <c r="F13" s="1"/>
  <c r="G13" s="1"/>
  <c r="H13" s="1"/>
  <c r="B21"/>
  <c r="C21"/>
  <c r="D21" s="1"/>
  <c r="E21" s="1"/>
  <c r="F21" s="1"/>
  <c r="G21" s="1"/>
  <c r="H21" s="1"/>
  <c r="B29"/>
  <c r="C29"/>
  <c r="D29" s="1"/>
  <c r="E29" s="1"/>
  <c r="F29" s="1"/>
  <c r="G29" s="1"/>
  <c r="H29" s="1"/>
  <c r="D30"/>
  <c r="B37"/>
  <c r="C37"/>
  <c r="D37" s="1"/>
  <c r="E37" s="1"/>
  <c r="F37" s="1"/>
  <c r="G37" s="1"/>
  <c r="H37" s="1"/>
  <c r="B45"/>
  <c r="C45"/>
  <c r="D45" s="1"/>
  <c r="E45" s="1"/>
  <c r="F45" s="1"/>
  <c r="G45" s="1"/>
  <c r="H45" s="1"/>
  <c r="B58"/>
  <c r="C58"/>
  <c r="D58" s="1"/>
  <c r="E58" s="1"/>
  <c r="F58" s="1"/>
  <c r="G58" s="1"/>
  <c r="H58" s="1"/>
  <c r="B66"/>
  <c r="C66"/>
  <c r="D66" s="1"/>
  <c r="E66" s="1"/>
  <c r="F66" s="1"/>
  <c r="G66" s="1"/>
  <c r="H66" s="1"/>
  <c r="G4" i="7"/>
  <c r="G5"/>
  <c r="G6"/>
  <c r="G7"/>
  <c r="G8"/>
  <c r="G9"/>
  <c r="G10"/>
  <c r="G11"/>
  <c r="G12"/>
  <c r="G13"/>
  <c r="G14"/>
  <c r="G15"/>
  <c r="G16"/>
  <c r="G17"/>
  <c r="G18"/>
  <c r="G19"/>
  <c r="G20"/>
  <c r="G24"/>
  <c r="G25"/>
  <c r="G26"/>
  <c r="G27"/>
  <c r="G28"/>
  <c r="G29"/>
  <c r="G30"/>
  <c r="G31"/>
  <c r="G32"/>
  <c r="G33"/>
  <c r="G34"/>
  <c r="G35"/>
  <c r="G41"/>
  <c r="H41"/>
  <c r="G42"/>
  <c r="H42"/>
  <c r="G43"/>
  <c r="G44"/>
  <c r="G45"/>
  <c r="G46"/>
  <c r="G47"/>
  <c r="G48"/>
  <c r="G49"/>
  <c r="G50"/>
  <c r="G51"/>
  <c r="G52"/>
  <c r="G53"/>
  <c r="G66"/>
  <c r="C74"/>
  <c r="G88"/>
  <c r="G92"/>
  <c r="D103"/>
  <c r="E114"/>
  <c r="E13" i="6"/>
  <c r="B70"/>
  <c r="B71" s="1"/>
  <c r="C9" i="8"/>
  <c r="D9"/>
  <c r="E9"/>
  <c r="F9"/>
  <c r="G9"/>
  <c r="H9"/>
  <c r="C10"/>
  <c r="D10"/>
  <c r="E10"/>
  <c r="F10"/>
  <c r="G10"/>
  <c r="H10"/>
  <c r="C11"/>
  <c r="D11"/>
  <c r="E11"/>
  <c r="F11"/>
  <c r="G11"/>
  <c r="H11"/>
  <c r="C12"/>
  <c r="D12"/>
  <c r="E12"/>
  <c r="F12"/>
  <c r="G12"/>
  <c r="H12"/>
  <c r="C32"/>
  <c r="D32"/>
  <c r="E32"/>
  <c r="F32"/>
  <c r="C33"/>
  <c r="D33"/>
  <c r="E33"/>
  <c r="F33"/>
  <c r="C34"/>
  <c r="D34"/>
  <c r="E34"/>
  <c r="F34"/>
  <c r="C42"/>
  <c r="D42"/>
  <c r="F42"/>
  <c r="H42"/>
  <c r="C4" i="4914"/>
  <c r="C17"/>
  <c r="A19"/>
  <c r="A21"/>
  <c r="A23"/>
  <c r="A25"/>
  <c r="C32"/>
  <c r="A13" i="4913"/>
  <c r="A29"/>
  <c r="A45"/>
  <c r="A66"/>
  <c r="C5" i="7"/>
  <c r="C7"/>
  <c r="C11"/>
  <c r="C15"/>
  <c r="C19"/>
  <c r="C26"/>
  <c r="C30"/>
  <c r="C34"/>
  <c r="C41"/>
  <c r="C45"/>
  <c r="C49"/>
  <c r="C53"/>
  <c r="C16" i="4914"/>
  <c r="C18"/>
  <c r="C20"/>
  <c r="C22"/>
  <c r="C24"/>
  <c r="C31"/>
  <c r="A33"/>
  <c r="A21" i="4913"/>
  <c r="A37"/>
  <c r="A58"/>
  <c r="C4" i="7"/>
  <c r="C6"/>
  <c r="C8"/>
  <c r="C10"/>
  <c r="C12"/>
  <c r="C14"/>
  <c r="C16"/>
  <c r="C18"/>
  <c r="C20"/>
  <c r="C25"/>
  <c r="C27"/>
  <c r="C29"/>
  <c r="C31"/>
  <c r="C33"/>
  <c r="C35"/>
  <c r="C37"/>
  <c r="C42"/>
  <c r="C44"/>
  <c r="C46"/>
  <c r="C48"/>
  <c r="C50"/>
  <c r="C52"/>
  <c r="C66"/>
  <c r="C92"/>
  <c r="A114"/>
  <c r="C9"/>
  <c r="C13"/>
  <c r="C17"/>
  <c r="C24"/>
  <c r="C28"/>
  <c r="C32"/>
  <c r="C36"/>
  <c r="C43"/>
  <c r="C47"/>
  <c r="C51"/>
  <c r="C88"/>
  <c r="A103"/>
  <c r="B5" i="4915" l="1" a="1"/>
  <c r="B5" s="1"/>
  <c r="G5" a="1"/>
  <c r="G5" s="1"/>
  <c r="B11"/>
  <c r="B7"/>
  <c r="B6" l="1"/>
  <c r="B9"/>
  <c r="B13"/>
  <c r="B14"/>
  <c r="B8"/>
  <c r="B10"/>
  <c r="B12"/>
  <c r="G14"/>
  <c r="G10"/>
  <c r="G6"/>
  <c r="G11"/>
  <c r="G7"/>
  <c r="G12"/>
  <c r="G8"/>
  <c r="G13"/>
  <c r="G9"/>
  <c r="G15" l="1"/>
  <c r="B15"/>
</calcChain>
</file>

<file path=xl/comments1.xml><?xml version="1.0" encoding="utf-8"?>
<comments xmlns="http://schemas.openxmlformats.org/spreadsheetml/2006/main">
  <authors>
    <author>CD Shum</author>
  </authors>
  <commentList>
    <comment ref="E9" authorId="0">
      <text>
        <r>
          <rPr>
            <b/>
            <sz val="8"/>
            <color indexed="81"/>
            <rFont val="Tahoma"/>
            <family val="2"/>
          </rPr>
          <t>Note space after number for "-" alignment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Note space before "$" for "-" alignment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Note space after "K" for ")" alignment</t>
        </r>
      </text>
    </comment>
  </commentList>
</comments>
</file>

<file path=xl/comments2.xml><?xml version="1.0" encoding="utf-8"?>
<comments xmlns="http://schemas.openxmlformats.org/spreadsheetml/2006/main">
  <authors>
    <author>Office-Main</author>
  </authors>
  <commentList>
    <comment ref="H41" authorId="0">
      <text>
        <r>
          <rPr>
            <b/>
            <sz val="8"/>
            <color indexed="81"/>
            <rFont val="Tahoma"/>
            <family val="2"/>
          </rPr>
          <t>underlying number representation of date</t>
        </r>
      </text>
    </comment>
    <comment ref="H42" authorId="0">
      <text>
        <r>
          <rPr>
            <b/>
            <sz val="8"/>
            <color indexed="81"/>
            <rFont val="Tahoma"/>
            <family val="2"/>
          </rPr>
          <t>underlying number representation of time</t>
        </r>
      </text>
    </comment>
    <comment ref="G53" authorId="0">
      <text>
        <r>
          <rPr>
            <b/>
            <sz val="8"/>
            <color indexed="81"/>
            <rFont val="Tahoma"/>
            <family val="2"/>
          </rPr>
          <t>1: Sunday
...
7: Saturday</t>
        </r>
      </text>
    </comment>
  </commentList>
</comments>
</file>

<file path=xl/sharedStrings.xml><?xml version="1.0" encoding="utf-8"?>
<sst xmlns="http://schemas.openxmlformats.org/spreadsheetml/2006/main" count="660" uniqueCount="529">
  <si>
    <t>Interest (Annual)</t>
  </si>
  <si>
    <t>Dividend (Annual)</t>
  </si>
  <si>
    <t>Volatility (Annual)</t>
  </si>
  <si>
    <t>Asset Input</t>
  </si>
  <si>
    <t>Simulation</t>
  </si>
  <si>
    <t>Step</t>
  </si>
  <si>
    <t>Number of Steps</t>
  </si>
  <si>
    <t>Asset Price Model</t>
  </si>
  <si>
    <t>Assume 100 maximum</t>
  </si>
  <si>
    <t>Interest (Continuous Compounding)</t>
  </si>
  <si>
    <t>Step (Year)</t>
  </si>
  <si>
    <t>Step (Day)</t>
  </si>
  <si>
    <t>NORMINV(x, mean, standard_dev, cumulative)</t>
  </si>
  <si>
    <t>Build-In Functions (Statistics)</t>
  </si>
  <si>
    <t>Contents</t>
  </si>
  <si>
    <t>Using keyboards to activate the menu</t>
  </si>
  <si>
    <t>Name</t>
  </si>
  <si>
    <t>Salary</t>
  </si>
  <si>
    <t>Dept.</t>
  </si>
  <si>
    <t>Qty Sold</t>
  </si>
  <si>
    <t>Andrew Fuller</t>
  </si>
  <si>
    <t>Michael Suyama</t>
  </si>
  <si>
    <t>Janice Leverling</t>
  </si>
  <si>
    <t>Linda Callahan</t>
  </si>
  <si>
    <t>Johnathan King</t>
  </si>
  <si>
    <t>Start Date</t>
  </si>
  <si>
    <t>Julia Callahan</t>
  </si>
  <si>
    <t>Susan King</t>
  </si>
  <si>
    <t>Karen Carpenter</t>
  </si>
  <si>
    <t>Andy Baker</t>
  </si>
  <si>
    <t>Charlie Brown</t>
  </si>
  <si>
    <t>Micky Mouse</t>
  </si>
  <si>
    <t>Donald Duck</t>
  </si>
  <si>
    <t>Tom Wong</t>
  </si>
  <si>
    <t>Mark Chan</t>
  </si>
  <si>
    <t>Summary Statistics:</t>
  </si>
  <si>
    <t>Returns</t>
  </si>
  <si>
    <t>Ln Returns</t>
  </si>
  <si>
    <t>Frequency Distribution:</t>
  </si>
  <si>
    <t>Mean</t>
  </si>
  <si>
    <t>interval</t>
  </si>
  <si>
    <t>freq</t>
  </si>
  <si>
    <t>%freq</t>
  </si>
  <si>
    <t>%cum freq</t>
  </si>
  <si>
    <t>St Dev</t>
  </si>
  <si>
    <t>Max</t>
  </si>
  <si>
    <t>Min</t>
  </si>
  <si>
    <t>Month</t>
  </si>
  <si>
    <t>Total</t>
  </si>
  <si>
    <t>DATA</t>
    <phoneticPr fontId="20" type="noConversion"/>
  </si>
  <si>
    <t>Returns</t>
    <phoneticPr fontId="20" type="noConversion"/>
  </si>
  <si>
    <t>Ln Return</t>
    <phoneticPr fontId="20" type="noConversion"/>
  </si>
  <si>
    <t>Normal Distribution</t>
    <phoneticPr fontId="21" type="noConversion"/>
  </si>
  <si>
    <t>Inverse normal</t>
    <phoneticPr fontId="20" type="noConversion"/>
  </si>
  <si>
    <t>Continuous Compounding</t>
  </si>
  <si>
    <t>Compound factor t yrs</t>
  </si>
  <si>
    <t>Enter formula(s) for output</t>
  </si>
  <si>
    <t>discount</t>
  </si>
  <si>
    <t xml:space="preserve">Rate = </t>
  </si>
  <si>
    <t>interest rate r</t>
  </si>
  <si>
    <t>Excel Introduction</t>
  </si>
  <si>
    <t>Online Help</t>
  </si>
  <si>
    <t>Place the mouse pointer on any toolbar button and wait a couple seconds.</t>
  </si>
  <si>
    <t>Navigating</t>
  </si>
  <si>
    <r>
      <t>2) Ctrl + Right Arrow</t>
    </r>
    <r>
      <rPr>
        <b/>
        <sz val="10"/>
        <rFont val="Arial"/>
        <family val="2"/>
      </rPr>
      <t xml:space="preserve"> to get here</t>
    </r>
  </si>
  <si>
    <r>
      <t>3) Ctrl + Right Arrow</t>
    </r>
    <r>
      <rPr>
        <b/>
        <sz val="10"/>
        <rFont val="Arial"/>
        <family val="2"/>
      </rPr>
      <t xml:space="preserve"> to get here</t>
    </r>
  </si>
  <si>
    <r>
      <t>4) Ctrl + Down Arrow</t>
    </r>
    <r>
      <rPr>
        <b/>
        <sz val="10"/>
        <rFont val="Arial"/>
        <family val="2"/>
      </rPr>
      <t xml:space="preserve"> to get here</t>
    </r>
  </si>
  <si>
    <r>
      <t>5) Ctrl + Left Arrow</t>
    </r>
    <r>
      <rPr>
        <b/>
        <sz val="10"/>
        <rFont val="Arial"/>
        <family val="2"/>
      </rPr>
      <t xml:space="preserve"> to get here</t>
    </r>
  </si>
  <si>
    <t>Ctrl + Arrows</t>
  </si>
  <si>
    <t>top and leftmost</t>
  </si>
  <si>
    <t>bottom and rightmost</t>
  </si>
  <si>
    <t>copy to here</t>
  </si>
  <si>
    <r>
      <t>1)</t>
    </r>
    <r>
      <rPr>
        <b/>
        <sz val="10"/>
        <rFont val="Arial"/>
        <family val="2"/>
      </rPr>
      <t xml:space="preserve"> Start Here</t>
    </r>
  </si>
  <si>
    <t>Jump To a Particular Cell</t>
  </si>
  <si>
    <t>Go To This Cell</t>
  </si>
  <si>
    <r>
      <t>6) Ctrl + Down Arrow</t>
    </r>
    <r>
      <rPr>
        <b/>
        <sz val="10"/>
        <rFont val="Arial"/>
        <family val="2"/>
      </rPr>
      <t xml:space="preserve"> to get here</t>
    </r>
    <r>
      <rPr>
        <b/>
        <sz val="10"/>
        <rFont val="Arial"/>
        <family val="2"/>
      </rPr>
      <t xml:space="preserve">  </t>
    </r>
  </si>
  <si>
    <r>
      <t xml:space="preserve">    Ctrl + Right Arrow </t>
    </r>
    <r>
      <rPr>
        <b/>
        <sz val="10"/>
        <rFont val="Arial"/>
        <family val="2"/>
      </rPr>
      <t>to rightmost cell</t>
    </r>
  </si>
  <si>
    <r>
      <t xml:space="preserve">    Press Home or Ctrl + Right Arrow </t>
    </r>
    <r>
      <rPr>
        <b/>
        <sz val="10"/>
        <rFont val="Arial"/>
        <family val="2"/>
      </rPr>
      <t>to come back to 6</t>
    </r>
  </si>
  <si>
    <r>
      <t xml:space="preserve">1. Activate cell marked "top and leftmost".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>Ctrl + V</t>
    </r>
    <r>
      <rPr>
        <sz val="12"/>
        <rFont val="Arial"/>
        <family val="2"/>
      </rPr>
      <t xml:space="preserve"> to paste.</t>
    </r>
  </si>
  <si>
    <t xml:space="preserve">    Note: all cells are empty to the right of 6</t>
  </si>
  <si>
    <r>
      <t>Ctrl + Home</t>
    </r>
    <r>
      <rPr>
        <b/>
        <sz val="12"/>
        <rFont val="Arial"/>
        <family val="2"/>
      </rPr>
      <t xml:space="preserve"> - Go to cell "A1"</t>
    </r>
  </si>
  <si>
    <r>
      <t>Ctrl + End</t>
    </r>
    <r>
      <rPr>
        <b/>
        <sz val="12"/>
        <rFont val="Arial"/>
        <family val="2"/>
      </rPr>
      <t xml:space="preserve"> - Go to "Bottom-most used row &amp; Rightmost used column"</t>
    </r>
  </si>
  <si>
    <r>
      <t>Home</t>
    </r>
    <r>
      <rPr>
        <b/>
        <sz val="12"/>
        <rFont val="Arial"/>
        <family val="2"/>
      </rPr>
      <t xml:space="preserve"> - Go to "Beginning of row"</t>
    </r>
  </si>
  <si>
    <r>
      <t>Page Up</t>
    </r>
    <r>
      <rPr>
        <b/>
        <sz val="12"/>
        <rFont val="Arial"/>
        <family val="2"/>
      </rPr>
      <t xml:space="preserve"> - Go up one page</t>
    </r>
  </si>
  <si>
    <r>
      <t>Page Down</t>
    </r>
    <r>
      <rPr>
        <b/>
        <sz val="12"/>
        <rFont val="Arial"/>
        <family val="2"/>
      </rPr>
      <t xml:space="preserve"> - Go down one page</t>
    </r>
  </si>
  <si>
    <r>
      <t>Alt + Page Up</t>
    </r>
    <r>
      <rPr>
        <b/>
        <sz val="12"/>
        <rFont val="Arial"/>
        <family val="2"/>
      </rPr>
      <t xml:space="preserve"> - Go left one page</t>
    </r>
  </si>
  <si>
    <r>
      <t>Alt + Page Down</t>
    </r>
    <r>
      <rPr>
        <b/>
        <sz val="12"/>
        <rFont val="Arial"/>
        <family val="2"/>
      </rPr>
      <t xml:space="preserve"> - Go right one page</t>
    </r>
  </si>
  <si>
    <r>
      <t>Ctrl + Page Up</t>
    </r>
    <r>
      <rPr>
        <b/>
        <sz val="12"/>
        <rFont val="Arial"/>
        <family val="2"/>
      </rPr>
      <t xml:space="preserve"> - Go to "left" worksheet</t>
    </r>
  </si>
  <si>
    <r>
      <t>Ctrl + Page Down</t>
    </r>
    <r>
      <rPr>
        <b/>
        <sz val="12"/>
        <rFont val="Arial"/>
        <family val="2"/>
      </rPr>
      <t xml:space="preserve"> - Go to "right" worksheet</t>
    </r>
  </si>
  <si>
    <t>Mon</t>
  </si>
  <si>
    <t>Tue</t>
  </si>
  <si>
    <t>Jan</t>
  </si>
  <si>
    <t>Feb</t>
  </si>
  <si>
    <t>Apr</t>
  </si>
  <si>
    <t xml:space="preserve">Auto Fill </t>
  </si>
  <si>
    <t>Copy and Paste + keyboard shortcuts</t>
  </si>
  <si>
    <t>Copy &amp; Paste</t>
  </si>
  <si>
    <t>Selecting a ranges of cells using keyboard shortcuts</t>
  </si>
  <si>
    <t>more</t>
  </si>
  <si>
    <t>bottom and leftmost</t>
  </si>
  <si>
    <t>top and rightmost</t>
  </si>
  <si>
    <r>
      <t xml:space="preserve">1. Activate cell marked "top and leftmost".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 until cell marked "top and rightmost" is included.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 until cell market "bottom and rightmost" is include.</t>
    </r>
  </si>
  <si>
    <t>The Very Basics</t>
  </si>
  <si>
    <r>
      <t xml:space="preserve">To delete the content of a cell: go to the cell and press </t>
    </r>
    <r>
      <rPr>
        <sz val="12"/>
        <color indexed="56"/>
        <rFont val="Arial"/>
        <family val="2"/>
      </rPr>
      <t>Delete</t>
    </r>
    <r>
      <rPr>
        <sz val="12"/>
        <color indexed="8"/>
        <rFont val="Arial"/>
        <family val="2"/>
      </rPr>
      <t xml:space="preserve"> </t>
    </r>
  </si>
  <si>
    <r>
      <t xml:space="preserve">Go to the cell using the </t>
    </r>
    <r>
      <rPr>
        <sz val="12"/>
        <color indexed="56"/>
        <rFont val="Arial"/>
        <family val="2"/>
      </rPr>
      <t>arrow keys</t>
    </r>
    <r>
      <rPr>
        <sz val="12"/>
        <color indexed="8"/>
        <rFont val="Arial"/>
        <family val="2"/>
      </rPr>
      <t xml:space="preserve"> or mouse. Start typing and press </t>
    </r>
    <r>
      <rPr>
        <sz val="12"/>
        <color indexed="56"/>
        <rFont val="Arial"/>
        <family val="2"/>
      </rPr>
      <t xml:space="preserve">Enter </t>
    </r>
    <r>
      <rPr>
        <sz val="12"/>
        <rFont val="Arial"/>
        <family val="2"/>
      </rPr>
      <t>to commit</t>
    </r>
    <r>
      <rPr>
        <sz val="12"/>
        <color indexed="8"/>
        <rFont val="Arial"/>
        <family val="2"/>
      </rPr>
      <t xml:space="preserve">. </t>
    </r>
  </si>
  <si>
    <r>
      <t xml:space="preserve">Press 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 xml:space="preserve"> to commit the change. </t>
    </r>
  </si>
  <si>
    <t>Editing in cells</t>
  </si>
  <si>
    <r>
      <t xml:space="preserve">To edit the content of a cell: go to the cell and press </t>
    </r>
    <r>
      <rPr>
        <sz val="12"/>
        <color indexed="56"/>
        <rFont val="Arial"/>
        <family val="2"/>
      </rPr>
      <t xml:space="preserve">F2 </t>
    </r>
    <r>
      <rPr>
        <sz val="12"/>
        <rFont val="Arial"/>
        <family val="2"/>
      </rPr>
      <t xml:space="preserve">or double click the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>.</t>
    </r>
  </si>
  <si>
    <r>
      <t xml:space="preserve">2a. Fill in "D7" under </t>
    </r>
    <r>
      <rPr>
        <sz val="12"/>
        <color indexed="56"/>
        <rFont val="Arial"/>
        <family val="2"/>
      </rPr>
      <t xml:space="preserve">Reference </t>
    </r>
    <r>
      <rPr>
        <sz val="12"/>
        <rFont val="Arial"/>
        <family val="2"/>
      </rPr>
      <t xml:space="preserve">and press </t>
    </r>
    <r>
      <rPr>
        <sz val="12"/>
        <color indexed="56"/>
        <rFont val="Arial"/>
        <family val="2"/>
      </rPr>
      <t>Enter</t>
    </r>
  </si>
  <si>
    <r>
      <t xml:space="preserve">2b. Select named cell "Go To This Cell" and press </t>
    </r>
    <r>
      <rPr>
        <sz val="12"/>
        <color indexed="56"/>
        <rFont val="Arial"/>
        <family val="2"/>
      </rPr>
      <t>Enter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</si>
  <si>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Place </t>
    </r>
    <r>
      <rPr>
        <sz val="12"/>
        <color indexed="56"/>
        <rFont val="Arial"/>
        <family val="2"/>
      </rPr>
      <t>cursor</t>
    </r>
    <r>
      <rPr>
        <sz val="12"/>
        <rFont val="Arial"/>
        <family val="2"/>
      </rPr>
      <t xml:space="preserve"> to bottom right corner of selected region.
5. Press </t>
    </r>
    <r>
      <rPr>
        <sz val="12"/>
        <color indexed="56"/>
        <rFont val="Arial"/>
        <family val="2"/>
      </rPr>
      <t>left mouse button</t>
    </r>
    <r>
      <rPr>
        <sz val="12"/>
        <rFont val="Arial"/>
        <family val="2"/>
      </rPr>
      <t xml:space="preserve"> and drag right to fill (left to delete).</t>
    </r>
  </si>
  <si>
    <t>Mouse:</t>
  </si>
  <si>
    <t>Keyboard:</t>
  </si>
  <si>
    <r>
      <t xml:space="preserve">Press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 xml:space="preserve"> and drag to select a rectangular grid.</t>
    </r>
  </si>
  <si>
    <r>
      <t xml:space="preserve">To select multiple non-adjacent rectangular grid, press </t>
    </r>
    <r>
      <rPr>
        <sz val="12"/>
        <color indexed="56"/>
        <rFont val="Arial"/>
        <family val="2"/>
      </rPr>
      <t>Ctrl + left mouse button</t>
    </r>
    <r>
      <rPr>
        <sz val="12"/>
        <color indexed="8"/>
        <rFont val="Arial"/>
        <family val="2"/>
      </rPr>
      <t xml:space="preserve"> and drag.</t>
    </r>
  </si>
  <si>
    <r>
      <t xml:space="preserve">Press </t>
    </r>
    <r>
      <rPr>
        <sz val="12"/>
        <color indexed="56"/>
        <rFont val="Arial"/>
        <family val="2"/>
      </rPr>
      <t>Shift + Arrowkey</t>
    </r>
    <r>
      <rPr>
        <sz val="12"/>
        <color indexed="8"/>
        <rFont val="Arial"/>
        <family val="2"/>
      </rPr>
      <t xml:space="preserve"> or </t>
    </r>
    <r>
      <rPr>
        <sz val="12"/>
        <color indexed="56"/>
        <rFont val="Arial"/>
        <family val="2"/>
      </rPr>
      <t>Ctrl + Arrowkey</t>
    </r>
    <r>
      <rPr>
        <sz val="12"/>
        <color indexed="8"/>
        <rFont val="Arial"/>
        <family val="2"/>
      </rPr>
      <t>.</t>
    </r>
  </si>
  <si>
    <r>
      <t xml:space="preserve">To select multiple non-adjacent rectangular, press </t>
    </r>
    <r>
      <rPr>
        <sz val="12"/>
        <color indexed="56"/>
        <rFont val="Arial"/>
        <family val="2"/>
      </rPr>
      <t>Shift+ F8</t>
    </r>
    <r>
      <rPr>
        <sz val="12"/>
        <color indexed="8"/>
        <rFont val="Arial"/>
        <family val="2"/>
      </rPr>
      <t xml:space="preserve"> and then use arrow key to select another grade</t>
    </r>
  </si>
  <si>
    <t>Selecting more than one grid</t>
  </si>
  <si>
    <t>Copy and Paste + matrix transpose</t>
  </si>
  <si>
    <t>Copy and Paste + Formats / Values</t>
  </si>
  <si>
    <t>A</t>
  </si>
  <si>
    <t>B</t>
  </si>
  <si>
    <t>C</t>
  </si>
  <si>
    <t>x</t>
  </si>
  <si>
    <t>y</t>
  </si>
  <si>
    <t>z</t>
  </si>
  <si>
    <t>Move Here</t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</si>
  <si>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Place </t>
    </r>
    <r>
      <rPr>
        <sz val="12"/>
        <color indexed="56"/>
        <rFont val="Arial"/>
        <family val="2"/>
      </rPr>
      <t>cursor</t>
    </r>
    <r>
      <rPr>
        <sz val="12"/>
        <rFont val="Arial"/>
        <family val="2"/>
      </rPr>
      <t xml:space="preserve"> to the border selected region.
5. Press </t>
    </r>
    <r>
      <rPr>
        <sz val="12"/>
        <color indexed="56"/>
        <rFont val="Arial"/>
        <family val="2"/>
      </rPr>
      <t>left mouse button</t>
    </r>
    <r>
      <rPr>
        <sz val="12"/>
        <rFont val="Arial"/>
        <family val="2"/>
      </rPr>
      <t xml:space="preserve"> and drag to cell marked "Move Here".</t>
    </r>
  </si>
  <si>
    <t>Move grid to another position</t>
  </si>
  <si>
    <r>
      <t xml:space="preserve">Once in the cell, use </t>
    </r>
    <r>
      <rPr>
        <sz val="12"/>
        <color indexed="56"/>
        <rFont val="Arial"/>
        <family val="2"/>
      </rPr>
      <t xml:space="preserve">arrowkey </t>
    </r>
    <r>
      <rPr>
        <sz val="12"/>
        <rFont val="Arial"/>
        <family val="2"/>
      </rPr>
      <t xml:space="preserve">(character-by-character), </t>
    </r>
    <r>
      <rPr>
        <sz val="12"/>
        <color indexed="56"/>
        <rFont val="Arial"/>
        <family val="2"/>
      </rPr>
      <t xml:space="preserve">Ctrl + arrowkey </t>
    </r>
    <r>
      <rPr>
        <sz val="12"/>
        <rFont val="Arial"/>
        <family val="2"/>
      </rPr>
      <t xml:space="preserve">(word-by-word) </t>
    </r>
    <r>
      <rPr>
        <sz val="12"/>
        <color indexed="8"/>
        <rFont val="Arial"/>
        <family val="2"/>
      </rPr>
      <t>to move around the content.</t>
    </r>
  </si>
  <si>
    <r>
      <t xml:space="preserve">Use </t>
    </r>
    <r>
      <rPr>
        <sz val="12"/>
        <color indexed="56"/>
        <rFont val="Arial"/>
        <family val="2"/>
      </rPr>
      <t>delete</t>
    </r>
    <r>
      <rPr>
        <sz val="12"/>
        <color indexed="8"/>
        <rFont val="Arial"/>
        <family val="2"/>
      </rPr>
      <t xml:space="preserve"> (forwards) and </t>
    </r>
    <r>
      <rPr>
        <sz val="12"/>
        <color indexed="56"/>
        <rFont val="Arial"/>
        <family val="2"/>
      </rPr>
      <t xml:space="preserve">backspace </t>
    </r>
    <r>
      <rPr>
        <sz val="12"/>
        <rFont val="Arial"/>
        <family val="2"/>
      </rPr>
      <t xml:space="preserve">(backwards) </t>
    </r>
    <r>
      <rPr>
        <sz val="12"/>
        <color indexed="8"/>
        <rFont val="Arial"/>
        <family val="2"/>
      </rPr>
      <t>to edit the content.</t>
    </r>
  </si>
  <si>
    <r>
      <t xml:space="preserve">Press </t>
    </r>
    <r>
      <rPr>
        <sz val="12"/>
        <color indexed="56"/>
        <rFont val="Arial"/>
        <family val="2"/>
      </rPr>
      <t xml:space="preserve">Esc </t>
    </r>
    <r>
      <rPr>
        <sz val="12"/>
        <color indexed="8"/>
        <rFont val="Arial"/>
        <family val="2"/>
      </rPr>
      <t>to get out and leave the cell unchanged.</t>
    </r>
  </si>
  <si>
    <r>
      <t xml:space="preserve">Use </t>
    </r>
    <r>
      <rPr>
        <sz val="12"/>
        <color indexed="56"/>
        <rFont val="Arial"/>
        <family val="2"/>
      </rPr>
      <t>Ctrl + Z</t>
    </r>
    <r>
      <rPr>
        <sz val="12"/>
        <color indexed="8"/>
        <rFont val="Arial"/>
        <family val="2"/>
      </rPr>
      <t xml:space="preserve"> to undo the last change.</t>
    </r>
  </si>
  <si>
    <r>
      <t xml:space="preserve">Press </t>
    </r>
    <r>
      <rPr>
        <sz val="12"/>
        <color indexed="56"/>
        <rFont val="Arial"/>
        <family val="2"/>
      </rPr>
      <t>Alt</t>
    </r>
    <r>
      <rPr>
        <sz val="12"/>
        <rFont val="Arial"/>
        <family val="2"/>
      </rPr>
      <t xml:space="preserve"> (or </t>
    </r>
    <r>
      <rPr>
        <sz val="12"/>
        <color indexed="56"/>
        <rFont val="Arial"/>
        <family val="2"/>
      </rPr>
      <t>F10</t>
    </r>
    <r>
      <rPr>
        <sz val="12"/>
        <rFont val="Arial"/>
        <family val="2"/>
      </rPr>
      <t xml:space="preserve">) to activate menu. Press </t>
    </r>
    <r>
      <rPr>
        <sz val="12"/>
        <color indexed="56"/>
        <rFont val="Arial"/>
        <family val="2"/>
      </rPr>
      <t>Alt</t>
    </r>
    <r>
      <rPr>
        <sz val="12"/>
        <rFont val="Arial"/>
        <family val="2"/>
      </rPr>
      <t xml:space="preserve"> (or </t>
    </r>
    <r>
      <rPr>
        <sz val="12"/>
        <color indexed="56"/>
        <rFont val="Arial"/>
        <family val="2"/>
      </rPr>
      <t>F10</t>
    </r>
    <r>
      <rPr>
        <sz val="12"/>
        <rFont val="Arial"/>
        <family val="2"/>
      </rPr>
      <t xml:space="preserve">) again or </t>
    </r>
    <r>
      <rPr>
        <sz val="12"/>
        <color indexed="56"/>
        <rFont val="Arial"/>
        <family val="2"/>
      </rPr>
      <t>Esc</t>
    </r>
    <r>
      <rPr>
        <sz val="12"/>
        <rFont val="Arial"/>
        <family val="2"/>
      </rPr>
      <t xml:space="preserve"> to come back to the activated cell(s).</t>
    </r>
  </si>
  <si>
    <t>Formatting cells</t>
  </si>
  <si>
    <t>Examples:</t>
  </si>
  <si>
    <t>Decimal
Aligned</t>
  </si>
  <si>
    <t>0's Before &amp; 
After Decimal</t>
  </si>
  <si>
    <t>Insignificant 0's Suppressed
Red for -ve's</t>
  </si>
  <si>
    <t>000,000
Left Aligned $
Red for -ve's</t>
  </si>
  <si>
    <t>000
Red Bracketed
for -ve's</t>
  </si>
  <si>
    <t>Minus Sign
on the right
Red for -ve's</t>
  </si>
  <si>
    <t xml:space="preserve">                   Do not just copy and paste : )</t>
  </si>
  <si>
    <t>Exercise: Format the table below the same way as in the above example.</t>
  </si>
  <si>
    <t>Formatting Cells</t>
  </si>
  <si>
    <t>Decimal Places and Number Alignments</t>
  </si>
  <si>
    <t>Exercise:</t>
  </si>
  <si>
    <r>
      <t>#</t>
    </r>
    <r>
      <rPr>
        <sz val="12"/>
        <rFont val="Arial"/>
        <family val="2"/>
      </rPr>
      <t xml:space="preserve"> displays only significant digits and does not display insignificant zeros
</t>
    </r>
    <r>
      <rPr>
        <sz val="12"/>
        <color indexed="56"/>
        <rFont val="Arial"/>
        <family val="2"/>
      </rPr>
      <t>0</t>
    </r>
    <r>
      <rPr>
        <sz val="12"/>
        <rFont val="Arial"/>
        <family val="2"/>
      </rPr>
      <t xml:space="preserve"> (zero) displays insignificant zeros
</t>
    </r>
    <r>
      <rPr>
        <sz val="12"/>
        <color indexed="56"/>
        <rFont val="Arial"/>
        <family val="2"/>
      </rPr>
      <t>?</t>
    </r>
    <r>
      <rPr>
        <sz val="12"/>
        <rFont val="Arial"/>
        <family val="2"/>
      </rPr>
      <t xml:space="preserve"> adds spaces for insignificant zeros on either side of the decimal point
</t>
    </r>
    <r>
      <rPr>
        <sz val="12"/>
        <color indexed="56"/>
        <rFont val="Arial"/>
        <family val="2"/>
      </rPr>
      <t>_</t>
    </r>
    <r>
      <rPr>
        <sz val="12"/>
        <rFont val="Arial"/>
        <family val="2"/>
      </rPr>
      <t xml:space="preserve"> adds space equals the width of character following _
</t>
    </r>
    <r>
      <rPr>
        <sz val="12"/>
        <color indexed="56"/>
        <rFont val="Arial"/>
        <family val="2"/>
      </rPr>
      <t>*</t>
    </r>
    <r>
      <rPr>
        <sz val="12"/>
        <rFont val="Arial"/>
        <family val="2"/>
      </rPr>
      <t xml:space="preserve">  repeats the next character to fill the column width
</t>
    </r>
    <r>
      <rPr>
        <sz val="12"/>
        <color indexed="18"/>
        <rFont val="Arial"/>
        <family val="2"/>
      </rPr>
      <t>Get help (F1) on "number format codes".
Keyboard shortcut: Ctrl + 1 to access format cell</t>
    </r>
  </si>
  <si>
    <t>Date and Time</t>
  </si>
  <si>
    <t>m/d/yyyy</t>
  </si>
  <si>
    <t>d/m/yyyy</t>
  </si>
  <si>
    <t>yyyymmdd</t>
  </si>
  <si>
    <t>Today's Date</t>
  </si>
  <si>
    <t>Tomorrow's Date</t>
  </si>
  <si>
    <t>Day after Tomorrow</t>
  </si>
  <si>
    <t>General 
(Number)</t>
  </si>
  <si>
    <t>Time Now</t>
  </si>
  <si>
    <t>m/d/yyyy h:m</t>
  </si>
  <si>
    <t>d/m/yyyy h:mm</t>
  </si>
  <si>
    <t>yyyymmdd h:mm AM/PM</t>
  </si>
  <si>
    <t>Date &amp; Time
Format</t>
  </si>
  <si>
    <t>Date
Format</t>
  </si>
  <si>
    <t>Note: Excel stores dates as sequential serial numbers. "1" represents "1 January 1900".</t>
  </si>
  <si>
    <r>
      <t>m</t>
    </r>
    <r>
      <rPr>
        <sz val="12"/>
        <rFont val="Arial"/>
        <family val="2"/>
      </rPr>
      <t xml:space="preserve"> Months 1-12; </t>
    </r>
    <r>
      <rPr>
        <sz val="12"/>
        <color indexed="56"/>
        <rFont val="Arial"/>
        <family val="2"/>
      </rPr>
      <t>mm</t>
    </r>
    <r>
      <rPr>
        <sz val="12"/>
        <rFont val="Arial"/>
        <family val="2"/>
      </rPr>
      <t xml:space="preserve"> Months 01-12; </t>
    </r>
    <r>
      <rPr>
        <sz val="12"/>
        <color indexed="56"/>
        <rFont val="Arial"/>
        <family val="2"/>
      </rPr>
      <t>mmm</t>
    </r>
    <r>
      <rPr>
        <sz val="12"/>
        <rFont val="Arial"/>
        <family val="2"/>
      </rPr>
      <t xml:space="preserve"> Months Jan-Dec
</t>
    </r>
    <r>
      <rPr>
        <sz val="12"/>
        <color indexed="56"/>
        <rFont val="Arial"/>
        <family val="2"/>
      </rPr>
      <t xml:space="preserve">d </t>
    </r>
    <r>
      <rPr>
        <sz val="12"/>
        <rFont val="Arial"/>
        <family val="2"/>
      </rPr>
      <t xml:space="preserve">Days 1-31; </t>
    </r>
    <r>
      <rPr>
        <sz val="12"/>
        <color indexed="56"/>
        <rFont val="Arial"/>
        <family val="2"/>
      </rPr>
      <t>dd</t>
    </r>
    <r>
      <rPr>
        <sz val="12"/>
        <rFont val="Arial"/>
        <family val="2"/>
      </rPr>
      <t xml:space="preserve"> Days 00-31
</t>
    </r>
    <r>
      <rPr>
        <sz val="12"/>
        <color indexed="56"/>
        <rFont val="Arial"/>
        <family val="2"/>
      </rPr>
      <t>ddd</t>
    </r>
    <r>
      <rPr>
        <sz val="12"/>
        <rFont val="Arial"/>
        <family val="2"/>
      </rPr>
      <t xml:space="preserve"> Days Sun-Sat; </t>
    </r>
    <r>
      <rPr>
        <sz val="12"/>
        <color indexed="56"/>
        <rFont val="Arial"/>
        <family val="2"/>
      </rPr>
      <t>dddd</t>
    </r>
    <r>
      <rPr>
        <sz val="12"/>
        <rFont val="Arial"/>
        <family val="2"/>
      </rPr>
      <t xml:space="preserve"> Days Sunday-Saturday
</t>
    </r>
    <r>
      <rPr>
        <sz val="12"/>
        <color indexed="56"/>
        <rFont val="Arial"/>
        <family val="2"/>
      </rPr>
      <t>yy</t>
    </r>
    <r>
      <rPr>
        <sz val="12"/>
        <rFont val="Arial"/>
        <family val="2"/>
      </rPr>
      <t xml:space="preserve"> Years 00-99
</t>
    </r>
    <r>
      <rPr>
        <sz val="12"/>
        <color indexed="56"/>
        <rFont val="Arial"/>
        <family val="2"/>
      </rPr>
      <t xml:space="preserve">yyyy </t>
    </r>
    <r>
      <rPr>
        <sz val="12"/>
        <rFont val="Arial"/>
        <family val="2"/>
      </rPr>
      <t xml:space="preserve">Years 1900-9999
h Hours 0-23; hh Hours 00-23
m Minutes 0-59; mm Minutes 00-59
s Seconds 0-59; ss Seconds 00-59
h AM/PM Hours 4 AM
</t>
    </r>
    <r>
      <rPr>
        <sz val="12"/>
        <color indexed="18"/>
        <rFont val="Arial"/>
        <family val="2"/>
      </rPr>
      <t>Get help (F1) on "number format codes".
Keyboard shortcut: Ctrl + 1 to access format cell</t>
    </r>
  </si>
  <si>
    <t>Question: How does Excel store time?</t>
  </si>
  <si>
    <t>Text</t>
  </si>
  <si>
    <t>Days of the Week</t>
  </si>
  <si>
    <t>Sun</t>
  </si>
  <si>
    <t>Wed</t>
  </si>
  <si>
    <t>Thu</t>
  </si>
  <si>
    <t>Fri</t>
  </si>
  <si>
    <t>Sat</t>
  </si>
  <si>
    <t>Merge the cell marked "Days of the Week" with 6 adjacent cells on the right to form a header:</t>
  </si>
  <si>
    <t>Exercise - Enter multiple lines in a cell.</t>
  </si>
  <si>
    <t>Do exercise 'Enter multiple lines in a cell' here</t>
  </si>
  <si>
    <t>Go to the cell marked "Do exercise 'Enter multiple lines in a cell' here" using the arrow keys.</t>
  </si>
  <si>
    <t>Type:</t>
  </si>
  <si>
    <t>Note that you do not need to type "[" and "]"</t>
  </si>
  <si>
    <t>Exercise - Wrap text in a cell.</t>
  </si>
  <si>
    <t>Go to the cell marked "Do exercise 'Wrap text in a cell' here" using the arrow keys.</t>
  </si>
  <si>
    <t>Do exercise 'Wrap text in a cell' here</t>
  </si>
  <si>
    <t>Press F2. Press backspace to delete the line "Do exercise 'Wrap text in a cell' here".</t>
  </si>
  <si>
    <r>
      <t>Line one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Alt + Enter</t>
    </r>
    <r>
      <rPr>
        <b/>
        <sz val="12"/>
        <color indexed="17"/>
        <rFont val="Arial"/>
        <family val="2"/>
      </rPr>
      <t xml:space="preserve">]
</t>
    </r>
    <r>
      <rPr>
        <b/>
        <sz val="12"/>
        <color indexed="56"/>
        <rFont val="Arial"/>
        <family val="2"/>
      </rPr>
      <t>Line two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Alt + Enter</t>
    </r>
    <r>
      <rPr>
        <b/>
        <sz val="12"/>
        <color indexed="17"/>
        <rFont val="Arial"/>
        <family val="2"/>
      </rPr>
      <t xml:space="preserve">]
</t>
    </r>
    <r>
      <rPr>
        <b/>
        <sz val="12"/>
        <color indexed="56"/>
        <rFont val="Arial"/>
        <family val="2"/>
      </rPr>
      <t>Line three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Enter</t>
    </r>
    <r>
      <rPr>
        <b/>
        <sz val="12"/>
        <color indexed="17"/>
        <rFont val="Arial"/>
        <family val="2"/>
      </rPr>
      <t>]</t>
    </r>
  </si>
  <si>
    <r>
      <t xml:space="preserve">This is a long line. When text goes beyond the width of a cell, if "Wrap text"  under "Format Cells </t>
    </r>
    <r>
      <rPr>
        <b/>
        <sz val="12"/>
        <color indexed="56"/>
        <rFont val="Symbol"/>
        <family val="1"/>
        <charset val="2"/>
      </rPr>
      <t>®</t>
    </r>
    <r>
      <rPr>
        <b/>
        <sz val="12"/>
        <color indexed="56"/>
        <rFont val="Arial"/>
        <family val="2"/>
      </rPr>
      <t xml:space="preserve"> Alignment" is not checked, text will keep display on the same line.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Enter</t>
    </r>
    <r>
      <rPr>
        <b/>
        <sz val="12"/>
        <color indexed="17"/>
        <rFont val="Arial"/>
        <family val="2"/>
      </rPr>
      <t>]</t>
    </r>
  </si>
  <si>
    <r>
      <t xml:space="preserve">Go back to the text you just entered. Press </t>
    </r>
    <r>
      <rPr>
        <b/>
        <sz val="12"/>
        <color indexed="56"/>
        <rFont val="Arial"/>
        <family val="2"/>
      </rPr>
      <t xml:space="preserve">Ctrl + 1 </t>
    </r>
    <r>
      <rPr>
        <b/>
        <sz val="12"/>
        <color indexed="17"/>
        <rFont val="Arial"/>
        <family val="2"/>
      </rPr>
      <t xml:space="preserve">or right click on the </t>
    </r>
    <r>
      <rPr>
        <b/>
        <sz val="12"/>
        <color indexed="56"/>
        <rFont val="Arial"/>
        <family val="2"/>
      </rPr>
      <t xml:space="preserve">mouse button </t>
    </r>
    <r>
      <rPr>
        <b/>
        <sz val="12"/>
        <color indexed="56"/>
        <rFont val="Symbol"/>
        <family val="1"/>
        <charset val="2"/>
      </rPr>
      <t>®</t>
    </r>
    <r>
      <rPr>
        <b/>
        <sz val="12"/>
        <color indexed="56"/>
        <rFont val="Arial"/>
        <family val="2"/>
      </rPr>
      <t xml:space="preserve"> "Format Cells".</t>
    </r>
  </si>
  <si>
    <r>
      <t>Under the "Alignment" tab, check "</t>
    </r>
    <r>
      <rPr>
        <b/>
        <sz val="12"/>
        <color indexed="56"/>
        <rFont val="Arial"/>
        <family val="2"/>
      </rPr>
      <t>Wrap text</t>
    </r>
    <r>
      <rPr>
        <b/>
        <sz val="12"/>
        <color indexed="17"/>
        <rFont val="Arial"/>
        <family val="2"/>
      </rPr>
      <t>".</t>
    </r>
  </si>
  <si>
    <t xml:space="preserve">Change this line to font "Times New Roman", style "Italic", font size "10", and color "black". </t>
  </si>
  <si>
    <t>Exercises:</t>
  </si>
  <si>
    <t>to</t>
  </si>
  <si>
    <t>Change the background color of the following cells</t>
  </si>
  <si>
    <t>Change the border of the following grid</t>
  </si>
  <si>
    <t>Background and Grid Borders</t>
  </si>
  <si>
    <t>Formula</t>
  </si>
  <si>
    <t>Type</t>
  </si>
  <si>
    <t>Sum Cell C5 and Cell D5 into Cell E5.</t>
  </si>
  <si>
    <r>
      <t>Go the cell E5, and type "</t>
    </r>
    <r>
      <rPr>
        <sz val="12"/>
        <color indexed="56"/>
        <rFont val="Arial"/>
        <family val="2"/>
      </rPr>
      <t>=</t>
    </r>
    <r>
      <rPr>
        <sz val="12"/>
        <color indexed="8"/>
        <rFont val="Arial"/>
        <family val="2"/>
      </rPr>
      <t>".</t>
    </r>
  </si>
  <si>
    <t>Entering a Formula</t>
  </si>
  <si>
    <r>
      <t xml:space="preserve">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C5, type "</t>
    </r>
    <r>
      <rPr>
        <sz val="12"/>
        <color indexed="56"/>
        <rFont val="Arial"/>
        <family val="2"/>
      </rPr>
      <t>+</t>
    </r>
    <r>
      <rPr>
        <sz val="12"/>
        <color indexed="8"/>
        <rFont val="Arial"/>
        <family val="2"/>
      </rPr>
      <t xml:space="preserve">", 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</t>
    </r>
    <r>
      <rPr>
        <sz val="12"/>
        <color indexed="56"/>
        <rFont val="Arial"/>
        <family val="2"/>
      </rPr>
      <t>D5</t>
    </r>
    <r>
      <rPr>
        <sz val="12"/>
        <color indexed="8"/>
        <rFont val="Arial"/>
        <family val="2"/>
      </rPr>
      <t>, press "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>".</t>
    </r>
  </si>
  <si>
    <t>Sum Cells C9 through G9 into Cell H9</t>
  </si>
  <si>
    <r>
      <t>Go to Cell G9</t>
    </r>
    <r>
      <rPr>
        <sz val="12"/>
        <color indexed="8"/>
        <rFont val="Arial"/>
        <family val="2"/>
      </rPr>
      <t>.</t>
    </r>
  </si>
  <si>
    <t>Sum Cells C13 through D13 into Cell E13</t>
  </si>
  <si>
    <t>Go to Cell E13.</t>
  </si>
  <si>
    <t>Place the cursor to the bottom right corner.</t>
  </si>
  <si>
    <r>
      <t xml:space="preserve">Press the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 xml:space="preserve"> and drag to Cell E16.</t>
    </r>
  </si>
  <si>
    <t>Sum Cells E13 through E16 into Cell E17.</t>
  </si>
  <si>
    <t>Go to Cell E15. Examine the formula by pressing F2.</t>
  </si>
  <si>
    <t>is changed to "=C15 + D15" in Cell E15.</t>
  </si>
  <si>
    <t>Cashflow</t>
  </si>
  <si>
    <t>Principal</t>
  </si>
  <si>
    <t>Range Names</t>
  </si>
  <si>
    <t>Relative and Absolute Cell References</t>
  </si>
  <si>
    <t xml:space="preserve">By default, when copy and past a formula, relative references in formula are changed. That is, in Cell E13, the formula "=C13 + D13"
</t>
  </si>
  <si>
    <t>To get absolute references, prefix the column and/or row label by a '$' character.</t>
  </si>
  <si>
    <t xml:space="preserve">Go to Cell E13. </t>
  </si>
  <si>
    <t>Copy and Paste Cell E13 to Cell F16. Explain your result.</t>
  </si>
  <si>
    <t>Copy and Paste Cell E13 to Cells E14, E15 and E16. Explain your result.</t>
  </si>
  <si>
    <r>
      <t xml:space="preserve">After entering a cell reference in a formula, repeatedly press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 to select the desired relative/absolute cell references.</t>
    </r>
  </si>
  <si>
    <r>
      <t xml:space="preserve">Press </t>
    </r>
    <r>
      <rPr>
        <sz val="12"/>
        <color indexed="56"/>
        <rFont val="Arial"/>
        <family val="2"/>
      </rPr>
      <t>F2</t>
    </r>
    <r>
      <rPr>
        <sz val="12"/>
        <color indexed="8"/>
        <rFont val="Arial"/>
        <family val="2"/>
      </rPr>
      <t>. Place the cursor to after C13.</t>
    </r>
  </si>
  <si>
    <r>
      <t xml:space="preserve">Press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. Note the C13 is changed to $C$13. Repeat pressing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 and note the changes to C13.</t>
    </r>
  </si>
  <si>
    <t>Leave the formula with C$13. Press "Enter".</t>
  </si>
  <si>
    <t>Select Me 1</t>
  </si>
  <si>
    <t>Select Me 2</t>
  </si>
  <si>
    <t>Select Me 3</t>
  </si>
  <si>
    <t>Type in the range name "Select_Me_123" in the dialog box.</t>
  </si>
  <si>
    <t>Range names can make formula easier to understand. To define a range name,</t>
  </si>
  <si>
    <t>Select the cells marked "Select Me 1", "Select Me 2" and "Select Me 3"</t>
  </si>
  <si>
    <r>
      <t xml:space="preserve">To go to range name "Select_Me_123", press </t>
    </r>
    <r>
      <rPr>
        <sz val="12"/>
        <color indexed="56"/>
        <rFont val="Arial"/>
        <family val="2"/>
      </rPr>
      <t>Ctrl + G</t>
    </r>
    <r>
      <rPr>
        <sz val="12"/>
        <color indexed="8"/>
        <rFont val="Arial"/>
        <family val="2"/>
      </rPr>
      <t xml:space="preserve"> or press </t>
    </r>
    <r>
      <rPr>
        <sz val="12"/>
        <color indexed="56"/>
        <rFont val="Arial"/>
        <family val="2"/>
      </rPr>
      <t>F5</t>
    </r>
    <r>
      <rPr>
        <sz val="12"/>
        <color indexed="8"/>
        <rFont val="Arial"/>
        <family val="2"/>
      </rPr>
      <t xml:space="preserve"> and type "Select_Me_123" under Reference and press "Enter".</t>
    </r>
  </si>
  <si>
    <t>Interest Rate</t>
  </si>
  <si>
    <t>1-Month Fixed (HKD)</t>
  </si>
  <si>
    <t>Maturity Date</t>
  </si>
  <si>
    <t>Basis</t>
  </si>
  <si>
    <t>Interest At Maturity</t>
  </si>
  <si>
    <t>Select range named "One_Month_Fixed".</t>
  </si>
  <si>
    <r>
      <t>Check "</t>
    </r>
    <r>
      <rPr>
        <sz val="12"/>
        <color indexed="56"/>
        <rFont val="Arial"/>
        <family val="2"/>
      </rPr>
      <t>Left column</t>
    </r>
    <r>
      <rPr>
        <sz val="12"/>
        <color indexed="8"/>
        <rFont val="Arial"/>
        <family val="2"/>
      </rPr>
      <t xml:space="preserve">" only in the </t>
    </r>
    <r>
      <rPr>
        <sz val="12"/>
        <color indexed="56"/>
        <rFont val="Arial"/>
        <family val="2"/>
      </rPr>
      <t>Create Names</t>
    </r>
    <r>
      <rPr>
        <sz val="12"/>
        <color indexed="8"/>
        <rFont val="Arial"/>
        <family val="2"/>
      </rPr>
      <t xml:space="preserve"> dialogue and press "Enter".</t>
    </r>
  </si>
  <si>
    <t>Alternatively, type the range name "Select_Me_123" in the name box (left of the formula box)</t>
  </si>
  <si>
    <t>Enter the formula to calculate the "Interest At Maturity" using the range names (not cell references).</t>
  </si>
  <si>
    <t>Exercise: Creating Names Automatically</t>
  </si>
  <si>
    <t>Examine the name box (left of the formula box). (You should find "Start_Date", "Maturity Date", "Basis", Interest Rate" and "Principal".)</t>
  </si>
  <si>
    <t>Formula Auditing</t>
  </si>
  <si>
    <t>Go to range name "Interest_At_Maturity".</t>
  </si>
  <si>
    <r>
      <t xml:space="preserve">Press </t>
    </r>
    <r>
      <rPr>
        <sz val="12"/>
        <color indexed="56"/>
        <rFont val="Arial"/>
        <family val="2"/>
      </rPr>
      <t>F2</t>
    </r>
    <r>
      <rPr>
        <sz val="12"/>
        <rFont val="Arial"/>
        <family val="2"/>
      </rPr>
      <t>. Precedents will be color coded. Press "</t>
    </r>
    <r>
      <rPr>
        <sz val="12"/>
        <color indexed="56"/>
        <rFont val="Arial"/>
        <family val="2"/>
      </rPr>
      <t>Esc</t>
    </r>
    <r>
      <rPr>
        <sz val="12"/>
        <rFont val="Arial"/>
        <family val="2"/>
      </rPr>
      <t>".</t>
    </r>
  </si>
  <si>
    <r>
      <t xml:space="preserve">Select </t>
    </r>
    <r>
      <rPr>
        <sz val="12"/>
        <color indexed="56"/>
        <rFont val="Arial"/>
        <family val="2"/>
      </rPr>
      <t xml:space="preserve">Tools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Formula Auditing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Remove All Arrows </t>
    </r>
    <r>
      <rPr>
        <sz val="12"/>
        <rFont val="Arial"/>
        <family val="2"/>
      </rPr>
      <t>to remove all arrows.</t>
    </r>
  </si>
  <si>
    <r>
      <t xml:space="preserve">In a cell depending on many cells/ranges, to find out what is the underlying value, press </t>
    </r>
    <r>
      <rPr>
        <sz val="12"/>
        <color indexed="56"/>
        <rFont val="Arial"/>
        <family val="2"/>
      </rPr>
      <t>F2</t>
    </r>
    <r>
      <rPr>
        <sz val="12"/>
        <rFont val="Arial"/>
        <family val="2"/>
      </rPr>
      <t xml:space="preserve"> then </t>
    </r>
    <r>
      <rPr>
        <sz val="12"/>
        <color indexed="56"/>
        <rFont val="Arial"/>
        <family val="2"/>
      </rPr>
      <t>F9.</t>
    </r>
  </si>
  <si>
    <r>
      <t xml:space="preserve">Go to range name "Interest_At_Maturity". Press </t>
    </r>
    <r>
      <rPr>
        <sz val="12"/>
        <color indexed="56"/>
        <rFont val="Arial"/>
        <family val="2"/>
      </rPr>
      <t>F2</t>
    </r>
    <r>
      <rPr>
        <sz val="12"/>
        <color indexed="8"/>
        <rFont val="Arial"/>
        <family val="2"/>
      </rPr>
      <t xml:space="preserve"> then </t>
    </r>
    <r>
      <rPr>
        <sz val="12"/>
        <color indexed="56"/>
        <rFont val="Arial"/>
        <family val="2"/>
      </rPr>
      <t>F9</t>
    </r>
    <r>
      <rPr>
        <sz val="12"/>
        <color indexed="8"/>
        <rFont val="Arial"/>
        <family val="2"/>
      </rPr>
      <t>.</t>
    </r>
  </si>
  <si>
    <r>
      <t>Repeatedly press "</t>
    </r>
    <r>
      <rPr>
        <sz val="12"/>
        <color indexed="56"/>
        <rFont val="Arial"/>
        <family val="2"/>
      </rPr>
      <t>Evaluate</t>
    </r>
    <r>
      <rPr>
        <sz val="12"/>
        <color indexed="8"/>
        <rFont val="Arial"/>
        <family val="2"/>
      </rPr>
      <t>" to see how the formula is evalated.</t>
    </r>
  </si>
  <si>
    <r>
      <t>Type "=</t>
    </r>
    <r>
      <rPr>
        <sz val="12"/>
        <color indexed="56"/>
        <rFont val="Arial"/>
        <family val="2"/>
      </rPr>
      <t>sum(</t>
    </r>
    <r>
      <rPr>
        <sz val="12"/>
        <color indexed="8"/>
        <rFont val="Arial"/>
        <family val="2"/>
      </rPr>
      <t xml:space="preserve">", 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Cell F4, press </t>
    </r>
    <r>
      <rPr>
        <sz val="12"/>
        <color indexed="56"/>
        <rFont val="Arial"/>
        <family val="2"/>
      </rPr>
      <t>Ctrl + Shift + left arrow</t>
    </r>
    <r>
      <rPr>
        <sz val="12"/>
        <color indexed="8"/>
        <rFont val="Arial"/>
        <family val="2"/>
      </rPr>
      <t>, type "</t>
    </r>
    <r>
      <rPr>
        <sz val="12"/>
        <color indexed="56"/>
        <rFont val="Arial"/>
        <family val="2"/>
      </rPr>
      <t>)</t>
    </r>
    <r>
      <rPr>
        <sz val="12"/>
        <color indexed="8"/>
        <rFont val="Arial"/>
        <family val="2"/>
      </rPr>
      <t>" and press "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>".</t>
    </r>
  </si>
  <si>
    <t>Conditional Formatting</t>
  </si>
  <si>
    <t>Highlight a cell if it meets specific conditions.</t>
  </si>
  <si>
    <r>
      <t xml:space="preserve">Exercise: In the following table, change the row's background color to </t>
    </r>
    <r>
      <rPr>
        <b/>
        <sz val="12"/>
        <color indexed="10"/>
        <rFont val="Arial"/>
        <family val="2"/>
      </rPr>
      <t>red</t>
    </r>
    <r>
      <rPr>
        <b/>
        <sz val="12"/>
        <color indexed="50"/>
        <rFont val="Arial"/>
        <family val="2"/>
      </rPr>
      <t xml:space="preserve"> </t>
    </r>
  </si>
  <si>
    <t xml:space="preserve">                   if the cells under column "Exercise:" is negative.</t>
  </si>
  <si>
    <t>red</t>
  </si>
  <si>
    <t>green</t>
  </si>
  <si>
    <t>blue</t>
  </si>
  <si>
    <t>no color</t>
  </si>
  <si>
    <t>Select any cell in the color grid on the right.</t>
  </si>
  <si>
    <t>Change the text in the color grid and see the color changes.</t>
  </si>
  <si>
    <t>Review how the conditions are set up.</t>
  </si>
  <si>
    <t>To make other cells with same conditional format, select any cell in the color grid, press "Format Painter"</t>
  </si>
  <si>
    <t>in the format toolbar, and select the cells you want to format.</t>
  </si>
  <si>
    <r>
      <t xml:space="preserve">Exercise: In the following table, using conditional formatting to change the row's background color to </t>
    </r>
    <r>
      <rPr>
        <b/>
        <sz val="12"/>
        <color indexed="10"/>
        <rFont val="Arial"/>
        <family val="2"/>
      </rPr>
      <t>red</t>
    </r>
    <r>
      <rPr>
        <b/>
        <sz val="12"/>
        <color indexed="50"/>
        <rFont val="Arial"/>
        <family val="2"/>
      </rPr>
      <t xml:space="preserve"> </t>
    </r>
  </si>
  <si>
    <t xml:space="preserve">                   if the cells under column "Condition" is negative.</t>
  </si>
  <si>
    <t>Condition</t>
  </si>
  <si>
    <t xml:space="preserve">                   Use relative and absolute cell references in the condition formula.</t>
  </si>
  <si>
    <t>Build-In Functions</t>
  </si>
  <si>
    <t>Annuity</t>
  </si>
  <si>
    <t>PV(rate, nper, pmt, fv, type)</t>
  </si>
  <si>
    <t>Rate</t>
  </si>
  <si>
    <t>Nper</t>
  </si>
  <si>
    <t>Interest rate per period (month, year, etc)</t>
  </si>
  <si>
    <t>Total number of period (total number of payments; truncate to integer)</t>
  </si>
  <si>
    <t>Pmt</t>
  </si>
  <si>
    <t>Payment made each period</t>
  </si>
  <si>
    <t>0 - payment at the end of period; 1- payment at the beginning of period</t>
  </si>
  <si>
    <t>Math &amp; Trig</t>
  </si>
  <si>
    <t>POWER(number, power)</t>
  </si>
  <si>
    <t>Exercise: Instead of calling the build-in function, enter a formula to calculate the FV in the green box.</t>
  </si>
  <si>
    <t>Exercise: Instead of calling the build-in function, enter a formula to calculate the PV in the green box above.</t>
  </si>
  <si>
    <t>FV(rate, nper, pmt, pv, type)</t>
  </si>
  <si>
    <t>PMT(rate, nper, pmt, pv, type)</t>
  </si>
  <si>
    <t>RATE(nper, pmt, pv, fv, type, guess)</t>
  </si>
  <si>
    <t>NPER(rate, pmt, pv, fv, type)</t>
  </si>
  <si>
    <t>Exercise: By filling in the cashflow in the above table, how would you verify that PMT gave the correct result?</t>
  </si>
  <si>
    <t>Exercise: By filling in the cashflow in the above table, how would you verify that RATE gave the correct result?</t>
  </si>
  <si>
    <t>Exercise: By filling in the cashflow in the above table, how would you verify that NPER gave the correct result?</t>
  </si>
  <si>
    <t>NPV(rate, value1, value2, ...)</t>
  </si>
  <si>
    <t>IRR(values, guess)</t>
  </si>
  <si>
    <t>Exercise: Calculate the NPV of the Cashflow in the green box.</t>
  </si>
  <si>
    <t>Logical Functions</t>
  </si>
  <si>
    <t>IF(logical_test, value_if_true, value_if_false)</t>
  </si>
  <si>
    <r>
      <t>2007/2008</t>
    </r>
    <r>
      <rPr>
        <sz val="10"/>
        <color indexed="8"/>
        <rFont val="Arial"/>
        <family val="2"/>
      </rPr>
      <t> </t>
    </r>
  </si>
  <si>
    <t>Standard rate</t>
  </si>
  <si>
    <t>Taxable Income</t>
  </si>
  <si>
    <t>Income</t>
  </si>
  <si>
    <t>Deductions</t>
  </si>
  <si>
    <t>One Child</t>
  </si>
  <si>
    <t>Total Tax</t>
  </si>
  <si>
    <t>Exercise: Fill in formulae for the tax calculation in the green boxes below.</t>
  </si>
  <si>
    <t>Married Person</t>
  </si>
  <si>
    <t>First</t>
  </si>
  <si>
    <t>Next</t>
  </si>
  <si>
    <r>
      <t>Hong Kong Rates of tax</t>
    </r>
    <r>
      <rPr>
        <sz val="12"/>
        <color indexed="8"/>
        <rFont val="Arial"/>
        <family val="2"/>
      </rPr>
      <t> </t>
    </r>
  </si>
  <si>
    <t xml:space="preserve"> Remainder</t>
  </si>
  <si>
    <t>Taxable Income in Bracket</t>
  </si>
  <si>
    <t>Tax 
in Bracket</t>
  </si>
  <si>
    <t>AND(logical1, logical2, …)</t>
  </si>
  <si>
    <t>OR(logical1, logical2, …)</t>
  </si>
  <si>
    <t>x=</t>
  </si>
  <si>
    <t>NOT(logical1)</t>
  </si>
  <si>
    <t>TRUNC(number, num_digits)</t>
  </si>
  <si>
    <r>
      <t xml:space="preserve">INT(number) </t>
    </r>
    <r>
      <rPr>
        <sz val="12"/>
        <color indexed="18"/>
        <rFont val="Arial"/>
        <family val="2"/>
      </rPr>
      <t>- round down</t>
    </r>
  </si>
  <si>
    <t>ABS(number)</t>
  </si>
  <si>
    <t>EXP(number)</t>
  </si>
  <si>
    <t>SQRT(number)</t>
  </si>
  <si>
    <t>ROUND(number, num_digits)</t>
  </si>
  <si>
    <t>LN(number)</t>
  </si>
  <si>
    <t>LOG10(number)</t>
  </si>
  <si>
    <t>PI()</t>
  </si>
  <si>
    <t>MOD(number, divisor)</t>
  </si>
  <si>
    <t>SIN(number)</t>
  </si>
  <si>
    <t>COS(number)</t>
  </si>
  <si>
    <t>MAX(number1, number2, …)</t>
  </si>
  <si>
    <t>MIN(number1, number2, …)</t>
  </si>
  <si>
    <t>LOG(number, base)</t>
  </si>
  <si>
    <t>COMBIN(number, number_chosen)</t>
  </si>
  <si>
    <t>CONCATENATE(text1, text2, …)</t>
  </si>
  <si>
    <t>FIND(find_text, within_text, start_num)</t>
  </si>
  <si>
    <t>SEARCH(find_text, within_text, start_num)</t>
  </si>
  <si>
    <t>REPLACE
(old_text, start_num, num_chars, new_text)</t>
  </si>
  <si>
    <t>SUBSTITUTE(text, old_text, new_text)</t>
  </si>
  <si>
    <t>TRIM(text)</t>
  </si>
  <si>
    <t>LEN(text)</t>
  </si>
  <si>
    <t>RIGHT(text, num_chars)</t>
  </si>
  <si>
    <t>LEFT(text, num_chars)</t>
  </si>
  <si>
    <t>LOWER(text)</t>
  </si>
  <si>
    <t>UPPER(text)</t>
  </si>
  <si>
    <t>MID(text, start_num, num_chars)</t>
  </si>
  <si>
    <r>
      <t xml:space="preserve">VALUE(text) - </t>
    </r>
    <r>
      <rPr>
        <sz val="12"/>
        <color indexed="18"/>
        <rFont val="Arial"/>
        <family val="2"/>
      </rPr>
      <t>convert text to number</t>
    </r>
  </si>
  <si>
    <t>TEXT(value, format_text)</t>
  </si>
  <si>
    <t>Date &amp; Time</t>
  </si>
  <si>
    <t>DATE(year, month, day)</t>
  </si>
  <si>
    <t>TIME(hour, minute, second)</t>
  </si>
  <si>
    <t>DATEVALUE(date_text)</t>
  </si>
  <si>
    <t>TIMEVALUE(time_text)</t>
  </si>
  <si>
    <t>YEAR(serial_number)</t>
  </si>
  <si>
    <t>MONTH(serial_number)</t>
  </si>
  <si>
    <t>DAY(serial_number)</t>
  </si>
  <si>
    <t>HOUR(serial_number)</t>
  </si>
  <si>
    <t>TODAY()</t>
  </si>
  <si>
    <t>NOW()</t>
  </si>
  <si>
    <t>MINUTE(serial_number)</t>
  </si>
  <si>
    <t>SECOND(serial_number)</t>
  </si>
  <si>
    <t>WEEKDAY(serial_number, [return_type])</t>
  </si>
  <si>
    <t>Today</t>
  </si>
  <si>
    <t>3 years from today</t>
  </si>
  <si>
    <t>6 months from today</t>
  </si>
  <si>
    <t>Exercise: Fill in formulae to get the dates in the green boxes below.</t>
  </si>
  <si>
    <t>Build-In Functions (Time Value)</t>
  </si>
  <si>
    <t>Other Time Value of Money</t>
  </si>
  <si>
    <t>Lookup</t>
  </si>
  <si>
    <t>Code</t>
  </si>
  <si>
    <t>Last</t>
  </si>
  <si>
    <t>Bid Vol</t>
  </si>
  <si>
    <t>Bid</t>
  </si>
  <si>
    <t>Ask</t>
  </si>
  <si>
    <t>CHEUNG KONG</t>
  </si>
  <si>
    <t>CLP HOLDINGS</t>
  </si>
  <si>
    <t>HK &amp; CHINA GAS</t>
  </si>
  <si>
    <t>WHARF HOLDINGS</t>
  </si>
  <si>
    <t>HSBC HOLDINGS</t>
  </si>
  <si>
    <t>HK ELECTRIC</t>
  </si>
  <si>
    <t>KARL THOMSON</t>
  </si>
  <si>
    <t>PCCW</t>
  </si>
  <si>
    <t>MANDARIN ENT</t>
  </si>
  <si>
    <t>HANG LUNG GROUP</t>
  </si>
  <si>
    <t>HANG SENG BANK</t>
  </si>
  <si>
    <t>HENDERSON LAND</t>
  </si>
  <si>
    <t>HUTCHISON</t>
  </si>
  <si>
    <t>HYSAN DEV</t>
  </si>
  <si>
    <t>VANTAGE INT'L</t>
  </si>
  <si>
    <t>SHK PPT</t>
  </si>
  <si>
    <t>NEW WORLD DEV</t>
  </si>
  <si>
    <t>ORIENTAL PRESS</t>
  </si>
  <si>
    <t>SWIRE PACIFIC A</t>
  </si>
  <si>
    <t>WHEELOCK</t>
  </si>
  <si>
    <t xml:space="preserve">                          FALSE - exact match</t>
  </si>
  <si>
    <r>
      <t xml:space="preserve">MATCH(lookup_value, lookup_array, </t>
    </r>
    <r>
      <rPr>
        <sz val="12"/>
        <rFont val="Arial"/>
        <family val="2"/>
      </rPr>
      <t>match_type</t>
    </r>
    <r>
      <rPr>
        <b/>
        <sz val="12"/>
        <rFont val="Arial"/>
        <family val="2"/>
      </rPr>
      <t>)</t>
    </r>
  </si>
  <si>
    <r>
      <t xml:space="preserve">VLOOKUP(lookup_value, table_array, row_index_number, </t>
    </r>
    <r>
      <rPr>
        <sz val="12"/>
        <rFont val="Arial"/>
        <family val="2"/>
      </rPr>
      <t>range_lookup</t>
    </r>
    <r>
      <rPr>
        <b/>
        <sz val="12"/>
        <rFont val="Arial"/>
        <family val="2"/>
      </rPr>
      <t>)</t>
    </r>
  </si>
  <si>
    <t xml:space="preserve">                      0 - first value that exactly match lookup_value</t>
  </si>
  <si>
    <t xml:space="preserve">                    -1 - smallest value greater than or equal to lookup_value</t>
  </si>
  <si>
    <t>match_type: 1 - largest value less than or equal to lookup_value (default)</t>
  </si>
  <si>
    <t>range_lookup: TRUE - largest value less than or equal to lookup_value (default)</t>
  </si>
  <si>
    <r>
      <t>INDEX(array, row_num, col_num</t>
    </r>
    <r>
      <rPr>
        <b/>
        <sz val="12"/>
        <rFont val="Arial"/>
        <family val="2"/>
      </rPr>
      <t>)</t>
    </r>
  </si>
  <si>
    <t>Random Numbers</t>
  </si>
  <si>
    <t>Build-In Functions (Statistical)</t>
  </si>
  <si>
    <t>RAND( )</t>
  </si>
  <si>
    <t>Every time the worksheet is recalculated, RAND will generate a new random number in that cell.</t>
  </si>
  <si>
    <t>Press F9 and see cell E4 changes.</t>
  </si>
  <si>
    <t>Total Count</t>
  </si>
  <si>
    <t>Bin</t>
  </si>
  <si>
    <t>Count</t>
  </si>
  <si>
    <t>Exercise: Go to Worksheet "Rand" to further study the Rand( ).</t>
  </si>
  <si>
    <t>AVERAGE(number1, …)</t>
  </si>
  <si>
    <t>MEDIAN(number1, …)</t>
  </si>
  <si>
    <t>STDEV(number1, …)</t>
  </si>
  <si>
    <t>STDEVP(number1, …)</t>
  </si>
  <si>
    <t>VAR(number1, …)</t>
  </si>
  <si>
    <t>VARP(number1, …)</t>
  </si>
  <si>
    <t>COVAR(array1, array2)</t>
  </si>
  <si>
    <t>CORREL(array1, array2)</t>
  </si>
  <si>
    <t>Statistics</t>
  </si>
  <si>
    <t>Normal Density</t>
  </si>
  <si>
    <t>Normal Distribution</t>
  </si>
  <si>
    <t>theory</t>
  </si>
  <si>
    <t>Exercise: Enter the formulas to calculate the "Summary Statistics".</t>
  </si>
  <si>
    <t xml:space="preserve">                   Enter the formulas to calculate the "Frequency Distribution".</t>
  </si>
  <si>
    <t xml:space="preserve">                   Note: "freq" count is for "Ln Return".</t>
  </si>
  <si>
    <t xml:space="preserve">                              Use NORMDIST for the "theory" column.</t>
  </si>
  <si>
    <t xml:space="preserve">                   Chart and compare the "%cum freq" against the "theory".</t>
  </si>
  <si>
    <t>Initial value</t>
  </si>
  <si>
    <t>Time (t)</t>
  </si>
  <si>
    <t>Outputs</t>
  </si>
  <si>
    <t>Discount factor    t yrs</t>
  </si>
  <si>
    <t>compound</t>
  </si>
  <si>
    <r>
      <t>r</t>
    </r>
    <r>
      <rPr>
        <vertAlign val="subscript"/>
        <sz val="10"/>
        <color indexed="18"/>
        <rFont val="Arial"/>
        <family val="2"/>
      </rPr>
      <t>a</t>
    </r>
    <r>
      <rPr>
        <sz val="10"/>
        <color indexed="18"/>
        <rFont val="Arial"/>
        <family val="2"/>
      </rPr>
      <t xml:space="preserve"> =exp(r)-1</t>
    </r>
  </si>
  <si>
    <t>Data Table</t>
  </si>
  <si>
    <t>Year</t>
  </si>
  <si>
    <t>Salesperson</t>
  </si>
  <si>
    <t>Sales</t>
  </si>
  <si>
    <t>Units</t>
  </si>
  <si>
    <t>Region</t>
  </si>
  <si>
    <t>Diary</t>
  </si>
  <si>
    <t>Dodsworth</t>
  </si>
  <si>
    <t>West</t>
  </si>
  <si>
    <t>Beverage</t>
  </si>
  <si>
    <t>Davolio</t>
  </si>
  <si>
    <t>North</t>
  </si>
  <si>
    <t>Produce</t>
  </si>
  <si>
    <t>Buchanan</t>
  </si>
  <si>
    <t>South</t>
  </si>
  <si>
    <t>Suyama</t>
  </si>
  <si>
    <t>East</t>
  </si>
  <si>
    <t>Meat</t>
  </si>
  <si>
    <t>Sum of Sales</t>
  </si>
  <si>
    <t>Grand Total</t>
  </si>
  <si>
    <t>Pivot Table</t>
  </si>
  <si>
    <t xml:space="preserve"> </t>
  </si>
  <si>
    <t>d_1</t>
  </si>
  <si>
    <t>d_2</t>
  </si>
  <si>
    <t>Spot Price</t>
  </si>
  <si>
    <t>Maturity (time to maturity in days)</t>
  </si>
  <si>
    <t>Dividend</t>
  </si>
  <si>
    <t>Strike Price</t>
  </si>
  <si>
    <t>Option Input</t>
  </si>
  <si>
    <t>Maturity (time to maturity in years)</t>
  </si>
  <si>
    <t>Calculations</t>
  </si>
  <si>
    <t>Interest Rate (Continuous Compounding)</t>
  </si>
  <si>
    <t>Dividend (Continuous Compounding)</t>
  </si>
  <si>
    <t>Black-Scholes</t>
  </si>
  <si>
    <t>Use 365.25 days for 1 year</t>
  </si>
  <si>
    <t>Exercise: Enter the formulas to calculate the Black-Scholes Call and Put Premium.</t>
  </si>
  <si>
    <t>Call Premium</t>
  </si>
  <si>
    <t>Put Premium</t>
  </si>
  <si>
    <t>Volatility</t>
  </si>
  <si>
    <t>Exercise: Use Data Table to calculate the "Call Premium" for varies "Volatility"</t>
  </si>
  <si>
    <t xml:space="preserve">                   Chart "Call Premium" against "Volatility"</t>
  </si>
  <si>
    <t>Call</t>
  </si>
  <si>
    <t>Put</t>
  </si>
  <si>
    <t>Price</t>
  </si>
  <si>
    <t>Exercise: Go to Worksheet "Security (Price Model)" to study the stat for analyzing security.</t>
  </si>
  <si>
    <t>Exercise: Enter the formulas for the simulated stock price.</t>
  </si>
  <si>
    <t xml:space="preserve">                   Chart the stock price. Press F9 to force another simulation.</t>
  </si>
  <si>
    <t>Monte Carlo Simulation</t>
  </si>
  <si>
    <t>Normal Variates</t>
  </si>
  <si>
    <r>
      <t>X</t>
    </r>
    <r>
      <rPr>
        <sz val="14"/>
        <rFont val="Arial"/>
        <family val="2"/>
      </rPr>
      <t xml:space="preserve"> is a random variable with uniform distribution</t>
    </r>
  </si>
  <si>
    <r>
      <t xml:space="preserve">Generate samples of </t>
    </r>
    <r>
      <rPr>
        <i/>
        <sz val="14"/>
        <rFont val="Arial"/>
        <family val="2"/>
      </rPr>
      <t>Y</t>
    </r>
    <r>
      <rPr>
        <sz val="14"/>
        <rFont val="Arial"/>
        <family val="2"/>
      </rPr>
      <t xml:space="preserve"> with distribution </t>
    </r>
    <r>
      <rPr>
        <i/>
        <sz val="14"/>
        <rFont val="Arial"/>
        <family val="2"/>
      </rPr>
      <t>FY(y)</t>
    </r>
  </si>
  <si>
    <t>Uniform</t>
  </si>
  <si>
    <t>Normal</t>
  </si>
  <si>
    <t>max</t>
  </si>
  <si>
    <t>min</t>
  </si>
  <si>
    <t>Interest rate (continuous compound) ( r)</t>
  </si>
  <si>
    <t>Interest rate (annual)</t>
  </si>
  <si>
    <t>Misc</t>
  </si>
  <si>
    <t>Data: Sort…, Filter, Validation</t>
  </si>
  <si>
    <t>Dept. Code</t>
  </si>
  <si>
    <t>Data</t>
  </si>
  <si>
    <t>Exercise: Go to Workbook "loanAmortization.xls"</t>
  </si>
  <si>
    <t>Matrix</t>
  </si>
  <si>
    <t>MMULT(array1, array2)</t>
  </si>
  <si>
    <t>X</t>
  </si>
  <si>
    <t>=</t>
  </si>
  <si>
    <t>MINVERSE(array)</t>
  </si>
  <si>
    <t>TRANSPOSE(array)</t>
  </si>
  <si>
    <t>T</t>
  </si>
  <si>
    <t>Solver</t>
  </si>
  <si>
    <t>x (min)</t>
  </si>
  <si>
    <t>x (max)</t>
  </si>
  <si>
    <t>f</t>
  </si>
  <si>
    <t>Objective Function</t>
  </si>
  <si>
    <t>Design Variables</t>
  </si>
  <si>
    <t>Constraints</t>
  </si>
  <si>
    <t>x ≤</t>
  </si>
  <si>
    <t>x ≥</t>
  </si>
  <si>
    <t>Goal:</t>
  </si>
  <si>
    <r>
      <t xml:space="preserve">Find the value of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that minimizes </t>
    </r>
    <r>
      <rPr>
        <i/>
        <sz val="10"/>
        <rFont val="Verdana"/>
        <family val="2"/>
      </rPr>
      <t>f</t>
    </r>
    <r>
      <rPr>
        <sz val="10"/>
        <rFont val="Arial"/>
        <family val="2"/>
      </rPr>
      <t>,</t>
    </r>
  </si>
  <si>
    <r>
      <t xml:space="preserve">subject to -1 ≤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≤ 5 </t>
    </r>
  </si>
  <si>
    <r>
      <t>"Finding a Local Minimum Using the Excel Solver"</t>
    </r>
    <r>
      <rPr>
        <b/>
        <i/>
        <sz val="10"/>
        <rFont val="Verdana"/>
        <family val="2"/>
      </rPr>
      <t xml:space="preserve"> </t>
    </r>
  </si>
  <si>
    <r>
      <t xml:space="preserve">Press </t>
    </r>
    <r>
      <rPr>
        <b/>
        <sz val="12"/>
        <color rgb="FF0000FF"/>
        <rFont val="Arial"/>
        <family val="2"/>
      </rPr>
      <t>F2</t>
    </r>
    <r>
      <rPr>
        <b/>
        <sz val="12"/>
        <color indexed="17"/>
        <rFont val="Arial"/>
        <family val="2"/>
      </rPr>
      <t xml:space="preserve">. Press </t>
    </r>
    <r>
      <rPr>
        <b/>
        <sz val="12"/>
        <color indexed="56"/>
        <rFont val="Arial"/>
        <family val="2"/>
      </rPr>
      <t>backspace</t>
    </r>
    <r>
      <rPr>
        <b/>
        <sz val="12"/>
        <color indexed="17"/>
        <rFont val="Arial"/>
        <family val="2"/>
      </rPr>
      <t xml:space="preserve"> to delete the line "Do exercise 'Enter multiple lines in a cell' here".</t>
    </r>
  </si>
  <si>
    <r>
      <t xml:space="preserve">Go to </t>
    </r>
    <r>
      <rPr>
        <sz val="10"/>
        <color rgb="FF0000FF"/>
        <rFont val="Arial"/>
        <family val="2"/>
      </rPr>
      <t>Office Button</t>
    </r>
    <r>
      <rPr>
        <sz val="10"/>
        <rFont val="Arial"/>
        <family val="2"/>
      </rPr>
      <t xml:space="preserve"> (Top Left Corner). Click </t>
    </r>
    <r>
      <rPr>
        <sz val="10"/>
        <color rgb="FF0000FF"/>
        <rFont val="Arial"/>
        <family val="2"/>
      </rPr>
      <t>Excel Options</t>
    </r>
    <r>
      <rPr>
        <sz val="10"/>
        <rFont val="Arial"/>
        <family val="2"/>
      </rPr>
      <t>.</t>
    </r>
  </si>
  <si>
    <r>
      <t xml:space="preserve">Under </t>
    </r>
    <r>
      <rPr>
        <sz val="10"/>
        <color rgb="FF0000FF"/>
        <rFont val="Arial"/>
        <family val="2"/>
      </rPr>
      <t>Formula</t>
    </r>
    <r>
      <rPr>
        <sz val="10"/>
        <rFont val="Arial"/>
        <family val="2"/>
      </rPr>
      <t xml:space="preserve"> tab, check </t>
    </r>
    <r>
      <rPr>
        <sz val="10"/>
        <color rgb="FF0000FF"/>
        <rFont val="Arial"/>
        <family val="2"/>
      </rPr>
      <t>Calculation Options Automatic</t>
    </r>
  </si>
  <si>
    <r>
      <t xml:space="preserve">Use the </t>
    </r>
    <r>
      <rPr>
        <sz val="12"/>
        <color indexed="56"/>
        <rFont val="Arial"/>
        <family val="2"/>
      </rPr>
      <t>arrow key</t>
    </r>
    <r>
      <rPr>
        <sz val="12"/>
        <rFont val="Arial"/>
        <family val="2"/>
      </rPr>
      <t xml:space="preserve"> to navigate the menu. 
Alternatively, use </t>
    </r>
    <r>
      <rPr>
        <sz val="12"/>
        <color indexed="56"/>
        <rFont val="Arial"/>
        <family val="2"/>
      </rPr>
      <t xml:space="preserve">Alt + H or Alt </t>
    </r>
    <r>
      <rPr>
        <sz val="12"/>
        <rFont val="Arial"/>
        <family val="2"/>
      </rPr>
      <t>then</t>
    </r>
    <r>
      <rPr>
        <sz val="12"/>
        <color indexed="56"/>
        <rFont val="Arial"/>
        <family val="2"/>
      </rPr>
      <t xml:space="preserve"> H</t>
    </r>
    <r>
      <rPr>
        <sz val="12"/>
        <rFont val="Arial"/>
        <family val="2"/>
      </rPr>
      <t xml:space="preserve"> to go directly to the </t>
    </r>
    <r>
      <rPr>
        <sz val="12"/>
        <color rgb="FF0000FF"/>
        <rFont val="Arial"/>
        <family val="2"/>
      </rPr>
      <t>Home</t>
    </r>
    <r>
      <rPr>
        <sz val="12"/>
        <rFont val="Arial"/>
        <family val="2"/>
      </rPr>
      <t xml:space="preserve"> menu.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</si>
  <si>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 xml:space="preserve">Home Paste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Paste Special…</t>
    </r>
    <r>
      <rPr>
        <sz val="12"/>
        <rFont val="Arial"/>
        <family val="2"/>
      </rPr>
      <t>.
7a. Check "Formats" and click "OK"
7b. Check "Values" and click "OK"</t>
    </r>
  </si>
  <si>
    <r>
      <t xml:space="preserve">Choose </t>
    </r>
    <r>
      <rPr>
        <sz val="12"/>
        <color indexed="56"/>
        <rFont val="Arial"/>
        <family val="2"/>
      </rPr>
      <t xml:space="preserve">Home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Conditional Formatting…</t>
    </r>
  </si>
  <si>
    <r>
      <t xml:space="preserve">Press </t>
    </r>
    <r>
      <rPr>
        <sz val="12"/>
        <color indexed="56"/>
        <rFont val="Arial"/>
        <family val="2"/>
      </rPr>
      <t>Ctrl + F3</t>
    </r>
    <r>
      <rPr>
        <sz val="12"/>
        <rFont val="Arial"/>
        <family val="2"/>
      </rPr>
      <t xml:space="preserve"> or 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Define Name </t>
    </r>
    <r>
      <rPr>
        <sz val="12"/>
        <rFont val="Arial"/>
        <family val="2"/>
      </rPr>
      <t>from the menu.</t>
    </r>
  </si>
  <si>
    <r>
      <t xml:space="preserve">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Create from Selection </t>
    </r>
    <r>
      <rPr>
        <sz val="12"/>
        <rFont val="Arial"/>
        <family val="2"/>
      </rPr>
      <t>from the menu.</t>
    </r>
  </si>
  <si>
    <r>
      <t xml:space="preserve">With range name "Interest_At_Maturity" selected, 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Trace Precedents</t>
    </r>
    <r>
      <rPr>
        <sz val="12"/>
        <rFont val="Arial"/>
        <family val="2"/>
      </rPr>
      <t>.</t>
    </r>
  </si>
  <si>
    <r>
      <t>Select range name "Interest_At_Maturity". Click "</t>
    </r>
    <r>
      <rPr>
        <sz val="12"/>
        <color indexed="56"/>
        <rFont val="Arial"/>
        <family val="2"/>
      </rPr>
      <t>Formulas → Evaluate Formula</t>
    </r>
    <r>
      <rPr>
        <sz val="12"/>
        <color indexed="8"/>
        <rFont val="Arial"/>
        <family val="2"/>
      </rPr>
      <t>" to invoke the Evaluate Formula dialogue.</t>
    </r>
  </si>
  <si>
    <r>
      <t xml:space="preserve">Data </t>
    </r>
    <r>
      <rPr>
        <sz val="14"/>
        <color rgb="FF0000FF"/>
        <rFont val="Arial"/>
        <family val="2"/>
      </rPr>
      <t>→</t>
    </r>
    <r>
      <rPr>
        <sz val="14"/>
        <color rgb="FF0000FF"/>
        <rFont val="Times New Roman"/>
        <family val="1"/>
      </rPr>
      <t xml:space="preserve"> What-If Analysis </t>
    </r>
    <r>
      <rPr>
        <sz val="14"/>
        <color rgb="FF0000FF"/>
        <rFont val="Arial"/>
        <family val="2"/>
      </rPr>
      <t>→</t>
    </r>
    <r>
      <rPr>
        <sz val="14"/>
        <color rgb="FF0000FF"/>
        <rFont val="Times New Roman"/>
        <family val="1"/>
      </rPr>
      <t xml:space="preserve"> Data Table …</t>
    </r>
  </si>
  <si>
    <t>Insert → PivotTable</t>
  </si>
  <si>
    <r>
      <t xml:space="preserve">Go to </t>
    </r>
    <r>
      <rPr>
        <sz val="12"/>
        <color rgb="FF0000FF"/>
        <rFont val="Arial"/>
        <family val="2"/>
      </rPr>
      <t>Office Button</t>
    </r>
    <r>
      <rPr>
        <sz val="12"/>
        <rFont val="Arial"/>
        <family val="2"/>
      </rPr>
      <t xml:space="preserve"> (Top Left Corner). Click </t>
    </r>
    <r>
      <rPr>
        <sz val="12"/>
        <color rgb="FF0000FF"/>
        <rFont val="Arial"/>
        <family val="2"/>
      </rPr>
      <t>Excel Options</t>
    </r>
    <r>
      <rPr>
        <sz val="12"/>
        <rFont val="Arial"/>
        <family val="2"/>
      </rPr>
      <t>.</t>
    </r>
  </si>
  <si>
    <r>
      <t xml:space="preserve">Under </t>
    </r>
    <r>
      <rPr>
        <sz val="12"/>
        <color rgb="FF0000FF"/>
        <rFont val="Arial"/>
        <family val="2"/>
      </rPr>
      <t>Add-Ins</t>
    </r>
    <r>
      <rPr>
        <sz val="12"/>
        <rFont val="Arial"/>
        <family val="2"/>
      </rPr>
      <t xml:space="preserve">, enable </t>
    </r>
    <r>
      <rPr>
        <sz val="12"/>
        <color rgb="FF0000FF"/>
        <rFont val="Arial"/>
        <family val="2"/>
      </rPr>
      <t>Solver</t>
    </r>
  </si>
  <si>
    <r>
      <t xml:space="preserve">To invoke Solver, </t>
    </r>
    <r>
      <rPr>
        <sz val="12"/>
        <color rgb="FF0000FF"/>
        <rFont val="Arial"/>
        <family val="2"/>
      </rPr>
      <t>Data → Solver</t>
    </r>
  </si>
  <si>
    <t>View</t>
  </si>
  <si>
    <t>View: Freeze Panes, Split</t>
  </si>
  <si>
    <r>
      <t xml:space="preserve">Press </t>
    </r>
    <r>
      <rPr>
        <sz val="12"/>
        <color indexed="56"/>
        <rFont val="Arial"/>
        <family val="2"/>
      </rPr>
      <t>F1</t>
    </r>
    <r>
      <rPr>
        <sz val="12"/>
        <rFont val="Arial"/>
        <family val="2"/>
      </rPr>
      <t xml:space="preserve"> or select </t>
    </r>
    <r>
      <rPr>
        <sz val="12"/>
        <color indexed="56"/>
        <rFont val="Arial"/>
        <family val="2"/>
      </rPr>
      <t>Click the Excel Help button</t>
    </r>
    <r>
      <rPr>
        <sz val="12"/>
        <rFont val="Arial"/>
        <family val="2"/>
      </rPr>
      <t>.</t>
    </r>
  </si>
  <si>
    <r>
      <t xml:space="preserve">1. Press </t>
    </r>
    <r>
      <rPr>
        <sz val="12"/>
        <color indexed="56"/>
        <rFont val="Arial"/>
        <family val="2"/>
      </rPr>
      <t xml:space="preserve">Ctrl + G </t>
    </r>
    <r>
      <rPr>
        <sz val="12"/>
        <rFont val="Arial"/>
        <family val="2"/>
      </rPr>
      <t xml:space="preserve">or select </t>
    </r>
    <r>
      <rPr>
        <sz val="12"/>
        <color indexed="56"/>
        <rFont val="Arial"/>
        <family val="2"/>
      </rPr>
      <t xml:space="preserve">Home → Find &amp; Select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Go To…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</si>
  <si>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 xml:space="preserve">Home → Paste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Paste Special…</t>
    </r>
    <r>
      <rPr>
        <sz val="12"/>
        <rFont val="Arial"/>
        <family val="2"/>
      </rPr>
      <t>.
7. Check "Transpose" and click "OK"</t>
    </r>
  </si>
  <si>
    <t>Exercise: Generate another chart with 1,000 Rand( ) data points. Press F9 to regen another set.</t>
  </si>
  <si>
    <r>
      <t xml:space="preserve">Under </t>
    </r>
    <r>
      <rPr>
        <sz val="10"/>
        <color rgb="FF0000FF"/>
        <rFont val="Arial"/>
        <family val="2"/>
      </rPr>
      <t>Popular</t>
    </r>
    <r>
      <rPr>
        <sz val="10"/>
        <rFont val="Arial"/>
        <family val="2"/>
      </rPr>
      <t xml:space="preserve"> tab, check </t>
    </r>
    <r>
      <rPr>
        <sz val="10"/>
        <color rgb="FF0000FF"/>
        <rFont val="Arial"/>
        <family val="2"/>
      </rPr>
      <t>Show Developer tab in the Ribbon</t>
    </r>
    <r>
      <rPr>
        <sz val="10"/>
        <rFont val="Arial"/>
        <family val="2"/>
      </rPr>
      <t xml:space="preserve">. (2010 </t>
    </r>
    <r>
      <rPr>
        <sz val="10"/>
        <color rgb="FF0000FF"/>
        <rFont val="Arial"/>
        <family val="2"/>
      </rPr>
      <t>Customize Ribbon</t>
    </r>
    <r>
      <rPr>
        <sz val="10"/>
        <rFont val="Arial"/>
        <family val="2"/>
      </rPr>
      <t>)</t>
    </r>
  </si>
  <si>
    <t>NORMDIST(x, mean, standard_dev, cumulative)</t>
  </si>
</sst>
</file>

<file path=xl/styles.xml><?xml version="1.0" encoding="utf-8"?>
<styleSheet xmlns="http://schemas.openxmlformats.org/spreadsheetml/2006/main">
  <numFmts count="26">
    <numFmt numFmtId="5" formatCode="&quot;$&quot;#,##0_);\(&quot;$&quot;#,##0\)"/>
    <numFmt numFmtId="8" formatCode="&quot;$&quot;#,##0.00_);[Red]\(&quot;$&quot;#,##0.00\)"/>
    <numFmt numFmtId="164" formatCode="_-* #,##0.00_-;\-* #,##0.00_-;_-* &quot;-&quot;??_-;_-@_-"/>
    <numFmt numFmtId="165" formatCode="0.0%"/>
    <numFmt numFmtId="166" formatCode="0.0000"/>
    <numFmt numFmtId="167" formatCode="0.000"/>
    <numFmt numFmtId="168" formatCode="000000000.000"/>
    <numFmt numFmtId="169" formatCode="#.000"/>
    <numFmt numFmtId="170" formatCode="#,###,###.???"/>
    <numFmt numFmtId="171" formatCode="[Red][&lt;0]\-#.###;General"/>
    <numFmt numFmtId="172" formatCode="#,##0,\ &quot;K&quot;_);[Red]\(#,##0,\ &quot;K&quot;\)"/>
    <numFmt numFmtId="173" formatCode="_-&quot;$&quot;* 0,,\ &quot;Million&quot;_ ;[Red]\-&quot;$&quot;* 0,,\ &quot;Million&quot;_ "/>
    <numFmt numFmtId="174" formatCode="#.###;[Red][&lt;0]\-#.###;General"/>
    <numFmt numFmtId="175" formatCode="#,##0_-;[Red]#,##0\-"/>
    <numFmt numFmtId="176" formatCode="yyyymmdd"/>
    <numFmt numFmtId="177" formatCode="d/m/yyyy\ h:mm\ AM/PM"/>
    <numFmt numFmtId="178" formatCode="[$-409]d\-mmm\-yyyy\ h:mm\ AM/PM;@"/>
    <numFmt numFmtId="179" formatCode="d\-mmm\-yyyy"/>
    <numFmt numFmtId="180" formatCode="m/d/yyyy\ h:m"/>
    <numFmt numFmtId="181" formatCode="[$-409]d\-mmm\-yyyy;@"/>
    <numFmt numFmtId="182" formatCode="&quot;$&quot;#,##0"/>
    <numFmt numFmtId="183" formatCode="&quot;$&quot;#,##0.00"/>
    <numFmt numFmtId="184" formatCode="[$-F400]h:mm:ss\ AM/PM"/>
    <numFmt numFmtId="185" formatCode="d/m/yyyy\ h:mm:ss\ AM/PM"/>
    <numFmt numFmtId="186" formatCode="#,##0.0000_ "/>
    <numFmt numFmtId="187" formatCode="0.00_%"/>
  </numFmts>
  <fonts count="73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20"/>
      <color indexed="13"/>
      <name val="Arial"/>
      <family val="2"/>
    </font>
    <font>
      <sz val="16"/>
      <color indexed="13"/>
      <name val="Arial"/>
      <family val="2"/>
    </font>
    <font>
      <b/>
      <sz val="22"/>
      <name val="Book Antiqua"/>
      <family val="1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name val="細明體"/>
      <family val="3"/>
      <charset val="136"/>
    </font>
    <font>
      <sz val="9"/>
      <name val="新細明體"/>
      <family val="1"/>
      <charset val="136"/>
    </font>
    <font>
      <sz val="12"/>
      <color indexed="18"/>
      <name val="Times New Roman"/>
      <family val="1"/>
    </font>
    <font>
      <sz val="12"/>
      <name val="新細明體"/>
      <charset val="136"/>
    </font>
    <font>
      <b/>
      <sz val="12"/>
      <color indexed="18"/>
      <name val="Times New Roman"/>
      <family val="1"/>
    </font>
    <font>
      <sz val="12"/>
      <color indexed="56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u/>
      <sz val="10"/>
      <color indexed="12"/>
      <name val="Arial"/>
      <family val="2"/>
    </font>
    <font>
      <sz val="22"/>
      <color indexed="13"/>
      <name val="Times New Roman"/>
      <family val="1"/>
    </font>
    <font>
      <b/>
      <sz val="10"/>
      <color indexed="56"/>
      <name val="Arial"/>
      <family val="2"/>
    </font>
    <font>
      <b/>
      <sz val="12"/>
      <color indexed="56"/>
      <name val="Arial"/>
      <family val="2"/>
    </font>
    <font>
      <sz val="12"/>
      <color indexed="56"/>
      <name val="Symbol"/>
      <family val="1"/>
      <charset val="2"/>
    </font>
    <font>
      <b/>
      <sz val="8"/>
      <color indexed="81"/>
      <name val="Tahoma"/>
      <family val="2"/>
    </font>
    <font>
      <b/>
      <sz val="12"/>
      <color indexed="17"/>
      <name val="Arial"/>
      <family val="2"/>
    </font>
    <font>
      <b/>
      <sz val="14"/>
      <color indexed="17"/>
      <name val="Arial"/>
      <family val="2"/>
    </font>
    <font>
      <sz val="12"/>
      <color indexed="18"/>
      <name val="Arial"/>
      <family val="2"/>
    </font>
    <font>
      <b/>
      <sz val="12"/>
      <color indexed="50"/>
      <name val="Arial"/>
      <family val="2"/>
    </font>
    <font>
      <b/>
      <sz val="12"/>
      <color indexed="56"/>
      <name val="Symbol"/>
      <family val="1"/>
      <charset val="2"/>
    </font>
    <font>
      <b/>
      <sz val="12"/>
      <color indexed="8"/>
      <name val="Arial"/>
      <family val="2"/>
    </font>
    <font>
      <sz val="12"/>
      <color indexed="16"/>
      <name val="Arial"/>
      <family val="2"/>
    </font>
    <font>
      <sz val="14"/>
      <color indexed="17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sz val="10"/>
      <color indexed="47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7"/>
      <name val="Arial"/>
      <family val="2"/>
    </font>
    <font>
      <b/>
      <sz val="12"/>
      <color indexed="18"/>
      <name val="Arial"/>
      <family val="2"/>
    </font>
    <font>
      <sz val="10"/>
      <name val="Arial"/>
      <family val="2"/>
    </font>
    <font>
      <vertAlign val="subscript"/>
      <sz val="10"/>
      <color indexed="18"/>
      <name val="Arial"/>
      <family val="2"/>
    </font>
    <font>
      <sz val="9"/>
      <name val="新細明體"/>
      <charset val="136"/>
    </font>
    <font>
      <sz val="12"/>
      <name val="新細明體"/>
      <family val="1"/>
      <charset val="136"/>
    </font>
    <font>
      <sz val="22"/>
      <color indexed="13"/>
      <name val="Arial"/>
      <family val="2"/>
    </font>
    <font>
      <sz val="12"/>
      <color indexed="1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i/>
      <sz val="10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i/>
      <sz val="10"/>
      <name val="Times New Roman"/>
      <family val="1"/>
    </font>
    <font>
      <sz val="10"/>
      <name val="Verdana"/>
      <family val="2"/>
    </font>
    <font>
      <sz val="9"/>
      <color indexed="8"/>
      <name val="Verdana"/>
      <family val="2"/>
    </font>
    <font>
      <b/>
      <sz val="8"/>
      <color indexed="8"/>
      <name val="Verdana"/>
      <family val="2"/>
    </font>
    <font>
      <sz val="10"/>
      <color rgb="FF0000FF"/>
      <name val="Arial"/>
      <family val="2"/>
    </font>
    <font>
      <b/>
      <sz val="12"/>
      <color rgb="FF0000FF"/>
      <name val="Arial"/>
      <family val="2"/>
    </font>
    <font>
      <sz val="12"/>
      <color rgb="FF0000FF"/>
      <name val="Arial"/>
      <family val="2"/>
    </font>
    <font>
      <sz val="14"/>
      <color rgb="FF0000FF"/>
      <name val="Times New Roman"/>
      <family val="1"/>
    </font>
    <font>
      <sz val="14"/>
      <color rgb="FF0000FF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double">
        <color indexed="10"/>
      </bottom>
      <diagonal/>
    </border>
    <border>
      <left/>
      <right style="thin">
        <color indexed="10"/>
      </right>
      <top style="thin">
        <color indexed="10"/>
      </top>
      <bottom style="double">
        <color indexed="10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double">
        <color indexed="10"/>
      </bottom>
      <diagonal/>
    </border>
    <border>
      <left style="thin">
        <color indexed="10"/>
      </left>
      <right style="double">
        <color indexed="10"/>
      </right>
      <top/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double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56"/>
      </bottom>
      <diagonal/>
    </border>
    <border>
      <left/>
      <right/>
      <top style="thin">
        <color indexed="55"/>
      </top>
      <bottom style="thin">
        <color indexed="55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3" fillId="0" borderId="0"/>
    <xf numFmtId="0" fontId="54" fillId="0" borderId="0"/>
    <xf numFmtId="9" fontId="3" fillId="0" borderId="0" applyFont="0" applyFill="0" applyBorder="0" applyAlignment="0" applyProtection="0"/>
  </cellStyleXfs>
  <cellXfs count="477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13" fillId="0" borderId="0" xfId="0" applyFont="1"/>
    <xf numFmtId="0" fontId="15" fillId="0" borderId="0" xfId="0" applyFont="1"/>
    <xf numFmtId="0" fontId="16" fillId="0" borderId="0" xfId="0" applyFont="1"/>
    <xf numFmtId="0" fontId="18" fillId="2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15" fontId="6" fillId="0" borderId="0" xfId="0" applyNumberFormat="1" applyFont="1" applyAlignment="1">
      <alignment horizontal="center"/>
    </xf>
    <xf numFmtId="0" fontId="0" fillId="0" borderId="0" xfId="0" applyFill="1"/>
    <xf numFmtId="0" fontId="0" fillId="3" borderId="2" xfId="0" applyFill="1" applyBorder="1"/>
    <xf numFmtId="0" fontId="0" fillId="3" borderId="3" xfId="0" applyFill="1" applyBorder="1"/>
    <xf numFmtId="0" fontId="13" fillId="4" borderId="4" xfId="0" applyFont="1" applyFill="1" applyBorder="1" applyAlignment="1">
      <alignment horizontal="left" vertical="top" wrapText="1"/>
    </xf>
    <xf numFmtId="0" fontId="13" fillId="4" borderId="5" xfId="0" applyFont="1" applyFill="1" applyBorder="1" applyAlignment="1">
      <alignment horizontal="left" vertical="top" wrapText="1"/>
    </xf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0" fillId="4" borderId="9" xfId="0" applyFill="1" applyBorder="1"/>
    <xf numFmtId="0" fontId="18" fillId="4" borderId="10" xfId="0" applyFont="1" applyFill="1" applyBorder="1" applyAlignment="1">
      <alignment horizontal="left" vertical="top"/>
    </xf>
    <xf numFmtId="0" fontId="13" fillId="4" borderId="11" xfId="0" applyFont="1" applyFill="1" applyBorder="1" applyAlignment="1">
      <alignment horizontal="left" vertical="top"/>
    </xf>
    <xf numFmtId="0" fontId="0" fillId="0" borderId="0" xfId="0" applyFill="1" applyBorder="1"/>
    <xf numFmtId="0" fontId="0" fillId="4" borderId="0" xfId="0" applyFill="1"/>
    <xf numFmtId="0" fontId="0" fillId="4" borderId="12" xfId="0" applyFill="1" applyBorder="1"/>
    <xf numFmtId="0" fontId="27" fillId="0" borderId="0" xfId="0" applyFont="1"/>
    <xf numFmtId="167" fontId="0" fillId="0" borderId="0" xfId="0" applyNumberFormat="1"/>
    <xf numFmtId="9" fontId="0" fillId="0" borderId="0" xfId="0" applyNumberFormat="1"/>
    <xf numFmtId="9" fontId="0" fillId="0" borderId="0" xfId="6" applyNumberFormat="1" applyFont="1"/>
    <xf numFmtId="0" fontId="0" fillId="0" borderId="0" xfId="0" applyAlignment="1">
      <alignment horizontal="centerContinuous"/>
    </xf>
    <xf numFmtId="17" fontId="0" fillId="5" borderId="10" xfId="0" applyNumberFormat="1" applyFill="1" applyBorder="1"/>
    <xf numFmtId="1" fontId="0" fillId="5" borderId="0" xfId="0" applyNumberFormat="1" applyFill="1" applyBorder="1"/>
    <xf numFmtId="10" fontId="0" fillId="5" borderId="0" xfId="0" applyNumberFormat="1" applyFill="1" applyBorder="1"/>
    <xf numFmtId="17" fontId="0" fillId="5" borderId="11" xfId="0" applyNumberFormat="1" applyFill="1" applyBorder="1"/>
    <xf numFmtId="1" fontId="0" fillId="5" borderId="1" xfId="0" applyNumberFormat="1" applyFill="1" applyBorder="1"/>
    <xf numFmtId="10" fontId="0" fillId="5" borderId="1" xfId="0" applyNumberFormat="1" applyFill="1" applyBorder="1"/>
    <xf numFmtId="0" fontId="0" fillId="6" borderId="0" xfId="0" applyFill="1"/>
    <xf numFmtId="10" fontId="0" fillId="5" borderId="8" xfId="6" applyNumberFormat="1" applyFont="1" applyFill="1" applyBorder="1"/>
    <xf numFmtId="10" fontId="0" fillId="5" borderId="9" xfId="6" applyNumberFormat="1" applyFont="1" applyFill="1" applyBorder="1"/>
    <xf numFmtId="0" fontId="0" fillId="6" borderId="6" xfId="0" applyFill="1" applyBorder="1"/>
    <xf numFmtId="0" fontId="0" fillId="6" borderId="7" xfId="0" applyFill="1" applyBorder="1"/>
    <xf numFmtId="0" fontId="0" fillId="7" borderId="12" xfId="0" applyFill="1" applyBorder="1"/>
    <xf numFmtId="2" fontId="0" fillId="7" borderId="12" xfId="0" applyNumberFormat="1" applyFill="1" applyBorder="1"/>
    <xf numFmtId="166" fontId="0" fillId="0" borderId="12" xfId="0" applyNumberFormat="1" applyBorder="1"/>
    <xf numFmtId="166" fontId="0" fillId="0" borderId="13" xfId="0" applyNumberFormat="1" applyBorder="1"/>
    <xf numFmtId="0" fontId="0" fillId="7" borderId="14" xfId="0" applyFill="1" applyBorder="1"/>
    <xf numFmtId="2" fontId="0" fillId="0" borderId="12" xfId="0" applyNumberFormat="1" applyBorder="1"/>
    <xf numFmtId="0" fontId="27" fillId="0" borderId="0" xfId="3" quotePrefix="1" applyFont="1" applyAlignment="1">
      <alignment horizontal="left"/>
    </xf>
    <xf numFmtId="0" fontId="28" fillId="0" borderId="0" xfId="3" applyFont="1"/>
    <xf numFmtId="1" fontId="28" fillId="0" borderId="0" xfId="3" applyNumberFormat="1" applyFont="1"/>
    <xf numFmtId="0" fontId="10" fillId="8" borderId="0" xfId="0" applyFont="1" applyFill="1" applyBorder="1" applyAlignment="1">
      <alignment vertical="top" wrapText="1"/>
    </xf>
    <xf numFmtId="0" fontId="13" fillId="4" borderId="4" xfId="0" applyFont="1" applyFill="1" applyBorder="1" applyAlignment="1">
      <alignment horizontal="left" wrapText="1"/>
    </xf>
    <xf numFmtId="0" fontId="13" fillId="4" borderId="5" xfId="0" applyFont="1" applyFill="1" applyBorder="1" applyAlignment="1">
      <alignment horizontal="left" wrapText="1"/>
    </xf>
    <xf numFmtId="0" fontId="30" fillId="8" borderId="13" xfId="0" applyFont="1" applyFill="1" applyBorder="1"/>
    <xf numFmtId="0" fontId="11" fillId="9" borderId="0" xfId="2" applyFont="1" applyFill="1" applyAlignment="1" applyProtection="1">
      <alignment horizontal="left" vertical="center"/>
    </xf>
    <xf numFmtId="0" fontId="11" fillId="9" borderId="0" xfId="0" applyFont="1" applyFill="1" applyAlignment="1">
      <alignment horizontal="left" vertical="center"/>
    </xf>
    <xf numFmtId="0" fontId="30" fillId="8" borderId="11" xfId="0" applyFont="1" applyFill="1" applyBorder="1"/>
    <xf numFmtId="0" fontId="0" fillId="8" borderId="2" xfId="0" applyFill="1" applyBorder="1"/>
    <xf numFmtId="0" fontId="0" fillId="8" borderId="3" xfId="0" applyFill="1" applyBorder="1"/>
    <xf numFmtId="0" fontId="31" fillId="5" borderId="0" xfId="0" applyFont="1" applyFill="1"/>
    <xf numFmtId="0" fontId="1" fillId="0" borderId="0" xfId="0" applyFont="1" applyAlignment="1">
      <alignment horizontal="left"/>
    </xf>
    <xf numFmtId="0" fontId="31" fillId="0" borderId="0" xfId="0" applyFont="1" applyFill="1"/>
    <xf numFmtId="0" fontId="31" fillId="5" borderId="0" xfId="0" applyFont="1" applyFill="1" applyAlignment="1">
      <alignment wrapText="1"/>
    </xf>
    <xf numFmtId="0" fontId="15" fillId="0" borderId="0" xfId="0" applyFont="1" applyAlignment="1">
      <alignment wrapText="1"/>
    </xf>
    <xf numFmtId="0" fontId="31" fillId="0" borderId="0" xfId="0" applyFont="1" applyFill="1" applyAlignment="1">
      <alignment wrapText="1"/>
    </xf>
    <xf numFmtId="0" fontId="15" fillId="4" borderId="0" xfId="0" applyFont="1" applyFill="1" applyBorder="1"/>
    <xf numFmtId="0" fontId="15" fillId="4" borderId="1" xfId="0" applyFont="1" applyFill="1" applyBorder="1"/>
    <xf numFmtId="0" fontId="15" fillId="4" borderId="15" xfId="0" applyFont="1" applyFill="1" applyBorder="1"/>
    <xf numFmtId="0" fontId="1" fillId="0" borderId="0" xfId="0" applyFont="1" applyFill="1" applyBorder="1"/>
    <xf numFmtId="0" fontId="1" fillId="5" borderId="0" xfId="0" applyFont="1" applyFill="1" applyAlignment="1">
      <alignment horizontal="right"/>
    </xf>
    <xf numFmtId="0" fontId="13" fillId="0" borderId="0" xfId="0" applyFont="1" applyFill="1" applyBorder="1"/>
    <xf numFmtId="0" fontId="26" fillId="0" borderId="0" xfId="0" applyFont="1" applyFill="1" applyBorder="1"/>
    <xf numFmtId="0" fontId="13" fillId="4" borderId="0" xfId="0" applyNumberFormat="1" applyFont="1" applyFill="1" applyBorder="1" applyAlignment="1">
      <alignment horizontal="left"/>
    </xf>
    <xf numFmtId="0" fontId="13" fillId="4" borderId="1" xfId="0" applyNumberFormat="1" applyFont="1" applyFill="1" applyBorder="1" applyAlignment="1">
      <alignment horizontal="left"/>
    </xf>
    <xf numFmtId="0" fontId="1" fillId="5" borderId="0" xfId="0" applyFont="1" applyFill="1"/>
    <xf numFmtId="0" fontId="13" fillId="4" borderId="1" xfId="0" applyFont="1" applyFill="1" applyBorder="1"/>
    <xf numFmtId="0" fontId="16" fillId="0" borderId="1" xfId="0" applyFont="1" applyBorder="1"/>
    <xf numFmtId="0" fontId="15" fillId="0" borderId="1" xfId="0" applyFont="1" applyBorder="1"/>
    <xf numFmtId="0" fontId="31" fillId="0" borderId="0" xfId="0" applyFont="1" applyFill="1" applyAlignment="1"/>
    <xf numFmtId="0" fontId="32" fillId="4" borderId="0" xfId="0" applyFont="1" applyFill="1" applyBorder="1"/>
    <xf numFmtId="0" fontId="32" fillId="4" borderId="1" xfId="0" applyFont="1" applyFill="1" applyBorder="1"/>
    <xf numFmtId="0" fontId="13" fillId="4" borderId="0" xfId="0" applyFont="1" applyFill="1" applyBorder="1"/>
    <xf numFmtId="0" fontId="13" fillId="4" borderId="8" xfId="0" applyFont="1" applyFill="1" applyBorder="1"/>
    <xf numFmtId="0" fontId="13" fillId="4" borderId="9" xfId="0" applyFont="1" applyFill="1" applyBorder="1"/>
    <xf numFmtId="0" fontId="0" fillId="8" borderId="0" xfId="0" applyFill="1" applyBorder="1"/>
    <xf numFmtId="0" fontId="0" fillId="3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right"/>
    </xf>
    <xf numFmtId="20" fontId="0" fillId="0" borderId="0" xfId="0" applyNumberFormat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0" fillId="5" borderId="16" xfId="0" applyFill="1" applyBorder="1"/>
    <xf numFmtId="0" fontId="1" fillId="5" borderId="16" xfId="0" applyFont="1" applyFill="1" applyBorder="1" applyAlignment="1">
      <alignment horizontal="center"/>
    </xf>
    <xf numFmtId="0" fontId="1" fillId="5" borderId="16" xfId="0" applyFont="1" applyFill="1" applyBorder="1"/>
    <xf numFmtId="0" fontId="1" fillId="5" borderId="16" xfId="0" applyFont="1" applyFill="1" applyBorder="1" applyAlignment="1">
      <alignment horizontal="left"/>
    </xf>
    <xf numFmtId="0" fontId="1" fillId="5" borderId="16" xfId="0" applyFont="1" applyFill="1" applyBorder="1" applyAlignment="1">
      <alignment horizontal="right" wrapText="1"/>
    </xf>
    <xf numFmtId="0" fontId="15" fillId="4" borderId="14" xfId="0" applyFont="1" applyFill="1" applyBorder="1" applyAlignment="1">
      <alignment horizontal="left" vertical="top" wrapText="1"/>
    </xf>
    <xf numFmtId="0" fontId="26" fillId="0" borderId="0" xfId="0" applyFont="1"/>
    <xf numFmtId="0" fontId="18" fillId="4" borderId="4" xfId="0" applyFont="1" applyFill="1" applyBorder="1" applyAlignment="1">
      <alignment horizontal="left" vertical="top"/>
    </xf>
    <xf numFmtId="0" fontId="18" fillId="4" borderId="4" xfId="0" applyFont="1" applyFill="1" applyBorder="1" applyAlignment="1">
      <alignment horizontal="left" vertical="top" wrapText="1"/>
    </xf>
    <xf numFmtId="0" fontId="15" fillId="4" borderId="7" xfId="0" applyFont="1" applyFill="1" applyBorder="1" applyAlignment="1">
      <alignment horizontal="left" vertical="top" wrapText="1"/>
    </xf>
    <xf numFmtId="0" fontId="13" fillId="4" borderId="5" xfId="0" applyFont="1" applyFill="1" applyBorder="1" applyAlignment="1">
      <alignment horizontal="left" vertical="top"/>
    </xf>
    <xf numFmtId="0" fontId="18" fillId="4" borderId="0" xfId="0" applyFont="1" applyFill="1" applyBorder="1" applyAlignment="1">
      <alignment horizontal="left" vertical="top"/>
    </xf>
    <xf numFmtId="0" fontId="18" fillId="4" borderId="1" xfId="0" applyFont="1" applyFill="1" applyBorder="1" applyAlignment="1">
      <alignment horizontal="left" vertical="top"/>
    </xf>
    <xf numFmtId="0" fontId="15" fillId="4" borderId="0" xfId="0" applyFont="1" applyFill="1" applyBorder="1" applyAlignment="1">
      <alignment horizontal="left" vertical="top"/>
    </xf>
    <xf numFmtId="0" fontId="0" fillId="5" borderId="0" xfId="0" applyFill="1"/>
    <xf numFmtId="0" fontId="1" fillId="0" borderId="0" xfId="0" applyFont="1" applyAlignment="1">
      <alignment horizontal="right"/>
    </xf>
    <xf numFmtId="0" fontId="1" fillId="3" borderId="0" xfId="0" applyFont="1" applyFill="1" applyAlignment="1">
      <alignment horizontal="right" wrapText="1"/>
    </xf>
    <xf numFmtId="0" fontId="1" fillId="3" borderId="17" xfId="0" applyFont="1" applyFill="1" applyBorder="1" applyAlignment="1">
      <alignment horizontal="right" wrapText="1"/>
    </xf>
    <xf numFmtId="0" fontId="1" fillId="3" borderId="17" xfId="0" quotePrefix="1" applyFont="1" applyFill="1" applyBorder="1" applyAlignment="1">
      <alignment horizontal="right" wrapText="1"/>
    </xf>
    <xf numFmtId="169" fontId="0" fillId="3" borderId="17" xfId="0" applyNumberFormat="1" applyFill="1" applyBorder="1"/>
    <xf numFmtId="168" fontId="0" fillId="5" borderId="17" xfId="0" applyNumberFormat="1" applyFill="1" applyBorder="1"/>
    <xf numFmtId="174" fontId="0" fillId="5" borderId="17" xfId="0" applyNumberFormat="1" applyFill="1" applyBorder="1"/>
    <xf numFmtId="175" fontId="0" fillId="5" borderId="17" xfId="0" applyNumberFormat="1" applyFill="1" applyBorder="1"/>
    <xf numFmtId="173" fontId="0" fillId="5" borderId="17" xfId="0" applyNumberFormat="1" applyFill="1" applyBorder="1"/>
    <xf numFmtId="172" fontId="0" fillId="5" borderId="17" xfId="0" applyNumberFormat="1" applyFill="1" applyBorder="1"/>
    <xf numFmtId="170" fontId="0" fillId="5" borderId="17" xfId="0" applyNumberFormat="1" applyFill="1" applyBorder="1"/>
    <xf numFmtId="0" fontId="0" fillId="3" borderId="17" xfId="0" applyFill="1" applyBorder="1"/>
    <xf numFmtId="171" fontId="0" fillId="5" borderId="17" xfId="0" applyNumberFormat="1" applyFill="1" applyBorder="1"/>
    <xf numFmtId="0" fontId="15" fillId="5" borderId="17" xfId="0" applyFont="1" applyFill="1" applyBorder="1" applyAlignment="1">
      <alignment horizontal="right"/>
    </xf>
    <xf numFmtId="169" fontId="0" fillId="3" borderId="18" xfId="0" applyNumberFormat="1" applyFill="1" applyBorder="1"/>
    <xf numFmtId="0" fontId="0" fillId="3" borderId="18" xfId="0" applyFill="1" applyBorder="1"/>
    <xf numFmtId="0" fontId="1" fillId="3" borderId="19" xfId="0" applyFont="1" applyFill="1" applyBorder="1" applyAlignment="1">
      <alignment horizontal="right" wrapText="1"/>
    </xf>
    <xf numFmtId="0" fontId="1" fillId="3" borderId="19" xfId="0" quotePrefix="1" applyFont="1" applyFill="1" applyBorder="1" applyAlignment="1">
      <alignment horizontal="right" wrapText="1"/>
    </xf>
    <xf numFmtId="0" fontId="0" fillId="0" borderId="17" xfId="0" applyBorder="1"/>
    <xf numFmtId="0" fontId="36" fillId="0" borderId="0" xfId="0" applyFont="1"/>
    <xf numFmtId="0" fontId="13" fillId="0" borderId="0" xfId="0" applyFont="1" applyAlignment="1">
      <alignment horizontal="right"/>
    </xf>
    <xf numFmtId="14" fontId="0" fillId="5" borderId="0" xfId="0" applyNumberFormat="1" applyFill="1"/>
    <xf numFmtId="176" fontId="0" fillId="5" borderId="0" xfId="0" applyNumberFormat="1" applyFill="1"/>
    <xf numFmtId="0" fontId="0" fillId="5" borderId="0" xfId="0" applyNumberFormat="1" applyFill="1"/>
    <xf numFmtId="0" fontId="1" fillId="3" borderId="0" xfId="0" applyFont="1" applyFill="1" applyAlignment="1">
      <alignment horizontal="right"/>
    </xf>
    <xf numFmtId="0" fontId="15" fillId="5" borderId="0" xfId="0" applyFont="1" applyFill="1" applyAlignment="1">
      <alignment horizontal="right" wrapText="1"/>
    </xf>
    <xf numFmtId="0" fontId="1" fillId="0" borderId="0" xfId="0" applyFont="1" applyFill="1" applyAlignment="1"/>
    <xf numFmtId="0" fontId="2" fillId="3" borderId="0" xfId="0" applyFont="1" applyFill="1" applyAlignment="1">
      <alignment horizontal="right"/>
    </xf>
    <xf numFmtId="0" fontId="37" fillId="0" borderId="0" xfId="0" applyFont="1" applyAlignment="1">
      <alignment horizontal="left"/>
    </xf>
    <xf numFmtId="178" fontId="2" fillId="3" borderId="0" xfId="0" applyNumberFormat="1" applyFont="1" applyFill="1" applyAlignment="1">
      <alignment horizontal="right"/>
    </xf>
    <xf numFmtId="179" fontId="2" fillId="3" borderId="0" xfId="0" applyNumberFormat="1" applyFont="1" applyFill="1"/>
    <xf numFmtId="180" fontId="0" fillId="5" borderId="0" xfId="0" applyNumberFormat="1" applyFill="1"/>
    <xf numFmtId="0" fontId="36" fillId="0" borderId="0" xfId="0" applyFont="1" applyAlignment="1">
      <alignment horizontal="left"/>
    </xf>
    <xf numFmtId="0" fontId="35" fillId="4" borderId="0" xfId="0" applyFont="1" applyFill="1" applyBorder="1"/>
    <xf numFmtId="0" fontId="38" fillId="4" borderId="0" xfId="0" applyFont="1" applyFill="1" applyBorder="1"/>
    <xf numFmtId="0" fontId="38" fillId="4" borderId="17" xfId="0" applyFont="1" applyFill="1" applyBorder="1" applyAlignment="1"/>
    <xf numFmtId="0" fontId="38" fillId="4" borderId="18" xfId="0" applyFont="1" applyFill="1" applyBorder="1" applyAlignment="1"/>
    <xf numFmtId="0" fontId="0" fillId="0" borderId="10" xfId="0" applyBorder="1"/>
    <xf numFmtId="0" fontId="1" fillId="3" borderId="0" xfId="0" applyFont="1" applyFill="1"/>
    <xf numFmtId="0" fontId="35" fillId="4" borderId="14" xfId="0" applyFont="1" applyFill="1" applyBorder="1"/>
    <xf numFmtId="0" fontId="35" fillId="4" borderId="4" xfId="0" applyFont="1" applyFill="1" applyBorder="1"/>
    <xf numFmtId="0" fontId="35" fillId="4" borderId="5" xfId="0" applyFont="1" applyFill="1" applyBorder="1"/>
    <xf numFmtId="0" fontId="32" fillId="4" borderId="4" xfId="0" applyFont="1" applyFill="1" applyBorder="1" applyAlignment="1">
      <alignment wrapText="1"/>
    </xf>
    <xf numFmtId="0" fontId="35" fillId="4" borderId="4" xfId="0" applyFont="1" applyFill="1" applyBorder="1" applyAlignment="1"/>
    <xf numFmtId="49" fontId="0" fillId="0" borderId="0" xfId="0" quotePrefix="1" applyNumberFormat="1" applyAlignment="1"/>
    <xf numFmtId="0" fontId="32" fillId="4" borderId="4" xfId="0" applyFont="1" applyFill="1" applyBorder="1" applyAlignment="1"/>
    <xf numFmtId="0" fontId="38" fillId="4" borderId="0" xfId="0" applyFont="1" applyFill="1" applyBorder="1" applyAlignment="1"/>
    <xf numFmtId="0" fontId="0" fillId="4" borderId="17" xfId="0" applyFill="1" applyBorder="1"/>
    <xf numFmtId="0" fontId="0" fillId="14" borderId="0" xfId="0" applyFill="1" applyBorder="1"/>
    <xf numFmtId="0" fontId="0" fillId="15" borderId="0" xfId="0" applyFill="1" applyBorder="1"/>
    <xf numFmtId="0" fontId="0" fillId="16" borderId="0" xfId="0" applyFill="1" applyBorder="1"/>
    <xf numFmtId="0" fontId="0" fillId="18" borderId="0" xfId="0" applyFill="1" applyBorder="1"/>
    <xf numFmtId="0" fontId="0" fillId="19" borderId="0" xfId="0" applyFill="1" applyBorder="1"/>
    <xf numFmtId="0" fontId="0" fillId="3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0" fontId="38" fillId="4" borderId="8" xfId="0" applyFont="1" applyFill="1" applyBorder="1" applyAlignment="1"/>
    <xf numFmtId="0" fontId="35" fillId="4" borderId="1" xfId="0" applyFont="1" applyFill="1" applyBorder="1"/>
    <xf numFmtId="0" fontId="38" fillId="4" borderId="1" xfId="0" applyFont="1" applyFill="1" applyBorder="1" applyAlignment="1"/>
    <xf numFmtId="0" fontId="38" fillId="4" borderId="29" xfId="0" applyFont="1" applyFill="1" applyBorder="1" applyAlignment="1"/>
    <xf numFmtId="0" fontId="35" fillId="0" borderId="0" xfId="0" applyFont="1" applyFill="1" applyBorder="1"/>
    <xf numFmtId="0" fontId="38" fillId="0" borderId="0" xfId="0" applyFont="1" applyFill="1" applyBorder="1" applyAlignment="1"/>
    <xf numFmtId="0" fontId="35" fillId="0" borderId="1" xfId="0" applyFont="1" applyFill="1" applyBorder="1"/>
    <xf numFmtId="0" fontId="38" fillId="0" borderId="1" xfId="0" applyFont="1" applyFill="1" applyBorder="1" applyAlignment="1"/>
    <xf numFmtId="0" fontId="40" fillId="4" borderId="0" xfId="0" applyFont="1" applyFill="1" applyBorder="1" applyAlignment="1">
      <alignment horizontal="left" vertical="top"/>
    </xf>
    <xf numFmtId="0" fontId="0" fillId="5" borderId="17" xfId="0" applyFill="1" applyBorder="1"/>
    <xf numFmtId="0" fontId="0" fillId="5" borderId="18" xfId="0" applyFill="1" applyBorder="1"/>
    <xf numFmtId="0" fontId="17" fillId="2" borderId="1" xfId="0" applyFont="1" applyFill="1" applyBorder="1" applyAlignment="1">
      <alignment horizontal="left" vertical="top"/>
    </xf>
    <xf numFmtId="0" fontId="18" fillId="4" borderId="8" xfId="0" applyFont="1" applyFill="1" applyBorder="1" applyAlignment="1">
      <alignment horizontal="left" vertical="top"/>
    </xf>
    <xf numFmtId="0" fontId="41" fillId="4" borderId="11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left" vertical="top"/>
    </xf>
    <xf numFmtId="0" fontId="18" fillId="2" borderId="1" xfId="0" applyFont="1" applyFill="1" applyBorder="1" applyAlignment="1">
      <alignment horizontal="left" vertical="top"/>
    </xf>
    <xf numFmtId="0" fontId="13" fillId="4" borderId="10" xfId="0" applyFont="1" applyFill="1" applyBorder="1" applyAlignment="1">
      <alignment horizontal="left" vertical="top"/>
    </xf>
    <xf numFmtId="0" fontId="13" fillId="4" borderId="0" xfId="0" applyFont="1" applyFill="1" applyBorder="1" applyAlignment="1">
      <alignment horizontal="left" vertical="top"/>
    </xf>
    <xf numFmtId="0" fontId="0" fillId="3" borderId="0" xfId="0" applyFill="1" applyAlignment="1">
      <alignment horizontal="center"/>
    </xf>
    <xf numFmtId="0" fontId="0" fillId="5" borderId="17" xfId="0" applyFill="1" applyBorder="1" applyAlignment="1">
      <alignment horizontal="left"/>
    </xf>
    <xf numFmtId="181" fontId="0" fillId="5" borderId="17" xfId="0" applyNumberFormat="1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10" fontId="0" fillId="5" borderId="17" xfId="0" applyNumberFormat="1" applyFill="1" applyBorder="1" applyAlignment="1">
      <alignment horizontal="center"/>
    </xf>
    <xf numFmtId="182" fontId="0" fillId="5" borderId="17" xfId="0" applyNumberFormat="1" applyFill="1" applyBorder="1" applyAlignment="1">
      <alignment horizontal="center"/>
    </xf>
    <xf numFmtId="183" fontId="43" fillId="5" borderId="17" xfId="0" applyNumberFormat="1" applyFont="1" applyFill="1" applyBorder="1" applyAlignment="1">
      <alignment horizontal="center"/>
    </xf>
    <xf numFmtId="0" fontId="3" fillId="4" borderId="0" xfId="0" applyFont="1" applyFill="1"/>
    <xf numFmtId="0" fontId="42" fillId="4" borderId="0" xfId="0" applyFont="1" applyFill="1" applyBorder="1" applyAlignment="1">
      <alignment horizontal="left" vertical="top"/>
    </xf>
    <xf numFmtId="0" fontId="44" fillId="4" borderId="0" xfId="0" applyFont="1" applyFill="1" applyBorder="1" applyAlignment="1">
      <alignment horizontal="left" vertical="top"/>
    </xf>
    <xf numFmtId="183" fontId="45" fillId="4" borderId="30" xfId="0" applyNumberFormat="1" applyFont="1" applyFill="1" applyBorder="1" applyAlignment="1">
      <alignment horizontal="center"/>
    </xf>
    <xf numFmtId="15" fontId="0" fillId="4" borderId="0" xfId="0" applyNumberFormat="1" applyFill="1" applyBorder="1"/>
    <xf numFmtId="0" fontId="38" fillId="4" borderId="9" xfId="0" applyFont="1" applyFill="1" applyBorder="1" applyAlignment="1"/>
    <xf numFmtId="0" fontId="1" fillId="3" borderId="31" xfId="0" applyFont="1" applyFill="1" applyBorder="1" applyAlignment="1">
      <alignment horizontal="right" wrapText="1"/>
    </xf>
    <xf numFmtId="0" fontId="0" fillId="0" borderId="18" xfId="0" applyBorder="1"/>
    <xf numFmtId="0" fontId="0" fillId="0" borderId="8" xfId="0" applyFill="1" applyBorder="1"/>
    <xf numFmtId="0" fontId="15" fillId="3" borderId="17" xfId="0" applyFont="1" applyFill="1" applyBorder="1" applyAlignment="1">
      <alignment horizontal="right"/>
    </xf>
    <xf numFmtId="0" fontId="42" fillId="0" borderId="0" xfId="0" applyFont="1" applyFill="1" applyBorder="1" applyAlignment="1">
      <alignment horizontal="left" vertical="top"/>
    </xf>
    <xf numFmtId="0" fontId="30" fillId="8" borderId="0" xfId="0" applyFont="1" applyFill="1" applyBorder="1"/>
    <xf numFmtId="0" fontId="30" fillId="0" borderId="0" xfId="0" applyFont="1" applyFill="1" applyBorder="1"/>
    <xf numFmtId="0" fontId="16" fillId="5" borderId="0" xfId="0" applyFont="1" applyFill="1"/>
    <xf numFmtId="0" fontId="15" fillId="4" borderId="0" xfId="0" applyFont="1" applyFill="1"/>
    <xf numFmtId="0" fontId="16" fillId="4" borderId="0" xfId="0" applyFont="1" applyFill="1"/>
    <xf numFmtId="0" fontId="35" fillId="4" borderId="0" xfId="0" applyFont="1" applyFill="1"/>
    <xf numFmtId="0" fontId="37" fillId="4" borderId="0" xfId="0" applyFont="1" applyFill="1"/>
    <xf numFmtId="0" fontId="0" fillId="0" borderId="2" xfId="0" applyBorder="1"/>
    <xf numFmtId="0" fontId="46" fillId="20" borderId="0" xfId="0" applyFont="1" applyFill="1"/>
    <xf numFmtId="0" fontId="16" fillId="20" borderId="0" xfId="0" applyFont="1" applyFill="1"/>
    <xf numFmtId="0" fontId="0" fillId="20" borderId="0" xfId="0" applyFill="1"/>
    <xf numFmtId="0" fontId="16" fillId="4" borderId="0" xfId="0" applyFont="1" applyFill="1" applyBorder="1"/>
    <xf numFmtId="0" fontId="13" fillId="4" borderId="0" xfId="0" applyFont="1" applyFill="1"/>
    <xf numFmtId="0" fontId="13" fillId="3" borderId="17" xfId="0" applyFont="1" applyFill="1" applyBorder="1"/>
    <xf numFmtId="182" fontId="16" fillId="5" borderId="17" xfId="0" applyNumberFormat="1" applyFont="1" applyFill="1" applyBorder="1"/>
    <xf numFmtId="0" fontId="13" fillId="3" borderId="17" xfId="0" applyFont="1" applyFill="1" applyBorder="1" applyAlignment="1">
      <alignment horizontal="left"/>
    </xf>
    <xf numFmtId="0" fontId="13" fillId="3" borderId="31" xfId="0" applyFont="1" applyFill="1" applyBorder="1"/>
    <xf numFmtId="182" fontId="16" fillId="3" borderId="32" xfId="0" applyNumberFormat="1" applyFont="1" applyFill="1" applyBorder="1"/>
    <xf numFmtId="0" fontId="0" fillId="3" borderId="33" xfId="0" applyFill="1" applyBorder="1" applyAlignment="1">
      <alignment horizontal="left" vertical="top" wrapText="1"/>
    </xf>
    <xf numFmtId="9" fontId="0" fillId="5" borderId="33" xfId="0" applyNumberFormat="1" applyFill="1" applyBorder="1" applyAlignment="1">
      <alignment horizontal="right" vertical="top" wrapText="1"/>
    </xf>
    <xf numFmtId="0" fontId="3" fillId="5" borderId="19" xfId="0" applyFont="1" applyFill="1" applyBorder="1" applyAlignment="1">
      <alignment horizontal="right"/>
    </xf>
    <xf numFmtId="0" fontId="3" fillId="5" borderId="34" xfId="0" applyFont="1" applyFill="1" applyBorder="1" applyAlignment="1">
      <alignment horizontal="right"/>
    </xf>
    <xf numFmtId="182" fontId="16" fillId="5" borderId="19" xfId="0" applyNumberFormat="1" applyFont="1" applyFill="1" applyBorder="1"/>
    <xf numFmtId="182" fontId="16" fillId="5" borderId="34" xfId="0" applyNumberFormat="1" applyFont="1" applyFill="1" applyBorder="1"/>
    <xf numFmtId="9" fontId="0" fillId="5" borderId="18" xfId="0" applyNumberFormat="1" applyFill="1" applyBorder="1" applyAlignment="1">
      <alignment horizontal="right" vertical="top" wrapText="1"/>
    </xf>
    <xf numFmtId="0" fontId="16" fillId="3" borderId="11" xfId="0" applyFont="1" applyFill="1" applyBorder="1"/>
    <xf numFmtId="182" fontId="16" fillId="7" borderId="17" xfId="0" applyNumberFormat="1" applyFont="1" applyFill="1" applyBorder="1"/>
    <xf numFmtId="182" fontId="16" fillId="7" borderId="34" xfId="0" applyNumberFormat="1" applyFont="1" applyFill="1" applyBorder="1"/>
    <xf numFmtId="182" fontId="16" fillId="7" borderId="35" xfId="0" applyNumberFormat="1" applyFont="1" applyFill="1" applyBorder="1"/>
    <xf numFmtId="0" fontId="0" fillId="5" borderId="17" xfId="0" applyFill="1" applyBorder="1" applyAlignment="1">
      <alignment horizontal="right" vertical="top" wrapText="1"/>
    </xf>
    <xf numFmtId="0" fontId="13" fillId="5" borderId="17" xfId="0" applyFont="1" applyFill="1" applyBorder="1" applyAlignment="1">
      <alignment horizontal="right" vertical="top" wrapText="1"/>
    </xf>
    <xf numFmtId="0" fontId="13" fillId="16" borderId="17" xfId="0" applyFont="1" applyFill="1" applyBorder="1" applyAlignment="1">
      <alignment horizontal="right" wrapText="1"/>
    </xf>
    <xf numFmtId="0" fontId="47" fillId="3" borderId="18" xfId="0" applyFont="1" applyFill="1" applyBorder="1" applyAlignment="1">
      <alignment horizontal="right" vertical="center" wrapText="1"/>
    </xf>
    <xf numFmtId="0" fontId="37" fillId="3" borderId="0" xfId="0" applyFont="1" applyFill="1"/>
    <xf numFmtId="0" fontId="16" fillId="3" borderId="0" xfId="0" applyFont="1" applyFill="1"/>
    <xf numFmtId="0" fontId="16" fillId="5" borderId="0" xfId="0" applyFont="1" applyFill="1" applyAlignment="1">
      <alignment horizontal="left"/>
    </xf>
    <xf numFmtId="0" fontId="16" fillId="3" borderId="0" xfId="0" applyFont="1" applyFill="1" applyAlignment="1">
      <alignment horizontal="right"/>
    </xf>
    <xf numFmtId="0" fontId="16" fillId="3" borderId="0" xfId="0" applyFont="1" applyFill="1" applyBorder="1"/>
    <xf numFmtId="0" fontId="13" fillId="20" borderId="0" xfId="0" applyFont="1" applyFill="1"/>
    <xf numFmtId="0" fontId="13" fillId="0" borderId="1" xfId="0" applyFont="1" applyBorder="1"/>
    <xf numFmtId="0" fontId="13" fillId="4" borderId="7" xfId="0" applyFont="1" applyFill="1" applyBorder="1"/>
    <xf numFmtId="8" fontId="13" fillId="4" borderId="0" xfId="0" applyNumberFormat="1" applyFont="1" applyFill="1"/>
    <xf numFmtId="15" fontId="13" fillId="5" borderId="17" xfId="0" applyNumberFormat="1" applyFont="1" applyFill="1" applyBorder="1"/>
    <xf numFmtId="8" fontId="13" fillId="6" borderId="0" xfId="0" applyNumberFormat="1" applyFont="1" applyFill="1"/>
    <xf numFmtId="0" fontId="13" fillId="5" borderId="17" xfId="0" applyFont="1" applyFill="1" applyBorder="1"/>
    <xf numFmtId="8" fontId="13" fillId="5" borderId="17" xfId="0" applyNumberFormat="1" applyFont="1" applyFill="1" applyBorder="1"/>
    <xf numFmtId="0" fontId="13" fillId="0" borderId="2" xfId="0" applyFont="1" applyBorder="1"/>
    <xf numFmtId="9" fontId="13" fillId="4" borderId="0" xfId="0" applyNumberFormat="1" applyFont="1" applyFill="1"/>
    <xf numFmtId="1" fontId="13" fillId="4" borderId="0" xfId="0" applyNumberFormat="1" applyFont="1" applyFill="1"/>
    <xf numFmtId="0" fontId="36" fillId="0" borderId="0" xfId="0" applyFont="1" applyFill="1"/>
    <xf numFmtId="14" fontId="16" fillId="5" borderId="0" xfId="0" applyNumberFormat="1" applyFont="1" applyFill="1"/>
    <xf numFmtId="184" fontId="16" fillId="5" borderId="0" xfId="0" applyNumberFormat="1" applyFont="1" applyFill="1"/>
    <xf numFmtId="0" fontId="16" fillId="5" borderId="0" xfId="0" applyNumberFormat="1" applyFont="1" applyFill="1"/>
    <xf numFmtId="185" fontId="16" fillId="5" borderId="0" xfId="0" applyNumberFormat="1" applyFont="1" applyFill="1"/>
    <xf numFmtId="0" fontId="16" fillId="16" borderId="17" xfId="0" applyFont="1" applyFill="1" applyBorder="1"/>
    <xf numFmtId="14" fontId="16" fillId="7" borderId="17" xfId="0" applyNumberFormat="1" applyFont="1" applyFill="1" applyBorder="1"/>
    <xf numFmtId="0" fontId="15" fillId="3" borderId="17" xfId="0" applyFont="1" applyFill="1" applyBorder="1" applyAlignment="1">
      <alignment horizontal="center"/>
    </xf>
    <xf numFmtId="0" fontId="9" fillId="19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7" fillId="21" borderId="0" xfId="0" applyFont="1" applyFill="1" applyAlignment="1">
      <alignment horizontal="right"/>
    </xf>
    <xf numFmtId="3" fontId="7" fillId="21" borderId="0" xfId="0" applyNumberFormat="1" applyFont="1" applyFill="1" applyAlignment="1">
      <alignment horizontal="right"/>
    </xf>
    <xf numFmtId="0" fontId="9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right"/>
    </xf>
    <xf numFmtId="3" fontId="7" fillId="0" borderId="0" xfId="0" applyNumberFormat="1" applyFont="1" applyFill="1" applyAlignment="1">
      <alignment horizontal="right"/>
    </xf>
    <xf numFmtId="22" fontId="7" fillId="0" borderId="0" xfId="0" applyNumberFormat="1" applyFont="1" applyFill="1" applyAlignment="1">
      <alignment horizontal="left"/>
    </xf>
    <xf numFmtId="0" fontId="7" fillId="21" borderId="0" xfId="0" applyFont="1" applyFill="1" applyAlignment="1">
      <alignment horizontal="center"/>
    </xf>
    <xf numFmtId="0" fontId="7" fillId="21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16" fillId="0" borderId="0" xfId="0" applyFont="1" applyFill="1"/>
    <xf numFmtId="0" fontId="16" fillId="5" borderId="17" xfId="0" applyFont="1" applyFill="1" applyBorder="1" applyAlignment="1">
      <alignment horizontal="center"/>
    </xf>
    <xf numFmtId="0" fontId="16" fillId="5" borderId="17" xfId="0" applyFont="1" applyFill="1" applyBorder="1"/>
    <xf numFmtId="0" fontId="15" fillId="3" borderId="18" xfId="0" applyFont="1" applyFill="1" applyBorder="1"/>
    <xf numFmtId="0" fontId="16" fillId="3" borderId="36" xfId="0" applyFont="1" applyFill="1" applyBorder="1"/>
    <xf numFmtId="0" fontId="13" fillId="5" borderId="17" xfId="0" applyFont="1" applyFill="1" applyBorder="1" applyAlignment="1">
      <alignment horizontal="center"/>
    </xf>
    <xf numFmtId="0" fontId="48" fillId="4" borderId="0" xfId="0" applyFont="1" applyFill="1"/>
    <xf numFmtId="0" fontId="1" fillId="4" borderId="0" xfId="0" applyFont="1" applyFill="1"/>
    <xf numFmtId="0" fontId="1" fillId="3" borderId="17" xfId="0" applyFont="1" applyFill="1" applyBorder="1" applyAlignment="1">
      <alignment horizontal="right"/>
    </xf>
    <xf numFmtId="0" fontId="1" fillId="3" borderId="17" xfId="0" applyFont="1" applyFill="1" applyBorder="1"/>
    <xf numFmtId="0" fontId="0" fillId="6" borderId="17" xfId="0" applyFill="1" applyBorder="1"/>
    <xf numFmtId="0" fontId="48" fillId="3" borderId="0" xfId="0" applyFont="1" applyFill="1"/>
    <xf numFmtId="0" fontId="49" fillId="4" borderId="0" xfId="0" applyFont="1" applyFill="1"/>
    <xf numFmtId="0" fontId="48" fillId="5" borderId="0" xfId="0" applyFont="1" applyFill="1"/>
    <xf numFmtId="0" fontId="35" fillId="0" borderId="0" xfId="0" applyFont="1" applyFill="1"/>
    <xf numFmtId="0" fontId="49" fillId="5" borderId="0" xfId="0" applyFont="1" applyFill="1"/>
    <xf numFmtId="0" fontId="12" fillId="4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left"/>
    </xf>
    <xf numFmtId="0" fontId="50" fillId="0" borderId="0" xfId="0" applyFont="1" applyFill="1" applyBorder="1" applyAlignment="1">
      <alignment horizontal="left"/>
    </xf>
    <xf numFmtId="10" fontId="0" fillId="7" borderId="12" xfId="6" applyNumberFormat="1" applyFont="1" applyFill="1" applyBorder="1"/>
    <xf numFmtId="0" fontId="1" fillId="6" borderId="0" xfId="0" applyFont="1" applyFill="1"/>
    <xf numFmtId="0" fontId="3" fillId="6" borderId="0" xfId="0" applyFont="1" applyFill="1"/>
    <xf numFmtId="0" fontId="1" fillId="6" borderId="0" xfId="0" applyFont="1" applyFill="1" applyAlignment="1">
      <alignment horizontal="centerContinuous"/>
    </xf>
    <xf numFmtId="0" fontId="1" fillId="6" borderId="15" xfId="0" applyFont="1" applyFill="1" applyBorder="1"/>
    <xf numFmtId="0" fontId="1" fillId="6" borderId="11" xfId="0" applyFont="1" applyFill="1" applyBorder="1" applyAlignment="1">
      <alignment horizontal="center"/>
    </xf>
    <xf numFmtId="9" fontId="0" fillId="6" borderId="15" xfId="6" applyFont="1" applyFill="1" applyBorder="1"/>
    <xf numFmtId="9" fontId="0" fillId="6" borderId="10" xfId="6" applyFont="1" applyFill="1" applyBorder="1"/>
    <xf numFmtId="9" fontId="0" fillId="6" borderId="11" xfId="6" applyFont="1" applyFill="1" applyBorder="1"/>
    <xf numFmtId="0" fontId="1" fillId="6" borderId="0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7" borderId="37" xfId="0" applyFill="1" applyBorder="1"/>
    <xf numFmtId="0" fontId="0" fillId="7" borderId="17" xfId="0" applyFill="1" applyBorder="1"/>
    <xf numFmtId="10" fontId="0" fillId="7" borderId="17" xfId="0" applyNumberFormat="1" applyFill="1" applyBorder="1"/>
    <xf numFmtId="10" fontId="0" fillId="7" borderId="17" xfId="6" applyNumberFormat="1" applyFont="1" applyFill="1" applyBorder="1"/>
    <xf numFmtId="0" fontId="1" fillId="6" borderId="12" xfId="0" applyFont="1" applyFill="1" applyBorder="1" applyAlignment="1">
      <alignment horizontal="center"/>
    </xf>
    <xf numFmtId="0" fontId="32" fillId="0" borderId="0" xfId="3" applyFont="1"/>
    <xf numFmtId="0" fontId="51" fillId="0" borderId="0" xfId="3" applyFont="1"/>
    <xf numFmtId="10" fontId="51" fillId="0" borderId="0" xfId="3" applyNumberFormat="1" applyFont="1"/>
    <xf numFmtId="0" fontId="3" fillId="0" borderId="0" xfId="3" applyFont="1"/>
    <xf numFmtId="0" fontId="51" fillId="0" borderId="0" xfId="0" applyFont="1" applyFill="1" applyBorder="1"/>
    <xf numFmtId="0" fontId="51" fillId="0" borderId="0" xfId="3" applyFont="1" applyAlignment="1">
      <alignment horizontal="center"/>
    </xf>
    <xf numFmtId="0" fontId="37" fillId="0" borderId="0" xfId="0" applyFont="1" applyFill="1" applyBorder="1" applyAlignment="1">
      <alignment horizontal="left"/>
    </xf>
    <xf numFmtId="2" fontId="51" fillId="0" borderId="0" xfId="3" quotePrefix="1" applyNumberFormat="1" applyFont="1"/>
    <xf numFmtId="0" fontId="3" fillId="0" borderId="0" xfId="3" applyFont="1" applyAlignment="1">
      <alignment horizontal="center"/>
    </xf>
    <xf numFmtId="2" fontId="3" fillId="0" borderId="0" xfId="3" quotePrefix="1" applyNumberFormat="1" applyFont="1"/>
    <xf numFmtId="0" fontId="1" fillId="0" borderId="0" xfId="3" applyFont="1"/>
    <xf numFmtId="0" fontId="3" fillId="5" borderId="15" xfId="3" applyFont="1" applyFill="1" applyBorder="1"/>
    <xf numFmtId="2" fontId="3" fillId="5" borderId="6" xfId="3" applyNumberFormat="1" applyFont="1" applyFill="1" applyBorder="1" applyAlignment="1">
      <alignment horizontal="center"/>
    </xf>
    <xf numFmtId="2" fontId="3" fillId="5" borderId="7" xfId="3" applyNumberFormat="1" applyFont="1" applyFill="1" applyBorder="1" applyAlignment="1">
      <alignment horizontal="center"/>
    </xf>
    <xf numFmtId="0" fontId="3" fillId="5" borderId="10" xfId="3" applyFont="1" applyFill="1" applyBorder="1" applyAlignment="1">
      <alignment horizontal="center"/>
    </xf>
    <xf numFmtId="167" fontId="3" fillId="5" borderId="38" xfId="3" applyNumberFormat="1" applyFont="1" applyFill="1" applyBorder="1" applyAlignment="1">
      <alignment horizontal="center"/>
    </xf>
    <xf numFmtId="167" fontId="3" fillId="5" borderId="39" xfId="3" applyNumberFormat="1" applyFont="1" applyFill="1" applyBorder="1" applyAlignment="1">
      <alignment horizontal="center"/>
    </xf>
    <xf numFmtId="0" fontId="3" fillId="5" borderId="40" xfId="3" applyFont="1" applyFill="1" applyBorder="1"/>
    <xf numFmtId="167" fontId="3" fillId="5" borderId="0" xfId="3" applyNumberFormat="1" applyFont="1" applyFill="1" applyBorder="1" applyAlignment="1">
      <alignment horizontal="center"/>
    </xf>
    <xf numFmtId="167" fontId="3" fillId="5" borderId="8" xfId="3" applyNumberFormat="1" applyFont="1" applyFill="1" applyBorder="1" applyAlignment="1">
      <alignment horizontal="center"/>
    </xf>
    <xf numFmtId="0" fontId="3" fillId="5" borderId="41" xfId="3" applyFont="1" applyFill="1" applyBorder="1"/>
    <xf numFmtId="167" fontId="3" fillId="5" borderId="1" xfId="3" applyNumberFormat="1" applyFont="1" applyFill="1" applyBorder="1" applyAlignment="1">
      <alignment horizontal="center"/>
    </xf>
    <xf numFmtId="167" fontId="3" fillId="5" borderId="9" xfId="3" applyNumberFormat="1" applyFont="1" applyFill="1" applyBorder="1" applyAlignment="1">
      <alignment horizontal="center"/>
    </xf>
    <xf numFmtId="0" fontId="3" fillId="0" borderId="0" xfId="3" applyFont="1" applyBorder="1"/>
    <xf numFmtId="2" fontId="3" fillId="0" borderId="0" xfId="3" applyNumberFormat="1" applyFont="1" applyAlignment="1">
      <alignment horizontal="center"/>
    </xf>
    <xf numFmtId="0" fontId="3" fillId="5" borderId="6" xfId="3" applyFont="1" applyFill="1" applyBorder="1"/>
    <xf numFmtId="0" fontId="3" fillId="5" borderId="7" xfId="3" applyFont="1" applyFill="1" applyBorder="1"/>
    <xf numFmtId="167" fontId="3" fillId="5" borderId="42" xfId="3" applyNumberFormat="1" applyFont="1" applyFill="1" applyBorder="1"/>
    <xf numFmtId="165" fontId="3" fillId="5" borderId="38" xfId="3" applyNumberFormat="1" applyFont="1" applyFill="1" applyBorder="1"/>
    <xf numFmtId="165" fontId="3" fillId="5" borderId="43" xfId="3" applyNumberFormat="1" applyFont="1" applyFill="1" applyBorder="1"/>
    <xf numFmtId="165" fontId="3" fillId="5" borderId="39" xfId="3" applyNumberFormat="1" applyFont="1" applyFill="1" applyBorder="1"/>
    <xf numFmtId="0" fontId="3" fillId="5" borderId="44" xfId="3" applyFont="1" applyFill="1" applyBorder="1"/>
    <xf numFmtId="167" fontId="3" fillId="5" borderId="0" xfId="3" applyNumberFormat="1" applyFont="1" applyFill="1" applyBorder="1"/>
    <xf numFmtId="167" fontId="3" fillId="5" borderId="8" xfId="3" applyNumberFormat="1" applyFont="1" applyFill="1" applyBorder="1"/>
    <xf numFmtId="167" fontId="3" fillId="5" borderId="1" xfId="3" applyNumberFormat="1" applyFont="1" applyFill="1" applyBorder="1"/>
    <xf numFmtId="167" fontId="3" fillId="5" borderId="9" xfId="3" applyNumberFormat="1" applyFont="1" applyFill="1" applyBorder="1"/>
    <xf numFmtId="1" fontId="3" fillId="0" borderId="0" xfId="3" applyNumberFormat="1" applyFont="1"/>
    <xf numFmtId="0" fontId="51" fillId="3" borderId="17" xfId="3" applyFont="1" applyFill="1" applyBorder="1"/>
    <xf numFmtId="167" fontId="1" fillId="5" borderId="17" xfId="3" quotePrefix="1" applyNumberFormat="1" applyFont="1" applyFill="1" applyBorder="1"/>
    <xf numFmtId="0" fontId="3" fillId="3" borderId="17" xfId="3" applyFont="1" applyFill="1" applyBorder="1"/>
    <xf numFmtId="0" fontId="51" fillId="3" borderId="17" xfId="3" applyFont="1" applyFill="1" applyBorder="1" applyAlignment="1">
      <alignment horizontal="center"/>
    </xf>
    <xf numFmtId="0" fontId="51" fillId="5" borderId="17" xfId="3" applyFont="1" applyFill="1" applyBorder="1"/>
    <xf numFmtId="165" fontId="51" fillId="5" borderId="17" xfId="3" applyNumberFormat="1" applyFont="1" applyFill="1" applyBorder="1"/>
    <xf numFmtId="165" fontId="1" fillId="5" borderId="17" xfId="3" applyNumberFormat="1" applyFont="1" applyFill="1" applyBorder="1"/>
    <xf numFmtId="0" fontId="48" fillId="0" borderId="0" xfId="3" applyFont="1" applyFill="1" applyBorder="1" applyAlignment="1">
      <alignment horizontal="left"/>
    </xf>
    <xf numFmtId="0" fontId="15" fillId="0" borderId="0" xfId="4" applyFont="1"/>
    <xf numFmtId="0" fontId="13" fillId="0" borderId="0" xfId="4" applyFont="1"/>
    <xf numFmtId="0" fontId="13" fillId="0" borderId="45" xfId="4" pivotButton="1" applyFont="1" applyBorder="1"/>
    <xf numFmtId="0" fontId="13" fillId="0" borderId="46" xfId="4" applyFont="1" applyBorder="1"/>
    <xf numFmtId="0" fontId="13" fillId="0" borderId="47" xfId="4" applyFont="1" applyBorder="1"/>
    <xf numFmtId="0" fontId="13" fillId="0" borderId="45" xfId="4" applyFont="1" applyBorder="1"/>
    <xf numFmtId="0" fontId="13" fillId="0" borderId="48" xfId="4" applyFont="1" applyBorder="1"/>
    <xf numFmtId="0" fontId="13" fillId="0" borderId="49" xfId="4" applyFont="1" applyBorder="1"/>
    <xf numFmtId="0" fontId="13" fillId="0" borderId="45" xfId="4" applyNumberFormat="1" applyFont="1" applyBorder="1"/>
    <xf numFmtId="0" fontId="13" fillId="0" borderId="48" xfId="4" applyNumberFormat="1" applyFont="1" applyBorder="1"/>
    <xf numFmtId="0" fontId="13" fillId="0" borderId="49" xfId="4" applyNumberFormat="1" applyFont="1" applyBorder="1"/>
    <xf numFmtId="0" fontId="13" fillId="0" borderId="50" xfId="4" applyFont="1" applyBorder="1"/>
    <xf numFmtId="0" fontId="13" fillId="0" borderId="50" xfId="4" applyNumberFormat="1" applyFont="1" applyBorder="1"/>
    <xf numFmtId="0" fontId="13" fillId="0" borderId="0" xfId="4" applyNumberFormat="1" applyFont="1"/>
    <xf numFmtId="0" fontId="13" fillId="0" borderId="51" xfId="4" applyNumberFormat="1" applyFont="1" applyBorder="1"/>
    <xf numFmtId="0" fontId="13" fillId="0" borderId="52" xfId="4" applyFont="1" applyBorder="1"/>
    <xf numFmtId="0" fontId="13" fillId="0" borderId="52" xfId="4" applyNumberFormat="1" applyFont="1" applyBorder="1"/>
    <xf numFmtId="0" fontId="13" fillId="0" borderId="53" xfId="4" applyNumberFormat="1" applyFont="1" applyBorder="1"/>
    <xf numFmtId="0" fontId="13" fillId="0" borderId="33" xfId="4" applyNumberFormat="1" applyFont="1" applyBorder="1"/>
    <xf numFmtId="0" fontId="13" fillId="0" borderId="0" xfId="4" applyFont="1" applyBorder="1"/>
    <xf numFmtId="0" fontId="0" fillId="0" borderId="0" xfId="0" applyNumberFormat="1" applyBorder="1"/>
    <xf numFmtId="2" fontId="13" fillId="5" borderId="12" xfId="1" applyNumberFormat="1" applyFont="1" applyFill="1" applyBorder="1"/>
    <xf numFmtId="2" fontId="13" fillId="5" borderId="12" xfId="5" applyNumberFormat="1" applyFont="1" applyFill="1" applyBorder="1"/>
    <xf numFmtId="1" fontId="13" fillId="5" borderId="12" xfId="6" applyNumberFormat="1" applyFont="1" applyFill="1" applyBorder="1"/>
    <xf numFmtId="10" fontId="13" fillId="5" borderId="12" xfId="5" applyNumberFormat="1" applyFont="1" applyFill="1" applyBorder="1"/>
    <xf numFmtId="10" fontId="13" fillId="5" borderId="12" xfId="6" applyNumberFormat="1" applyFont="1" applyFill="1" applyBorder="1"/>
    <xf numFmtId="10" fontId="13" fillId="5" borderId="5" xfId="6" applyNumberFormat="1" applyFont="1" applyFill="1" applyBorder="1"/>
    <xf numFmtId="0" fontId="13" fillId="4" borderId="10" xfId="5" applyFont="1" applyFill="1" applyBorder="1"/>
    <xf numFmtId="0" fontId="13" fillId="16" borderId="10" xfId="5" applyFont="1" applyFill="1" applyBorder="1"/>
    <xf numFmtId="0" fontId="13" fillId="16" borderId="0" xfId="5" applyFont="1" applyFill="1" applyBorder="1"/>
    <xf numFmtId="0" fontId="13" fillId="16" borderId="11" xfId="5" applyFont="1" applyFill="1" applyBorder="1"/>
    <xf numFmtId="0" fontId="13" fillId="16" borderId="1" xfId="5" applyFont="1" applyFill="1" applyBorder="1"/>
    <xf numFmtId="0" fontId="13" fillId="4" borderId="11" xfId="5" applyFont="1" applyFill="1" applyBorder="1"/>
    <xf numFmtId="166" fontId="37" fillId="7" borderId="12" xfId="1" applyNumberFormat="1" applyFont="1" applyFill="1" applyBorder="1"/>
    <xf numFmtId="166" fontId="37" fillId="7" borderId="12" xfId="5" applyNumberFormat="1" applyFont="1" applyFill="1" applyBorder="1"/>
    <xf numFmtId="0" fontId="13" fillId="0" borderId="0" xfId="5" applyFont="1"/>
    <xf numFmtId="0" fontId="37" fillId="0" borderId="0" xfId="5" applyFont="1"/>
    <xf numFmtId="0" fontId="55" fillId="8" borderId="11" xfId="0" applyFont="1" applyFill="1" applyBorder="1"/>
    <xf numFmtId="0" fontId="55" fillId="8" borderId="0" xfId="0" applyFont="1" applyFill="1" applyBorder="1"/>
    <xf numFmtId="0" fontId="37" fillId="0" borderId="0" xfId="5" applyFont="1" applyFill="1" applyBorder="1"/>
    <xf numFmtId="0" fontId="46" fillId="0" borderId="0" xfId="5" applyFont="1"/>
    <xf numFmtId="0" fontId="46" fillId="22" borderId="14" xfId="5" applyFont="1" applyFill="1" applyBorder="1" applyAlignment="1">
      <alignment horizontal="left"/>
    </xf>
    <xf numFmtId="0" fontId="13" fillId="4" borderId="6" xfId="5" applyFont="1" applyFill="1" applyBorder="1"/>
    <xf numFmtId="0" fontId="13" fillId="4" borderId="0" xfId="5" applyFont="1" applyFill="1" applyBorder="1"/>
    <xf numFmtId="0" fontId="56" fillId="0" borderId="0" xfId="5" applyFont="1"/>
    <xf numFmtId="0" fontId="13" fillId="4" borderId="1" xfId="5" applyFont="1" applyFill="1" applyBorder="1"/>
    <xf numFmtId="0" fontId="13" fillId="0" borderId="0" xfId="5" applyFont="1" applyFill="1" applyBorder="1"/>
    <xf numFmtId="164" fontId="13" fillId="0" borderId="0" xfId="5" applyNumberFormat="1" applyFont="1"/>
    <xf numFmtId="0" fontId="46" fillId="13" borderId="14" xfId="5" applyFont="1" applyFill="1" applyBorder="1" applyAlignment="1">
      <alignment horizontal="left"/>
    </xf>
    <xf numFmtId="0" fontId="13" fillId="0" borderId="11" xfId="5" applyFont="1" applyBorder="1"/>
    <xf numFmtId="0" fontId="13" fillId="0" borderId="1" xfId="5" applyFont="1" applyBorder="1"/>
    <xf numFmtId="186" fontId="13" fillId="0" borderId="0" xfId="5" applyNumberFormat="1" applyFont="1"/>
    <xf numFmtId="0" fontId="13" fillId="4" borderId="0" xfId="5" applyFont="1" applyFill="1"/>
    <xf numFmtId="9" fontId="13" fillId="5" borderId="0" xfId="5" applyNumberFormat="1" applyFont="1" applyFill="1"/>
    <xf numFmtId="166" fontId="13" fillId="16" borderId="0" xfId="5" applyNumberFormat="1" applyFont="1" applyFill="1"/>
    <xf numFmtId="0" fontId="13" fillId="7" borderId="0" xfId="5" applyFont="1" applyFill="1"/>
    <xf numFmtId="0" fontId="13" fillId="4" borderId="0" xfId="5" applyFont="1" applyFill="1" applyAlignment="1">
      <alignment horizontal="right"/>
    </xf>
    <xf numFmtId="166" fontId="13" fillId="7" borderId="0" xfId="5" applyNumberFormat="1" applyFont="1" applyFill="1"/>
    <xf numFmtId="0" fontId="0" fillId="3" borderId="13" xfId="0" applyFill="1" applyBorder="1" applyAlignment="1">
      <alignment horizontal="right"/>
    </xf>
    <xf numFmtId="0" fontId="13" fillId="4" borderId="9" xfId="5" applyFont="1" applyFill="1" applyBorder="1"/>
    <xf numFmtId="1" fontId="13" fillId="5" borderId="12" xfId="1" applyNumberFormat="1" applyFont="1" applyFill="1" applyBorder="1"/>
    <xf numFmtId="1" fontId="13" fillId="5" borderId="12" xfId="5" applyNumberFormat="1" applyFont="1" applyFill="1" applyBorder="1"/>
    <xf numFmtId="187" fontId="13" fillId="5" borderId="12" xfId="1" applyNumberFormat="1" applyFont="1" applyFill="1" applyBorder="1"/>
    <xf numFmtId="0" fontId="13" fillId="16" borderId="9" xfId="5" applyFont="1" applyFill="1" applyBorder="1"/>
    <xf numFmtId="0" fontId="13" fillId="6" borderId="0" xfId="5" applyFont="1" applyFill="1"/>
    <xf numFmtId="0" fontId="13" fillId="0" borderId="0" xfId="5" applyFont="1" applyAlignment="1">
      <alignment horizontal="left"/>
    </xf>
    <xf numFmtId="0" fontId="13" fillId="7" borderId="0" xfId="5" applyFont="1" applyFill="1" applyAlignment="1">
      <alignment horizontal="left"/>
    </xf>
    <xf numFmtId="0" fontId="57" fillId="0" borderId="0" xfId="0" applyFont="1"/>
    <xf numFmtId="0" fontId="58" fillId="0" borderId="0" xfId="0" applyFont="1"/>
    <xf numFmtId="2" fontId="0" fillId="5" borderId="17" xfId="0" applyNumberFormat="1" applyFill="1" applyBorder="1"/>
    <xf numFmtId="2" fontId="0" fillId="5" borderId="19" xfId="0" applyNumberFormat="1" applyFill="1" applyBorder="1"/>
    <xf numFmtId="2" fontId="0" fillId="0" borderId="0" xfId="0" applyNumberFormat="1" applyFill="1" applyBorder="1"/>
    <xf numFmtId="0" fontId="0" fillId="7" borderId="0" xfId="0" applyFill="1"/>
    <xf numFmtId="0" fontId="0" fillId="7" borderId="19" xfId="0" applyFill="1" applyBorder="1"/>
    <xf numFmtId="0" fontId="51" fillId="0" borderId="0" xfId="3" applyFont="1" applyFill="1" applyAlignment="1">
      <alignment horizontal="center"/>
    </xf>
    <xf numFmtId="5" fontId="4" fillId="3" borderId="12" xfId="0" applyNumberFormat="1" applyFont="1" applyFill="1" applyBorder="1" applyAlignment="1">
      <alignment horizontal="center" wrapText="1"/>
    </xf>
    <xf numFmtId="0" fontId="5" fillId="5" borderId="12" xfId="0" applyFont="1" applyFill="1" applyBorder="1" applyProtection="1"/>
    <xf numFmtId="3" fontId="0" fillId="5" borderId="12" xfId="0" applyNumberFormat="1" applyFill="1" applyBorder="1" applyAlignment="1" applyProtection="1">
      <alignment horizontal="center"/>
    </xf>
    <xf numFmtId="0" fontId="0" fillId="5" borderId="12" xfId="0" applyFill="1" applyBorder="1" applyProtection="1"/>
    <xf numFmtId="0" fontId="57" fillId="4" borderId="0" xfId="0" applyFont="1" applyFill="1"/>
    <xf numFmtId="5" fontId="4" fillId="3" borderId="17" xfId="0" applyNumberFormat="1" applyFont="1" applyFill="1" applyBorder="1" applyAlignment="1">
      <alignment horizontal="center" wrapText="1"/>
    </xf>
    <xf numFmtId="0" fontId="0" fillId="4" borderId="0" xfId="0" applyFill="1" applyAlignment="1">
      <alignment horizontal="center"/>
    </xf>
    <xf numFmtId="0" fontId="0" fillId="4" borderId="0" xfId="0" applyFill="1" applyAlignment="1"/>
    <xf numFmtId="0" fontId="59" fillId="0" borderId="0" xfId="0" applyFont="1"/>
    <xf numFmtId="0" fontId="59" fillId="0" borderId="54" xfId="0" applyFont="1" applyBorder="1" applyAlignment="1">
      <alignment horizontal="center"/>
    </xf>
    <xf numFmtId="0" fontId="62" fillId="23" borderId="55" xfId="0" applyFont="1" applyFill="1" applyBorder="1"/>
    <xf numFmtId="0" fontId="63" fillId="23" borderId="55" xfId="0" applyFont="1" applyFill="1" applyBorder="1"/>
    <xf numFmtId="0" fontId="64" fillId="0" borderId="0" xfId="0" applyFont="1" applyAlignment="1">
      <alignment horizontal="right"/>
    </xf>
    <xf numFmtId="0" fontId="65" fillId="24" borderId="0" xfId="0" applyFont="1" applyFill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3" applyFont="1" applyAlignment="1">
      <alignment horizontal="left"/>
    </xf>
    <xf numFmtId="0" fontId="70" fillId="0" borderId="0" xfId="4" applyFont="1"/>
    <xf numFmtId="0" fontId="13" fillId="2" borderId="0" xfId="0" applyFont="1" applyFill="1"/>
    <xf numFmtId="0" fontId="72" fillId="4" borderId="0" xfId="0" applyFont="1" applyFill="1"/>
    <xf numFmtId="0" fontId="1" fillId="0" borderId="0" xfId="0" applyFont="1" applyAlignment="1">
      <alignment horizontal="left" wrapText="1"/>
    </xf>
    <xf numFmtId="0" fontId="13" fillId="4" borderId="1" xfId="0" applyFont="1" applyFill="1" applyBorder="1" applyAlignment="1">
      <alignment horizontal="left" wrapText="1"/>
    </xf>
    <xf numFmtId="0" fontId="25" fillId="4" borderId="1" xfId="0" applyFont="1" applyFill="1" applyBorder="1" applyAlignment="1">
      <alignment horizontal="left" wrapText="1"/>
    </xf>
    <xf numFmtId="0" fontId="1" fillId="3" borderId="0" xfId="0" applyFont="1" applyFill="1" applyAlignment="1">
      <alignment horizontal="center"/>
    </xf>
    <xf numFmtId="22" fontId="0" fillId="5" borderId="0" xfId="0" applyNumberFormat="1" applyFill="1" applyAlignment="1">
      <alignment horizontal="center"/>
    </xf>
    <xf numFmtId="0" fontId="1" fillId="3" borderId="0" xfId="0" applyFont="1" applyFill="1" applyAlignment="1"/>
    <xf numFmtId="177" fontId="0" fillId="5" borderId="0" xfId="0" applyNumberFormat="1" applyFill="1" applyAlignment="1">
      <alignment horizontal="left"/>
    </xf>
    <xf numFmtId="0" fontId="15" fillId="4" borderId="0" xfId="0" applyFont="1" applyFill="1" applyAlignment="1">
      <alignment horizontal="left" wrapText="1"/>
    </xf>
    <xf numFmtId="0" fontId="40" fillId="3" borderId="18" xfId="0" applyFont="1" applyFill="1" applyBorder="1" applyAlignment="1">
      <alignment horizontal="center" vertical="center" wrapText="1"/>
    </xf>
    <xf numFmtId="0" fontId="40" fillId="3" borderId="36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56" xfId="0" applyFont="1" applyFill="1" applyBorder="1" applyAlignment="1">
      <alignment horizontal="center"/>
    </xf>
    <xf numFmtId="0" fontId="15" fillId="3" borderId="36" xfId="0" applyFont="1" applyFill="1" applyBorder="1" applyAlignment="1">
      <alignment horizontal="center"/>
    </xf>
    <xf numFmtId="0" fontId="51" fillId="3" borderId="17" xfId="3" applyFont="1" applyFill="1" applyBorder="1" applyAlignment="1">
      <alignment horizontal="left"/>
    </xf>
  </cellXfs>
  <cellStyles count="7">
    <cellStyle name="Comma" xfId="1" builtinId="3"/>
    <cellStyle name="Hyperlink" xfId="2" builtinId="8"/>
    <cellStyle name="Normal" xfId="0" builtinId="0"/>
    <cellStyle name="Normal_ch2pic" xfId="3"/>
    <cellStyle name="Normal_datatable+pivot" xfId="4"/>
    <cellStyle name="Normal_spreadmod_module3_VBA1_ans" xfId="5"/>
    <cellStyle name="Percent" xfId="6" builtinId="5"/>
  </cellStyles>
  <dxfs count="4">
    <dxf>
      <font>
        <name val="Arial"/>
        <scheme val="none"/>
      </font>
    </dxf>
    <dxf>
      <fill>
        <patternFill>
          <bgColor indexed="12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normal density</a:t>
            </a:r>
          </a:p>
        </c:rich>
      </c:tx>
      <c:layout>
        <c:manualLayout>
          <c:xMode val="edge"/>
          <c:yMode val="edge"/>
          <c:x val="0.33333435698689651"/>
          <c:y val="4.639175257731955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49722231605719"/>
          <c:y val="0.29381443298969123"/>
          <c:w val="0.7987445912704878"/>
          <c:h val="0.51030927835051565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'Build-In Functions (Stat)'!$A$44:$A$60</c:f>
              <c:numCache>
                <c:formatCode>0.00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'Build-In Functions (Stat)'!$B$44:$B$60</c:f>
              <c:numCache>
                <c:formatCode>0.0000</c:formatCode>
                <c:ptCount val="17"/>
                <c:pt idx="0">
                  <c:v>1.3383022576488534E-4</c:v>
                </c:pt>
                <c:pt idx="1">
                  <c:v>8.7268269504575994E-4</c:v>
                </c:pt>
                <c:pt idx="2">
                  <c:v>4.4318484119380067E-3</c:v>
                </c:pt>
                <c:pt idx="3">
                  <c:v>1.7528300493568537E-2</c:v>
                </c:pt>
                <c:pt idx="4">
                  <c:v>5.3990966513188049E-2</c:v>
                </c:pt>
                <c:pt idx="5">
                  <c:v>0.12951759566589172</c:v>
                </c:pt>
                <c:pt idx="6">
                  <c:v>0.24197072451914334</c:v>
                </c:pt>
                <c:pt idx="7">
                  <c:v>0.35206532676429947</c:v>
                </c:pt>
                <c:pt idx="8">
                  <c:v>0.39894228040143265</c:v>
                </c:pt>
                <c:pt idx="9">
                  <c:v>0.35206532676429947</c:v>
                </c:pt>
                <c:pt idx="10">
                  <c:v>0.24197072451914334</c:v>
                </c:pt>
                <c:pt idx="11">
                  <c:v>0.12951759566589172</c:v>
                </c:pt>
                <c:pt idx="12">
                  <c:v>5.3990966513188049E-2</c:v>
                </c:pt>
                <c:pt idx="13">
                  <c:v>1.7528300493568537E-2</c:v>
                </c:pt>
                <c:pt idx="14">
                  <c:v>4.4318484119380067E-3</c:v>
                </c:pt>
                <c:pt idx="15">
                  <c:v>8.7268269504575994E-4</c:v>
                </c:pt>
                <c:pt idx="16">
                  <c:v>1.3383022576488534E-4</c:v>
                </c:pt>
              </c:numCache>
            </c:numRef>
          </c:yVal>
          <c:smooth val="1"/>
        </c:ser>
        <c:axId val="77177216"/>
        <c:axId val="77178752"/>
      </c:scatterChart>
      <c:valAx>
        <c:axId val="77177216"/>
        <c:scaling>
          <c:orientation val="minMax"/>
          <c:max val="4"/>
          <c:min val="-4"/>
        </c:scaling>
        <c:axPos val="b"/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7178752"/>
        <c:crossesAt val="-6"/>
        <c:crossBetween val="midCat"/>
      </c:valAx>
      <c:valAx>
        <c:axId val="77178752"/>
        <c:scaling>
          <c:orientation val="minMax"/>
          <c:min val="0"/>
        </c:scaling>
        <c:axPos val="l"/>
        <c:numFmt formatCode="0.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7177216"/>
        <c:crossesAt val="-6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normal distribution</a:t>
            </a:r>
          </a:p>
        </c:rich>
      </c:tx>
      <c:layout>
        <c:manualLayout>
          <c:xMode val="edge"/>
          <c:yMode val="edge"/>
          <c:x val="0.29467129743720832"/>
          <c:y val="4.615407729405694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1224393895098"/>
          <c:y val="0.29230915619569431"/>
          <c:w val="0.79937426432434167"/>
          <c:h val="0.51282308104507734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'Build-In Functions (Stat)'!$A$44:$A$60</c:f>
              <c:numCache>
                <c:formatCode>0.00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'Build-In Functions (Stat)'!$C$44:$C$60</c:f>
              <c:numCache>
                <c:formatCode>0.0000</c:formatCode>
                <c:ptCount val="17"/>
                <c:pt idx="0">
                  <c:v>3.1671241836783715E-5</c:v>
                </c:pt>
                <c:pt idx="1">
                  <c:v>2.3262907903420782E-4</c:v>
                </c:pt>
                <c:pt idx="2">
                  <c:v>1.3498980316301035E-3</c:v>
                </c:pt>
                <c:pt idx="3">
                  <c:v>6.2096653257759371E-3</c:v>
                </c:pt>
                <c:pt idx="4">
                  <c:v>2.275013194817932E-2</c:v>
                </c:pt>
                <c:pt idx="5">
                  <c:v>6.6807201268858085E-2</c:v>
                </c:pt>
                <c:pt idx="6">
                  <c:v>0.15865525393145707</c:v>
                </c:pt>
                <c:pt idx="7">
                  <c:v>0.30853753872598688</c:v>
                </c:pt>
                <c:pt idx="8">
                  <c:v>0.5</c:v>
                </c:pt>
                <c:pt idx="9">
                  <c:v>0.69146246127401312</c:v>
                </c:pt>
                <c:pt idx="10">
                  <c:v>0.84134474606854293</c:v>
                </c:pt>
                <c:pt idx="11">
                  <c:v>0.93319279873114191</c:v>
                </c:pt>
                <c:pt idx="12">
                  <c:v>0.97724986805182068</c:v>
                </c:pt>
                <c:pt idx="13">
                  <c:v>0.99379033467422406</c:v>
                </c:pt>
                <c:pt idx="14">
                  <c:v>0.9986501019683699</c:v>
                </c:pt>
                <c:pt idx="15">
                  <c:v>0.99976737092096579</c:v>
                </c:pt>
                <c:pt idx="16">
                  <c:v>0.99996832875816322</c:v>
                </c:pt>
              </c:numCache>
            </c:numRef>
          </c:yVal>
          <c:smooth val="1"/>
        </c:ser>
        <c:axId val="76940800"/>
        <c:axId val="76942336"/>
      </c:scatterChart>
      <c:valAx>
        <c:axId val="76940800"/>
        <c:scaling>
          <c:orientation val="minMax"/>
          <c:max val="4"/>
          <c:min val="-4"/>
        </c:scaling>
        <c:axPos val="b"/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6942336"/>
        <c:crossesAt val="-6"/>
        <c:crossBetween val="midCat"/>
      </c:valAx>
      <c:valAx>
        <c:axId val="76942336"/>
        <c:scaling>
          <c:orientation val="minMax"/>
          <c:min val="0"/>
        </c:scaling>
        <c:axPos val="l"/>
        <c:numFmt formatCode="0.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6940800"/>
        <c:crossesAt val="-6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156909301889177"/>
          <c:y val="0.12790733985323152"/>
          <c:w val="0.82353256561184707"/>
          <c:h val="0.68023448921945751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Rand!$A$5:$A$14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Rand!$B$5:$B$14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</c:ser>
        <c:axId val="76991104"/>
        <c:axId val="76992896"/>
      </c:barChart>
      <c:catAx>
        <c:axId val="7699110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2896"/>
        <c:crosses val="autoZero"/>
        <c:auto val="1"/>
        <c:lblAlgn val="ctr"/>
        <c:lblOffset val="100"/>
        <c:tickLblSkip val="1"/>
        <c:tickMarkSkip val="1"/>
      </c:catAx>
      <c:valAx>
        <c:axId val="7699289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11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937520861665469"/>
          <c:y val="0.12716763005780346"/>
          <c:w val="0.83593909442728931"/>
          <c:h val="0.68208092485549132"/>
        </c:manualLayout>
      </c:layout>
      <c:barChart>
        <c:barDir val="col"/>
        <c:grouping val="clustered"/>
        <c:ser>
          <c:idx val="1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Rand!$F$5:$F$14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Rand!$G$5:$G$14</c:f>
              <c:numCache>
                <c:formatCode>General</c:formatCode>
                <c:ptCount val="10"/>
                <c:pt idx="0">
                  <c:v>11</c:v>
                </c:pt>
                <c:pt idx="1">
                  <c:v>6</c:v>
                </c:pt>
                <c:pt idx="2">
                  <c:v>8</c:v>
                </c:pt>
                <c:pt idx="3">
                  <c:v>13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13</c:v>
                </c:pt>
                <c:pt idx="8">
                  <c:v>11</c:v>
                </c:pt>
                <c:pt idx="9">
                  <c:v>10</c:v>
                </c:pt>
              </c:numCache>
            </c:numRef>
          </c:val>
        </c:ser>
        <c:axId val="77003392"/>
        <c:axId val="76321152"/>
      </c:barChart>
      <c:catAx>
        <c:axId val="7700339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21152"/>
        <c:crosses val="autoZero"/>
        <c:auto val="1"/>
        <c:lblAlgn val="ctr"/>
        <c:lblOffset val="100"/>
        <c:tickLblSkip val="1"/>
        <c:tickMarkSkip val="1"/>
      </c:catAx>
      <c:valAx>
        <c:axId val="763211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003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Compounding/Discounting Factors </a:t>
            </a:r>
          </a:p>
        </c:rich>
      </c:tx>
      <c:layout>
        <c:manualLayout>
          <c:xMode val="edge"/>
          <c:yMode val="edge"/>
          <c:x val="0.20560810214692302"/>
          <c:y val="2.136761054191100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068590794729594"/>
          <c:y val="0.14102622957661248"/>
          <c:w val="0.73832000316395063"/>
          <c:h val="0.70940466999144458"/>
        </c:manualLayout>
      </c:layout>
      <c:scatterChart>
        <c:scatterStyle val="lineMarker"/>
        <c:ser>
          <c:idx val="0"/>
          <c:order val="0"/>
          <c:tx>
            <c:strRef>
              <c:f>'Data Table'!$C$17</c:f>
              <c:strCache>
                <c:ptCount val="1"/>
                <c:pt idx="0">
                  <c:v>compound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Table'!$B$19:$B$28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Table'!$C$19:$C$28</c:f>
              <c:numCache>
                <c:formatCode>0.000</c:formatCode>
                <c:ptCount val="10"/>
                <c:pt idx="0">
                  <c:v>1.0408107741923882</c:v>
                </c:pt>
                <c:pt idx="1">
                  <c:v>1.0832870676749586</c:v>
                </c:pt>
                <c:pt idx="2">
                  <c:v>1.1274968515793757</c:v>
                </c:pt>
                <c:pt idx="3">
                  <c:v>1.1735108709918103</c:v>
                </c:pt>
                <c:pt idx="4">
                  <c:v>1.2214027581601699</c:v>
                </c:pt>
                <c:pt idx="5">
                  <c:v>1.2712491503214047</c:v>
                </c:pt>
                <c:pt idx="6">
                  <c:v>1.3231298123374369</c:v>
                </c:pt>
                <c:pt idx="7">
                  <c:v>1.3771277643359572</c:v>
                </c:pt>
                <c:pt idx="8">
                  <c:v>1.4333294145603401</c:v>
                </c:pt>
                <c:pt idx="9">
                  <c:v>1.4918246976412703</c:v>
                </c:pt>
              </c:numCache>
            </c:numRef>
          </c:yVal>
        </c:ser>
        <c:ser>
          <c:idx val="1"/>
          <c:order val="1"/>
          <c:tx>
            <c:strRef>
              <c:f>'Data Table'!$D$17</c:f>
              <c:strCache>
                <c:ptCount val="1"/>
                <c:pt idx="0">
                  <c:v>discount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Table'!$B$19:$B$28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Table'!$D$19:$D$28</c:f>
              <c:numCache>
                <c:formatCode>0.000</c:formatCode>
                <c:ptCount val="10"/>
                <c:pt idx="0">
                  <c:v>0.96078943915232318</c:v>
                </c:pt>
                <c:pt idx="1">
                  <c:v>0.92311634638663576</c:v>
                </c:pt>
                <c:pt idx="2">
                  <c:v>0.88692043671715748</c:v>
                </c:pt>
                <c:pt idx="3">
                  <c:v>0.85214378896621135</c:v>
                </c:pt>
                <c:pt idx="4">
                  <c:v>0.81873075307798182</c:v>
                </c:pt>
                <c:pt idx="5">
                  <c:v>0.78662786106655347</c:v>
                </c:pt>
                <c:pt idx="6">
                  <c:v>0.75578374145572547</c:v>
                </c:pt>
                <c:pt idx="7">
                  <c:v>0.72614903707369094</c:v>
                </c:pt>
                <c:pt idx="8">
                  <c:v>0.69767632607103103</c:v>
                </c:pt>
                <c:pt idx="9">
                  <c:v>0.67032004603563933</c:v>
                </c:pt>
              </c:numCache>
            </c:numRef>
          </c:yVal>
        </c:ser>
        <c:axId val="82969344"/>
        <c:axId val="82971264"/>
      </c:scatterChart>
      <c:valAx>
        <c:axId val="82969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 years</a:t>
                </a:r>
              </a:p>
            </c:rich>
          </c:tx>
          <c:layout>
            <c:manualLayout>
              <c:xMode val="edge"/>
              <c:yMode val="edge"/>
              <c:x val="0.73832000316395063"/>
              <c:y val="0.7264987584249740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971264"/>
        <c:crossesAt val="0"/>
        <c:crossBetween val="midCat"/>
        <c:majorUnit val="1"/>
      </c:valAx>
      <c:valAx>
        <c:axId val="82971264"/>
        <c:scaling>
          <c:orientation val="minMax"/>
          <c:max val="2"/>
          <c:min val="0"/>
        </c:scaling>
        <c:axPos val="l"/>
        <c:numFmt formatCode="0.0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969344"/>
        <c:crosses val="autoZero"/>
        <c:crossBetween val="midCat"/>
        <c:majorUnit val="0.25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429974779664327"/>
          <c:y val="0.65384888258247731"/>
          <c:w val="0.3738329129944058"/>
          <c:h val="0.1623938401185234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Discount factors, differing rates</a:t>
            </a:r>
          </a:p>
        </c:rich>
      </c:tx>
      <c:layout>
        <c:manualLayout>
          <c:xMode val="edge"/>
          <c:yMode val="edge"/>
          <c:x val="0.28099249147859495"/>
          <c:y val="3.03031584109443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294796226100384"/>
          <c:y val="0.2121221088766102"/>
          <c:w val="0.84022264608795538"/>
          <c:h val="0.56710196454767214"/>
        </c:manualLayout>
      </c:layout>
      <c:scatterChart>
        <c:scatterStyle val="lineMarker"/>
        <c:ser>
          <c:idx val="0"/>
          <c:order val="0"/>
          <c:tx>
            <c:strRef>
              <c:f>'Data Table'!$C$32</c:f>
              <c:strCache>
                <c:ptCount val="1"/>
                <c:pt idx="0">
                  <c:v>3.0%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Table'!$C$33:$C$42</c:f>
              <c:numCache>
                <c:formatCode>0.000</c:formatCode>
                <c:ptCount val="10"/>
                <c:pt idx="0">
                  <c:v>0.97044553354850815</c:v>
                </c:pt>
                <c:pt idx="1">
                  <c:v>0.94176453358424872</c:v>
                </c:pt>
                <c:pt idx="2">
                  <c:v>0.91393118527122819</c:v>
                </c:pt>
                <c:pt idx="3">
                  <c:v>0.88692043671715748</c:v>
                </c:pt>
                <c:pt idx="4">
                  <c:v>0.86070797642505781</c:v>
                </c:pt>
                <c:pt idx="5">
                  <c:v>0.835270211411272</c:v>
                </c:pt>
                <c:pt idx="6">
                  <c:v>0.81058424597018708</c:v>
                </c:pt>
                <c:pt idx="7">
                  <c:v>0.78662786106655347</c:v>
                </c:pt>
                <c:pt idx="8">
                  <c:v>0.76337949433685315</c:v>
                </c:pt>
                <c:pt idx="9">
                  <c:v>0.74081822068171788</c:v>
                </c:pt>
              </c:numCache>
            </c:numRef>
          </c:yVal>
        </c:ser>
        <c:ser>
          <c:idx val="1"/>
          <c:order val="1"/>
          <c:tx>
            <c:strRef>
              <c:f>'Data Table'!$D$32</c:f>
              <c:strCache>
                <c:ptCount val="1"/>
                <c:pt idx="0">
                  <c:v>3.5%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Table'!$D$33:$D$42</c:f>
              <c:numCache>
                <c:formatCode>0.000</c:formatCode>
                <c:ptCount val="10"/>
                <c:pt idx="0">
                  <c:v>0.96560541625756646</c:v>
                </c:pt>
                <c:pt idx="1">
                  <c:v>0.93239381990594827</c:v>
                </c:pt>
                <c:pt idx="2">
                  <c:v>0.90032452258626561</c:v>
                </c:pt>
                <c:pt idx="3">
                  <c:v>0.86935823539880586</c:v>
                </c:pt>
                <c:pt idx="4">
                  <c:v>0.83945702076920736</c:v>
                </c:pt>
                <c:pt idx="5">
                  <c:v>0.81058424597018708</c:v>
                </c:pt>
                <c:pt idx="6">
                  <c:v>0.78270453824186814</c:v>
                </c:pt>
                <c:pt idx="7">
                  <c:v>0.75578374145572547</c:v>
                </c:pt>
                <c:pt idx="8">
                  <c:v>0.72978887426905681</c:v>
                </c:pt>
                <c:pt idx="9">
                  <c:v>0.70468808971871344</c:v>
                </c:pt>
              </c:numCache>
            </c:numRef>
          </c:yVal>
        </c:ser>
        <c:ser>
          <c:idx val="2"/>
          <c:order val="2"/>
          <c:tx>
            <c:strRef>
              <c:f>'Data Table'!$E$32</c:f>
              <c:strCache>
                <c:ptCount val="1"/>
                <c:pt idx="0">
                  <c:v>4.0%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Table'!$E$33:$E$42</c:f>
              <c:numCache>
                <c:formatCode>0.000</c:formatCode>
                <c:ptCount val="10"/>
                <c:pt idx="0">
                  <c:v>0.96078943915232318</c:v>
                </c:pt>
                <c:pt idx="1">
                  <c:v>0.92311634638663576</c:v>
                </c:pt>
                <c:pt idx="2">
                  <c:v>0.88692043671715748</c:v>
                </c:pt>
                <c:pt idx="3">
                  <c:v>0.85214378896621135</c:v>
                </c:pt>
                <c:pt idx="4">
                  <c:v>0.81873075307798182</c:v>
                </c:pt>
                <c:pt idx="5">
                  <c:v>0.78662786106655347</c:v>
                </c:pt>
                <c:pt idx="6">
                  <c:v>0.75578374145572547</c:v>
                </c:pt>
                <c:pt idx="7">
                  <c:v>0.72614903707369094</c:v>
                </c:pt>
                <c:pt idx="8">
                  <c:v>0.69767632607103103</c:v>
                </c:pt>
                <c:pt idx="9">
                  <c:v>0.67032004603563933</c:v>
                </c:pt>
              </c:numCache>
            </c:numRef>
          </c:yVal>
        </c:ser>
        <c:ser>
          <c:idx val="3"/>
          <c:order val="3"/>
          <c:tx>
            <c:strRef>
              <c:f>'Data Table'!$F$32</c:f>
              <c:strCache>
                <c:ptCount val="1"/>
                <c:pt idx="0">
                  <c:v>5.0%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Table'!$F$33:$F$42</c:f>
              <c:numCache>
                <c:formatCode>0.000</c:formatCode>
                <c:ptCount val="10"/>
                <c:pt idx="0">
                  <c:v>0.95122942450071402</c:v>
                </c:pt>
                <c:pt idx="1">
                  <c:v>0.90483741803595952</c:v>
                </c:pt>
                <c:pt idx="2">
                  <c:v>0.86070797642505781</c:v>
                </c:pt>
                <c:pt idx="3">
                  <c:v>0.81873075307798182</c:v>
                </c:pt>
                <c:pt idx="4">
                  <c:v>0.77880078307140488</c:v>
                </c:pt>
                <c:pt idx="5">
                  <c:v>0.74081822068171788</c:v>
                </c:pt>
                <c:pt idx="6">
                  <c:v>0.70468808971871344</c:v>
                </c:pt>
                <c:pt idx="7">
                  <c:v>0.67032004603563933</c:v>
                </c:pt>
                <c:pt idx="8">
                  <c:v>0.63762815162177333</c:v>
                </c:pt>
                <c:pt idx="9">
                  <c:v>0.60653065971263342</c:v>
                </c:pt>
              </c:numCache>
            </c:numRef>
          </c:yVal>
        </c:ser>
        <c:ser>
          <c:idx val="4"/>
          <c:order val="4"/>
          <c:tx>
            <c:strRef>
              <c:f>'Data Table'!$G$32</c:f>
              <c:strCache>
                <c:ptCount val="1"/>
                <c:pt idx="0">
                  <c:v>5.5%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Table'!$G$33:$G$42</c:f>
              <c:numCache>
                <c:formatCode>0.000</c:formatCode>
                <c:ptCount val="10"/>
                <c:pt idx="0">
                  <c:v>0.94648514795348382</c:v>
                </c:pt>
                <c:pt idx="1">
                  <c:v>0.89583413529652822</c:v>
                </c:pt>
                <c:pt idx="2">
                  <c:v>0.84789370408791587</c:v>
                </c:pt>
                <c:pt idx="3">
                  <c:v>0.80251879796247849</c:v>
                </c:pt>
                <c:pt idx="4">
                  <c:v>0.75957212322496848</c:v>
                </c:pt>
                <c:pt idx="5">
                  <c:v>0.71892373343192617</c:v>
                </c:pt>
                <c:pt idx="6">
                  <c:v>0.68045063620458768</c:v>
                </c:pt>
                <c:pt idx="7">
                  <c:v>0.64403642108314141</c:v>
                </c:pt>
                <c:pt idx="8">
                  <c:v>0.60957090729630925</c:v>
                </c:pt>
                <c:pt idx="9">
                  <c:v>0.57694981038048665</c:v>
                </c:pt>
              </c:numCache>
            </c:numRef>
          </c:yVal>
        </c:ser>
        <c:ser>
          <c:idx val="5"/>
          <c:order val="5"/>
          <c:tx>
            <c:strRef>
              <c:f>'Data Table'!$H$32</c:f>
              <c:strCache>
                <c:ptCount val="1"/>
                <c:pt idx="0">
                  <c:v>6.0%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Table'!$H$33:$H$42</c:f>
              <c:numCache>
                <c:formatCode>0.000</c:formatCode>
                <c:ptCount val="10"/>
                <c:pt idx="0">
                  <c:v>0.94176453358424872</c:v>
                </c:pt>
                <c:pt idx="1">
                  <c:v>0.88692043671715748</c:v>
                </c:pt>
                <c:pt idx="2">
                  <c:v>0.835270211411272</c:v>
                </c:pt>
                <c:pt idx="3">
                  <c:v>0.78662786106655347</c:v>
                </c:pt>
                <c:pt idx="4">
                  <c:v>0.74081822068171788</c:v>
                </c:pt>
                <c:pt idx="5">
                  <c:v>0.69767632607103103</c:v>
                </c:pt>
                <c:pt idx="6">
                  <c:v>0.65704681981505675</c:v>
                </c:pt>
                <c:pt idx="7">
                  <c:v>0.61878339180614084</c:v>
                </c:pt>
                <c:pt idx="8">
                  <c:v>0.58274825237398964</c:v>
                </c:pt>
                <c:pt idx="9">
                  <c:v>0.54881163609402639</c:v>
                </c:pt>
              </c:numCache>
            </c:numRef>
          </c:yVal>
        </c:ser>
        <c:axId val="83179392"/>
        <c:axId val="83194240"/>
      </c:scatterChart>
      <c:valAx>
        <c:axId val="83179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 yrs</a:t>
                </a:r>
              </a:p>
            </c:rich>
          </c:tx>
          <c:layout>
            <c:manualLayout>
              <c:xMode val="edge"/>
              <c:yMode val="edge"/>
              <c:x val="0.84297747443578552"/>
              <c:y val="0.74459189238320389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194240"/>
        <c:crossesAt val="0.5"/>
        <c:crossBetween val="midCat"/>
        <c:majorUnit val="1"/>
      </c:valAx>
      <c:valAx>
        <c:axId val="83194240"/>
        <c:scaling>
          <c:orientation val="minMax"/>
          <c:max val="1"/>
          <c:min val="0.5"/>
        </c:scaling>
        <c:axPos val="l"/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179392"/>
        <c:crosses val="autoZero"/>
        <c:crossBetween val="midCat"/>
        <c:majorUnit val="0.25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906384260890854"/>
          <c:y val="0.39394105934227636"/>
          <c:w val="0.15702521582627382"/>
          <c:h val="0.3852830140820063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7415730337078733E-2"/>
          <c:y val="9.9236826165960162E-2"/>
          <c:w val="0.86797752808988804"/>
          <c:h val="0.72900899221916826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Solver!$I$14:$I$54</c:f>
              <c:numCache>
                <c:formatCode>General</c:formatCode>
                <c:ptCount val="41"/>
                <c:pt idx="0">
                  <c:v>-1</c:v>
                </c:pt>
                <c:pt idx="1">
                  <c:v>-0.85</c:v>
                </c:pt>
                <c:pt idx="2">
                  <c:v>-0.7</c:v>
                </c:pt>
                <c:pt idx="3">
                  <c:v>-0.55000000000000004</c:v>
                </c:pt>
                <c:pt idx="4">
                  <c:v>-0.4</c:v>
                </c:pt>
                <c:pt idx="5">
                  <c:v>-0.25</c:v>
                </c:pt>
                <c:pt idx="6">
                  <c:v>-9.9999999999999922E-2</c:v>
                </c:pt>
                <c:pt idx="7">
                  <c:v>5.0000000000000072E-2</c:v>
                </c:pt>
                <c:pt idx="8">
                  <c:v>0.2</c:v>
                </c:pt>
                <c:pt idx="9">
                  <c:v>0.35</c:v>
                </c:pt>
                <c:pt idx="10">
                  <c:v>0.5</c:v>
                </c:pt>
                <c:pt idx="11">
                  <c:v>0.65</c:v>
                </c:pt>
                <c:pt idx="12">
                  <c:v>0.8</c:v>
                </c:pt>
                <c:pt idx="13">
                  <c:v>0.95</c:v>
                </c:pt>
                <c:pt idx="14">
                  <c:v>1.1000000000000001</c:v>
                </c:pt>
                <c:pt idx="15">
                  <c:v>1.25</c:v>
                </c:pt>
                <c:pt idx="16">
                  <c:v>1.4</c:v>
                </c:pt>
                <c:pt idx="17">
                  <c:v>1.55</c:v>
                </c:pt>
                <c:pt idx="18">
                  <c:v>1.7</c:v>
                </c:pt>
                <c:pt idx="19">
                  <c:v>1.85</c:v>
                </c:pt>
                <c:pt idx="20">
                  <c:v>2</c:v>
                </c:pt>
                <c:pt idx="21">
                  <c:v>2.15</c:v>
                </c:pt>
                <c:pt idx="22">
                  <c:v>2.2999999999999998</c:v>
                </c:pt>
                <c:pt idx="23">
                  <c:v>2.4500000000000002</c:v>
                </c:pt>
                <c:pt idx="24">
                  <c:v>2.6</c:v>
                </c:pt>
                <c:pt idx="25">
                  <c:v>2.75</c:v>
                </c:pt>
                <c:pt idx="26">
                  <c:v>2.9</c:v>
                </c:pt>
                <c:pt idx="27">
                  <c:v>3.05</c:v>
                </c:pt>
                <c:pt idx="28">
                  <c:v>3.2</c:v>
                </c:pt>
                <c:pt idx="29">
                  <c:v>3.35</c:v>
                </c:pt>
                <c:pt idx="30">
                  <c:v>3.5</c:v>
                </c:pt>
                <c:pt idx="31">
                  <c:v>3.65</c:v>
                </c:pt>
                <c:pt idx="32">
                  <c:v>3.8</c:v>
                </c:pt>
                <c:pt idx="33">
                  <c:v>3.95</c:v>
                </c:pt>
                <c:pt idx="34">
                  <c:v>4.0999999999999996</c:v>
                </c:pt>
                <c:pt idx="35">
                  <c:v>4.25</c:v>
                </c:pt>
                <c:pt idx="36">
                  <c:v>4.4000000000000004</c:v>
                </c:pt>
                <c:pt idx="37">
                  <c:v>4.55</c:v>
                </c:pt>
                <c:pt idx="38">
                  <c:v>4.7</c:v>
                </c:pt>
                <c:pt idx="39">
                  <c:v>4.8499999999999996</c:v>
                </c:pt>
                <c:pt idx="40">
                  <c:v>5</c:v>
                </c:pt>
              </c:numCache>
            </c:numRef>
          </c:xVal>
          <c:yVal>
            <c:numRef>
              <c:f>Solver!$J$14:$J$54</c:f>
              <c:numCache>
                <c:formatCode>General</c:formatCode>
                <c:ptCount val="41"/>
                <c:pt idx="0">
                  <c:v>4</c:v>
                </c:pt>
                <c:pt idx="1">
                  <c:v>3.5724999999999998</c:v>
                </c:pt>
                <c:pt idx="2">
                  <c:v>3.19</c:v>
                </c:pt>
                <c:pt idx="3">
                  <c:v>2.8525</c:v>
                </c:pt>
                <c:pt idx="4">
                  <c:v>2.56</c:v>
                </c:pt>
                <c:pt idx="5">
                  <c:v>2.3125</c:v>
                </c:pt>
                <c:pt idx="6">
                  <c:v>2.11</c:v>
                </c:pt>
                <c:pt idx="7">
                  <c:v>1.9524999999999999</c:v>
                </c:pt>
                <c:pt idx="8">
                  <c:v>1.84</c:v>
                </c:pt>
                <c:pt idx="9">
                  <c:v>1.7725</c:v>
                </c:pt>
                <c:pt idx="10">
                  <c:v>1.75</c:v>
                </c:pt>
                <c:pt idx="11">
                  <c:v>1.7725</c:v>
                </c:pt>
                <c:pt idx="12">
                  <c:v>1.84</c:v>
                </c:pt>
                <c:pt idx="13">
                  <c:v>1.9524999999999999</c:v>
                </c:pt>
                <c:pt idx="14">
                  <c:v>2.11</c:v>
                </c:pt>
                <c:pt idx="15">
                  <c:v>2.3125</c:v>
                </c:pt>
                <c:pt idx="16">
                  <c:v>2.56</c:v>
                </c:pt>
                <c:pt idx="17">
                  <c:v>2.8525</c:v>
                </c:pt>
                <c:pt idx="18">
                  <c:v>3.19</c:v>
                </c:pt>
                <c:pt idx="19">
                  <c:v>3.5724999999999998</c:v>
                </c:pt>
                <c:pt idx="20">
                  <c:v>4</c:v>
                </c:pt>
                <c:pt idx="21">
                  <c:v>4.4725000000000001</c:v>
                </c:pt>
                <c:pt idx="22">
                  <c:v>4.99</c:v>
                </c:pt>
                <c:pt idx="23">
                  <c:v>5.5525000000000002</c:v>
                </c:pt>
                <c:pt idx="24">
                  <c:v>6.16</c:v>
                </c:pt>
                <c:pt idx="25">
                  <c:v>6.8125</c:v>
                </c:pt>
                <c:pt idx="26">
                  <c:v>7.51</c:v>
                </c:pt>
                <c:pt idx="27">
                  <c:v>8.2524999999999942</c:v>
                </c:pt>
                <c:pt idx="28">
                  <c:v>9.0399999999999938</c:v>
                </c:pt>
                <c:pt idx="29">
                  <c:v>9.8724999999999916</c:v>
                </c:pt>
                <c:pt idx="30">
                  <c:v>10.75</c:v>
                </c:pt>
                <c:pt idx="31">
                  <c:v>11.672499999999999</c:v>
                </c:pt>
                <c:pt idx="32">
                  <c:v>12.64</c:v>
                </c:pt>
                <c:pt idx="33">
                  <c:v>13.6525</c:v>
                </c:pt>
                <c:pt idx="34">
                  <c:v>14.71</c:v>
                </c:pt>
                <c:pt idx="35">
                  <c:v>15.8125</c:v>
                </c:pt>
                <c:pt idx="36">
                  <c:v>16.96</c:v>
                </c:pt>
                <c:pt idx="37">
                  <c:v>18.1525</c:v>
                </c:pt>
                <c:pt idx="38">
                  <c:v>19.39</c:v>
                </c:pt>
                <c:pt idx="39">
                  <c:v>20.672499999999999</c:v>
                </c:pt>
                <c:pt idx="40">
                  <c:v>22</c:v>
                </c:pt>
              </c:numCache>
            </c:numRef>
          </c:yVal>
        </c:ser>
        <c:axId val="83304448"/>
        <c:axId val="83307136"/>
      </c:scatterChart>
      <c:valAx>
        <c:axId val="83304448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3307136"/>
        <c:crosses val="autoZero"/>
        <c:crossBetween val="midCat"/>
      </c:valAx>
      <c:valAx>
        <c:axId val="83307136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33044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362694300518149"/>
          <c:y val="8.8967971530249268E-2"/>
          <c:w val="0.86010362694300568"/>
          <c:h val="0.71886120996441283"/>
        </c:manualLayout>
      </c:layout>
      <c:lineChart>
        <c:grouping val="standard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'Normal Variates'!$E$27:$E$39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'Normal Variates'!$F$27:$F$39</c:f>
              <c:numCache>
                <c:formatCode>General</c:formatCode>
                <c:ptCount val="13"/>
              </c:numCache>
            </c:numRef>
          </c:val>
        </c:ser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axId val="83565952"/>
        <c:axId val="83829888"/>
      </c:lineChart>
      <c:catAx>
        <c:axId val="83565952"/>
        <c:scaling>
          <c:orientation val="minMax"/>
        </c:scaling>
        <c:axPos val="b"/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829888"/>
        <c:crosses val="autoZero"/>
        <c:auto val="1"/>
        <c:lblAlgn val="ctr"/>
        <c:lblOffset val="100"/>
        <c:tickLblSkip val="1"/>
        <c:tickMarkSkip val="1"/>
      </c:catAx>
      <c:valAx>
        <c:axId val="838298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565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41</xdr:row>
      <xdr:rowOff>142875</xdr:rowOff>
    </xdr:from>
    <xdr:to>
      <xdr:col>8</xdr:col>
      <xdr:colOff>28575</xdr:colOff>
      <xdr:row>53</xdr:row>
      <xdr:rowOff>47625</xdr:rowOff>
    </xdr:to>
    <xdr:graphicFrame macro="">
      <xdr:nvGraphicFramePr>
        <xdr:cNvPr id="194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485775</xdr:colOff>
      <xdr:row>54</xdr:row>
      <xdr:rowOff>104775</xdr:rowOff>
    </xdr:from>
    <xdr:to>
      <xdr:col>8</xdr:col>
      <xdr:colOff>47625</xdr:colOff>
      <xdr:row>66</xdr:row>
      <xdr:rowOff>19050</xdr:rowOff>
    </xdr:to>
    <xdr:graphicFrame macro="">
      <xdr:nvGraphicFramePr>
        <xdr:cNvPr id="1946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152400</xdr:rowOff>
    </xdr:from>
    <xdr:to>
      <xdr:col>3</xdr:col>
      <xdr:colOff>419100</xdr:colOff>
      <xdr:row>27</xdr:row>
      <xdr:rowOff>9525</xdr:rowOff>
    </xdr:to>
    <xdr:graphicFrame macro="">
      <xdr:nvGraphicFramePr>
        <xdr:cNvPr id="204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8</xdr:col>
      <xdr:colOff>419100</xdr:colOff>
      <xdr:row>27</xdr:row>
      <xdr:rowOff>28575</xdr:rowOff>
    </xdr:to>
    <xdr:graphicFrame macro="">
      <xdr:nvGraphicFramePr>
        <xdr:cNvPr id="204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104775</xdr:rowOff>
    </xdr:from>
    <xdr:to>
      <xdr:col>10</xdr:col>
      <xdr:colOff>38100</xdr:colOff>
      <xdr:row>28</xdr:row>
      <xdr:rowOff>47625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29</xdr:row>
      <xdr:rowOff>9525</xdr:rowOff>
    </xdr:from>
    <xdr:to>
      <xdr:col>13</xdr:col>
      <xdr:colOff>428625</xdr:colOff>
      <xdr:row>42</xdr:row>
      <xdr:rowOff>85725</xdr:rowOff>
    </xdr:to>
    <xdr:graphicFrame macro="">
      <xdr:nvGraphicFramePr>
        <xdr:cNvPr id="133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12</xdr:row>
      <xdr:rowOff>28575</xdr:rowOff>
    </xdr:from>
    <xdr:to>
      <xdr:col>7</xdr:col>
      <xdr:colOff>9525</xdr:colOff>
      <xdr:row>25</xdr:row>
      <xdr:rowOff>19050</xdr:rowOff>
    </xdr:to>
    <xdr:graphicFrame macro="">
      <xdr:nvGraphicFramePr>
        <xdr:cNvPr id="307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971550</xdr:colOff>
      <xdr:row>28</xdr:row>
      <xdr:rowOff>0</xdr:rowOff>
    </xdr:from>
    <xdr:to>
      <xdr:col>6</xdr:col>
      <xdr:colOff>685800</xdr:colOff>
      <xdr:row>40</xdr:row>
      <xdr:rowOff>133350</xdr:rowOff>
    </xdr:to>
    <xdr:pic>
      <xdr:nvPicPr>
        <xdr:cNvPr id="30725" name="Picture 5" descr="Solver Parameter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71550" y="4772025"/>
          <a:ext cx="4314825" cy="24193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4</xdr:row>
      <xdr:rowOff>57150</xdr:rowOff>
    </xdr:from>
    <xdr:to>
      <xdr:col>11</xdr:col>
      <xdr:colOff>142875</xdr:colOff>
      <xdr:row>15</xdr:row>
      <xdr:rowOff>123825</xdr:rowOff>
    </xdr:to>
    <xdr:grpSp>
      <xdr:nvGrpSpPr>
        <xdr:cNvPr id="28677" name="Group 5"/>
        <xdr:cNvGrpSpPr>
          <a:grpSpLocks noChangeAspect="1"/>
        </xdr:cNvGrpSpPr>
      </xdr:nvGrpSpPr>
      <xdr:grpSpPr bwMode="auto">
        <a:xfrm>
          <a:off x="5124450" y="962025"/>
          <a:ext cx="1876425" cy="1924050"/>
          <a:chOff x="3658" y="2352"/>
          <a:chExt cx="1478" cy="1509"/>
        </a:xfrm>
      </xdr:grpSpPr>
      <xdr:sp macro="" textlink="">
        <xdr:nvSpPr>
          <xdr:cNvPr id="28678" name="Line 6"/>
          <xdr:cNvSpPr>
            <a:spLocks noChangeAspect="1" noChangeShapeType="1"/>
          </xdr:cNvSpPr>
        </xdr:nvSpPr>
        <xdr:spPr bwMode="auto">
          <a:xfrm flipV="1">
            <a:off x="3840" y="2400"/>
            <a:ext cx="0" cy="12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ffectLst/>
        </xdr:spPr>
      </xdr:sp>
      <xdr:sp macro="" textlink="">
        <xdr:nvSpPr>
          <xdr:cNvPr id="28679" name="Line 7"/>
          <xdr:cNvSpPr>
            <a:spLocks noChangeAspect="1" noChangeShapeType="1"/>
          </xdr:cNvSpPr>
        </xdr:nvSpPr>
        <xdr:spPr bwMode="auto">
          <a:xfrm>
            <a:off x="3840" y="3648"/>
            <a:ext cx="129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ffectLst/>
        </xdr:spPr>
      </xdr:sp>
      <xdr:sp macro="" textlink="">
        <xdr:nvSpPr>
          <xdr:cNvPr id="28680" name="Line 8"/>
          <xdr:cNvSpPr>
            <a:spLocks noChangeAspect="1" noChangeShapeType="1"/>
          </xdr:cNvSpPr>
        </xdr:nvSpPr>
        <xdr:spPr bwMode="auto">
          <a:xfrm rot="5400000">
            <a:off x="4248" y="2904"/>
            <a:ext cx="0" cy="8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1" name="Line 9"/>
          <xdr:cNvSpPr>
            <a:spLocks noChangeAspect="1" noChangeShapeType="1"/>
          </xdr:cNvSpPr>
        </xdr:nvSpPr>
        <xdr:spPr bwMode="auto">
          <a:xfrm>
            <a:off x="4656" y="3312"/>
            <a:ext cx="0" cy="33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2" name="Freeform 10"/>
          <xdr:cNvSpPr>
            <a:spLocks noChangeAspect="1"/>
          </xdr:cNvSpPr>
        </xdr:nvSpPr>
        <xdr:spPr bwMode="auto">
          <a:xfrm>
            <a:off x="3840" y="2496"/>
            <a:ext cx="768" cy="1152"/>
          </a:xfrm>
          <a:custGeom>
            <a:avLst/>
            <a:gdLst/>
            <a:ahLst/>
            <a:cxnLst>
              <a:cxn ang="0">
                <a:pos x="0" y="1152"/>
              </a:cxn>
              <a:cxn ang="0">
                <a:pos x="480" y="864"/>
              </a:cxn>
              <a:cxn ang="0">
                <a:pos x="768" y="0"/>
              </a:cxn>
            </a:cxnLst>
            <a:rect l="0" t="0" r="r" b="b"/>
            <a:pathLst>
              <a:path w="768" h="1152">
                <a:moveTo>
                  <a:pt x="0" y="1152"/>
                </a:moveTo>
                <a:cubicBezTo>
                  <a:pt x="176" y="1104"/>
                  <a:pt x="352" y="1056"/>
                  <a:pt x="480" y="864"/>
                </a:cubicBezTo>
                <a:cubicBezTo>
                  <a:pt x="608" y="672"/>
                  <a:pt x="688" y="336"/>
                  <a:pt x="768" y="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4" name="Line 12"/>
          <xdr:cNvSpPr>
            <a:spLocks noChangeAspect="1" noChangeShapeType="1"/>
          </xdr:cNvSpPr>
        </xdr:nvSpPr>
        <xdr:spPr bwMode="auto">
          <a:xfrm>
            <a:off x="3840" y="3024"/>
            <a:ext cx="62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  <a:effectLst/>
        </xdr:spPr>
      </xdr:sp>
      <xdr:sp macro="" textlink="">
        <xdr:nvSpPr>
          <xdr:cNvPr id="28685" name="Line 13"/>
          <xdr:cNvSpPr>
            <a:spLocks noChangeAspect="1" noChangeShapeType="1"/>
          </xdr:cNvSpPr>
        </xdr:nvSpPr>
        <xdr:spPr bwMode="auto">
          <a:xfrm>
            <a:off x="4464" y="3024"/>
            <a:ext cx="0" cy="624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  <a:effectLst/>
        </xdr:spPr>
      </xdr:sp>
    </xdr:grpSp>
    <xdr:clientData/>
  </xdr:twoCellAnchor>
  <xdr:twoCellAnchor>
    <xdr:from>
      <xdr:col>7</xdr:col>
      <xdr:colOff>0</xdr:colOff>
      <xdr:row>25</xdr:row>
      <xdr:rowOff>0</xdr:rowOff>
    </xdr:from>
    <xdr:to>
      <xdr:col>13</xdr:col>
      <xdr:colOff>19050</xdr:colOff>
      <xdr:row>41</xdr:row>
      <xdr:rowOff>85725</xdr:rowOff>
    </xdr:to>
    <xdr:graphicFrame macro="">
      <xdr:nvGraphicFramePr>
        <xdr:cNvPr id="28688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D%20Shum\My%20Documents\financial%20computing\course\WorkshopFinancialSpreadsheet\OtherSpreadSheets\AdvancedModelinginFinance\AMFExcel_a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therSpreadSheets/AdvancedModelinginFinance/AMFExcel_an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D%20Shum\My%20Documents\financial%20computing\course\WorkshopFinancialSpreadsheet\excel_intro_ans_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Covar)"/>
      <sheetName val="Security (Price Model)"/>
      <sheetName val="Regression"/>
      <sheetName val="Data Table"/>
      <sheetName val="Pivot Table"/>
      <sheetName val="Customizing views"/>
      <sheetName val="Other Goodies"/>
      <sheetName val="Function Keys"/>
      <sheetName val="Normal Variates"/>
      <sheetName val="Monte Carlo"/>
      <sheetName val="BS"/>
      <sheetName val="excel_intro_ans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hum\course\Computational%20Tools%20and%20Technologies%20for%20Financial%20Application\sample%20spreadsheets\2\datatable+pivot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 " refreshedDate="39344.713436226855" createdVersion="1" refreshedVersion="1" recordCount="12" upgradeOnRefresh="1">
  <cacheSource type="worksheet">
    <worksheetSource ref="A1:G13" sheet="Pivot" r:id="rId2"/>
  </cacheSource>
  <cacheFields count="7">
    <cacheField name="Month" numFmtId="0">
      <sharedItems count="2">
        <s v="Jan"/>
        <s v="Feb"/>
      </sharedItems>
    </cacheField>
    <cacheField name="Year" numFmtId="0">
      <sharedItems containsSemiMixedTypes="0" containsString="0" containsNumber="1" containsInteger="1" minValue="2007" maxValue="2007" count="1">
        <n v="2007"/>
      </sharedItems>
    </cacheField>
    <cacheField name="Type" numFmtId="0">
      <sharedItems count="4">
        <s v="Diary"/>
        <s v="Beverage"/>
        <s v="Produce"/>
        <s v="Meat"/>
      </sharedItems>
    </cacheField>
    <cacheField name="Salesperson" numFmtId="0">
      <sharedItems count="4">
        <s v="Dodsworth"/>
        <s v="Davolio"/>
        <s v="Buchanan"/>
        <s v="Suyama"/>
      </sharedItems>
    </cacheField>
    <cacheField name="Sales" numFmtId="0">
      <sharedItems containsSemiMixedTypes="0" containsString="0" containsNumber="1" containsInteger="1" minValue="1328" maxValue="9662" count="12">
        <n v="2628"/>
        <n v="8725"/>
        <n v="6715"/>
        <n v="4356"/>
        <n v="9662"/>
        <n v="1328"/>
        <n v="3571"/>
        <n v="6758"/>
        <n v="4953"/>
        <n v="4923"/>
        <n v="2666"/>
        <n v="1450"/>
      </sharedItems>
    </cacheField>
    <cacheField name="Units" numFmtId="0">
      <sharedItems containsSemiMixedTypes="0" containsString="0" containsNumber="1" containsInteger="1" minValue="124" maxValue="7817" count="12">
        <n v="5611"/>
        <n v="6890"/>
        <n v="2652"/>
        <n v="5636"/>
        <n v="3400"/>
        <n v="2861"/>
        <n v="5178"/>
        <n v="7817"/>
        <n v="5889"/>
        <n v="124"/>
        <n v="744"/>
        <n v="234"/>
      </sharedItems>
    </cacheField>
    <cacheField name="Region" numFmtId="0">
      <sharedItems count="4">
        <s v="West"/>
        <s v="North"/>
        <s v="South"/>
        <s v="East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x v="0"/>
    <x v="0"/>
    <x v="0"/>
    <x v="0"/>
  </r>
  <r>
    <x v="0"/>
    <x v="0"/>
    <x v="1"/>
    <x v="1"/>
    <x v="1"/>
    <x v="1"/>
    <x v="1"/>
  </r>
  <r>
    <x v="0"/>
    <x v="0"/>
    <x v="2"/>
    <x v="2"/>
    <x v="2"/>
    <x v="2"/>
    <x v="2"/>
  </r>
  <r>
    <x v="0"/>
    <x v="0"/>
    <x v="0"/>
    <x v="3"/>
    <x v="3"/>
    <x v="3"/>
    <x v="3"/>
  </r>
  <r>
    <x v="0"/>
    <x v="0"/>
    <x v="3"/>
    <x v="3"/>
    <x v="4"/>
    <x v="4"/>
    <x v="1"/>
  </r>
  <r>
    <x v="0"/>
    <x v="0"/>
    <x v="2"/>
    <x v="1"/>
    <x v="5"/>
    <x v="5"/>
    <x v="0"/>
  </r>
  <r>
    <x v="1"/>
    <x v="0"/>
    <x v="1"/>
    <x v="2"/>
    <x v="6"/>
    <x v="6"/>
    <x v="2"/>
  </r>
  <r>
    <x v="1"/>
    <x v="0"/>
    <x v="0"/>
    <x v="0"/>
    <x v="7"/>
    <x v="7"/>
    <x v="2"/>
  </r>
  <r>
    <x v="1"/>
    <x v="0"/>
    <x v="1"/>
    <x v="2"/>
    <x v="8"/>
    <x v="8"/>
    <x v="0"/>
  </r>
  <r>
    <x v="1"/>
    <x v="0"/>
    <x v="3"/>
    <x v="1"/>
    <x v="9"/>
    <x v="9"/>
    <x v="2"/>
  </r>
  <r>
    <x v="1"/>
    <x v="0"/>
    <x v="3"/>
    <x v="3"/>
    <x v="10"/>
    <x v="10"/>
    <x v="0"/>
  </r>
  <r>
    <x v="1"/>
    <x v="0"/>
    <x v="2"/>
    <x v="2"/>
    <x v="11"/>
    <x v="1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1" asteriskTotals="1" showMemberPropertyTips="0" useAutoFormatting="1" itemPrintTitles="1" createdVersion="1" indent="0" compact="0" compactData="0" gridDropZones="1">
  <location ref="A21:F27" firstHeaderRow="1" firstDataRow="2" firstDataCol="1"/>
  <pivotFields count="7"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  <pivotField compact="0" outline="0" subtotalTop="0" showAll="0" includeNewItemsInFilter="1">
      <items count="5">
        <item x="2"/>
        <item x="1"/>
        <item x="0"/>
        <item x="3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3"/>
        <item x="1"/>
        <item x="2"/>
        <item x="0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4" baseField="0" baseItem="0"/>
  </dataFields>
  <formats count="1">
    <format dxfId="0">
      <pivotArea type="all" dataOnly="0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oleObject" Target="../embeddings/oleObject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14.vml"/><Relationship Id="rId7" Type="http://schemas.openxmlformats.org/officeDocument/2006/relationships/oleObject" Target="../embeddings/oleObject6.bin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5" Type="http://schemas.openxmlformats.org/officeDocument/2006/relationships/oleObject" Target="../embeddings/oleObject4.bin"/><Relationship Id="rId4" Type="http://schemas.openxmlformats.org/officeDocument/2006/relationships/oleObject" Target="../embeddings/oleObject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8.bin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9.bin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84"/>
  <sheetViews>
    <sheetView showGridLines="0" topLeftCell="A7" workbookViewId="0">
      <selection activeCell="B23" sqref="B23"/>
    </sheetView>
  </sheetViews>
  <sheetFormatPr defaultRowHeight="12.75"/>
  <cols>
    <col min="1" max="1" width="3.7109375" customWidth="1"/>
    <col min="2" max="2" width="64.85546875" customWidth="1"/>
    <col min="3" max="3" width="3.42578125" customWidth="1"/>
  </cols>
  <sheetData>
    <row r="1" spans="1:3" ht="21" customHeight="1">
      <c r="A1" s="301"/>
      <c r="B1" s="301"/>
      <c r="C1" s="301"/>
    </row>
    <row r="2" spans="1:3" ht="42" customHeight="1">
      <c r="A2" s="116"/>
      <c r="B2" s="53" t="s">
        <v>60</v>
      </c>
      <c r="C2" s="116"/>
    </row>
    <row r="3" spans="1:3" ht="39" customHeight="1">
      <c r="A3" s="116"/>
      <c r="B3" s="302" t="s">
        <v>14</v>
      </c>
      <c r="C3" s="116"/>
    </row>
    <row r="4" spans="1:3" ht="31.5" customHeight="1">
      <c r="A4" s="116"/>
      <c r="B4" s="57" t="s">
        <v>102</v>
      </c>
      <c r="C4" s="116"/>
    </row>
    <row r="5" spans="1:3" ht="31.5" customHeight="1">
      <c r="A5" s="116"/>
      <c r="B5" s="57" t="s">
        <v>63</v>
      </c>
      <c r="C5" s="116"/>
    </row>
    <row r="6" spans="1:3" ht="31.5" customHeight="1">
      <c r="A6" s="116"/>
      <c r="B6" s="57" t="s">
        <v>96</v>
      </c>
      <c r="C6" s="116"/>
    </row>
    <row r="7" spans="1:3" ht="31.5" customHeight="1">
      <c r="A7" s="116"/>
      <c r="B7" s="57" t="s">
        <v>134</v>
      </c>
      <c r="C7" s="116"/>
    </row>
    <row r="8" spans="1:3" ht="31.5" customHeight="1">
      <c r="A8" s="116"/>
      <c r="B8" s="57" t="s">
        <v>192</v>
      </c>
      <c r="C8" s="116"/>
    </row>
    <row r="9" spans="1:3" ht="31.5" customHeight="1">
      <c r="A9" s="116"/>
      <c r="B9" s="57" t="s">
        <v>263</v>
      </c>
      <c r="C9" s="116"/>
    </row>
    <row r="10" spans="1:3" ht="31.5" customHeight="1">
      <c r="A10" s="116"/>
      <c r="B10" s="57" t="s">
        <v>356</v>
      </c>
      <c r="C10" s="116"/>
    </row>
    <row r="11" spans="1:3" ht="31.5" customHeight="1">
      <c r="A11" s="116"/>
      <c r="B11" s="57" t="s">
        <v>13</v>
      </c>
      <c r="C11" s="116"/>
    </row>
    <row r="12" spans="1:3" ht="31.5" customHeight="1">
      <c r="A12" s="116"/>
      <c r="B12" s="57" t="s">
        <v>424</v>
      </c>
      <c r="C12" s="116"/>
    </row>
    <row r="13" spans="1:3" ht="31.5" customHeight="1">
      <c r="A13" s="116"/>
      <c r="B13" s="57" t="s">
        <v>444</v>
      </c>
      <c r="C13" s="116"/>
    </row>
    <row r="14" spans="1:3" ht="31.5" customHeight="1">
      <c r="A14" s="116"/>
      <c r="B14" s="57" t="s">
        <v>481</v>
      </c>
      <c r="C14" s="116"/>
    </row>
    <row r="15" spans="1:3" ht="31.5" customHeight="1">
      <c r="A15" s="116"/>
      <c r="B15" s="57" t="s">
        <v>493</v>
      </c>
      <c r="C15" s="116"/>
    </row>
    <row r="16" spans="1:3" ht="31.5" customHeight="1">
      <c r="A16" s="116"/>
      <c r="B16" s="58"/>
      <c r="C16" s="116"/>
    </row>
    <row r="17" spans="1:3" ht="19.5" customHeight="1">
      <c r="A17" s="116"/>
      <c r="B17" s="116"/>
      <c r="C17" s="116"/>
    </row>
    <row r="18" spans="1:3" ht="31.5" customHeight="1">
      <c r="B18" s="2"/>
    </row>
    <row r="19" spans="1:3">
      <c r="B19" s="2" t="s">
        <v>507</v>
      </c>
    </row>
    <row r="20" spans="1:3">
      <c r="B20" s="2" t="s">
        <v>527</v>
      </c>
    </row>
    <row r="21" spans="1:3">
      <c r="B21" s="2" t="s">
        <v>508</v>
      </c>
    </row>
    <row r="22" spans="1:3" ht="31.5" customHeight="1">
      <c r="B22" s="2"/>
    </row>
    <row r="23" spans="1:3" ht="31.5" customHeight="1">
      <c r="B23" s="2"/>
    </row>
    <row r="24" spans="1:3" ht="31.5" customHeight="1">
      <c r="B24" s="2"/>
    </row>
    <row r="25" spans="1:3">
      <c r="B25" s="2"/>
    </row>
    <row r="26" spans="1:3">
      <c r="B26" s="2"/>
    </row>
    <row r="27" spans="1:3">
      <c r="B27" s="2"/>
    </row>
    <row r="28" spans="1:3">
      <c r="B28" s="2"/>
    </row>
    <row r="29" spans="1:3">
      <c r="B29" s="2"/>
    </row>
    <row r="30" spans="1:3">
      <c r="B30" s="2"/>
    </row>
    <row r="31" spans="1:3">
      <c r="B31" s="2"/>
    </row>
    <row r="32" spans="1:3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</sheetData>
  <phoneticPr fontId="20" type="noConversion"/>
  <hyperlinks>
    <hyperlink ref="B4" location="'Very Basics'!A1" display="The Very Basics"/>
    <hyperlink ref="B5" location="Navigating!A1" display="Navigating"/>
    <hyperlink ref="B6" location="'Copy &amp; Paste'!A1" display="Copy &amp; Paste"/>
    <hyperlink ref="B7" location="'Formatting cells'!A1" display="Formatting cells"/>
    <hyperlink ref="B8" location="Formula!A1" display="Formula"/>
    <hyperlink ref="B9" location="'Build-In Functions'!A1" display="Build-In Functions"/>
    <hyperlink ref="B10" location="'Build-In Functions (Time Value)'!A1" display="Build-In Functions (Time Value)"/>
    <hyperlink ref="B11" location="'Build-In Functions (Stat)'!A1" display="Build-In Functions (Statistics)"/>
    <hyperlink ref="B12" location="'Data Table'!A1" display="Data Table"/>
    <hyperlink ref="B13" location="'Pivot Table'!A1" display="Pivot Table"/>
    <hyperlink ref="B14" location="Misc!A1" display="Misc"/>
    <hyperlink ref="B15" location="Solver!A1" display="Solver"/>
  </hyperlinks>
  <pageMargins left="0.75" right="0.75" top="1" bottom="1" header="0.5" footer="0.5"/>
  <pageSetup paperSize="9" orientation="portrait" horizontalDpi="4294967295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51"/>
  <sheetViews>
    <sheetView showGridLines="0" workbookViewId="0">
      <selection activeCell="A6" sqref="A6"/>
    </sheetView>
  </sheetViews>
  <sheetFormatPr defaultRowHeight="12.75"/>
  <cols>
    <col min="1" max="1" width="116.85546875" customWidth="1"/>
  </cols>
  <sheetData>
    <row r="1" spans="1:1" ht="27.75">
      <c r="A1" s="56" t="s">
        <v>102</v>
      </c>
    </row>
    <row r="4" spans="1:1" ht="15.75">
      <c r="A4" s="107" t="s">
        <v>61</v>
      </c>
    </row>
    <row r="5" spans="1:1" s="108" customFormat="1" ht="15">
      <c r="A5" s="54" t="s">
        <v>62</v>
      </c>
    </row>
    <row r="6" spans="1:1" s="108" customFormat="1" ht="15">
      <c r="A6" s="55" t="s">
        <v>523</v>
      </c>
    </row>
    <row r="10" spans="1:1" ht="15.75">
      <c r="A10" s="107" t="s">
        <v>15</v>
      </c>
    </row>
    <row r="11" spans="1:1" ht="15">
      <c r="A11" s="14" t="s">
        <v>133</v>
      </c>
    </row>
    <row r="12" spans="1:1" ht="30">
      <c r="A12" s="15" t="s">
        <v>509</v>
      </c>
    </row>
    <row r="15" spans="1:1">
      <c r="A15" s="3"/>
    </row>
    <row r="16" spans="1:1" ht="15.75">
      <c r="A16" s="111" t="s">
        <v>106</v>
      </c>
    </row>
    <row r="17" spans="1:8" ht="15">
      <c r="A17" s="110" t="s">
        <v>104</v>
      </c>
    </row>
    <row r="18" spans="1:8" ht="15">
      <c r="A18" s="109" t="s">
        <v>103</v>
      </c>
    </row>
    <row r="19" spans="1:8" ht="15">
      <c r="A19" s="109" t="s">
        <v>107</v>
      </c>
    </row>
    <row r="20" spans="1:8" ht="15">
      <c r="A20" s="109" t="s">
        <v>129</v>
      </c>
    </row>
    <row r="21" spans="1:8" ht="15">
      <c r="A21" s="110" t="s">
        <v>130</v>
      </c>
    </row>
    <row r="22" spans="1:8" ht="15">
      <c r="A22" s="110" t="s">
        <v>131</v>
      </c>
    </row>
    <row r="23" spans="1:8" ht="15">
      <c r="A23" s="109" t="s">
        <v>105</v>
      </c>
    </row>
    <row r="24" spans="1:8" ht="15">
      <c r="A24" s="112" t="s">
        <v>132</v>
      </c>
    </row>
    <row r="27" spans="1:8" ht="15.75">
      <c r="A27" s="156" t="s">
        <v>173</v>
      </c>
      <c r="B27" s="25"/>
      <c r="C27" s="25"/>
      <c r="D27" s="25"/>
      <c r="E27" s="25"/>
      <c r="F27" s="25"/>
      <c r="G27" s="25"/>
      <c r="H27" s="25"/>
    </row>
    <row r="28" spans="1:8" ht="15.75">
      <c r="A28" s="157"/>
      <c r="B28" s="25"/>
      <c r="C28" s="25"/>
      <c r="D28" s="25"/>
      <c r="E28" s="25"/>
      <c r="F28" s="25"/>
      <c r="G28" s="25"/>
      <c r="H28" s="25"/>
    </row>
    <row r="29" spans="1:8" ht="15.75">
      <c r="A29" s="157" t="s">
        <v>175</v>
      </c>
      <c r="B29" s="25"/>
      <c r="C29" s="25"/>
      <c r="D29" s="25"/>
      <c r="E29" s="25"/>
      <c r="F29" s="25"/>
      <c r="G29" s="25"/>
      <c r="H29" s="25"/>
    </row>
    <row r="30" spans="1:8" ht="15.75">
      <c r="A30" s="157" t="s">
        <v>506</v>
      </c>
      <c r="B30" s="25"/>
      <c r="C30" s="25"/>
      <c r="D30" s="25"/>
      <c r="E30" s="25"/>
      <c r="F30" s="25"/>
      <c r="G30" s="25"/>
      <c r="H30" s="25"/>
    </row>
    <row r="31" spans="1:8" ht="15.75">
      <c r="A31" s="157" t="s">
        <v>176</v>
      </c>
      <c r="B31" s="25"/>
      <c r="C31" s="25"/>
      <c r="D31" s="25"/>
      <c r="E31" s="25"/>
      <c r="F31" s="25"/>
      <c r="G31" s="25"/>
      <c r="H31" s="25"/>
    </row>
    <row r="32" spans="1:8" ht="47.25">
      <c r="A32" s="159" t="s">
        <v>182</v>
      </c>
      <c r="B32" s="25"/>
      <c r="C32" s="25"/>
      <c r="D32" s="25"/>
      <c r="E32" s="25"/>
      <c r="F32" s="25"/>
      <c r="G32" s="25"/>
      <c r="H32" s="25"/>
    </row>
    <row r="33" spans="1:8" ht="15.75">
      <c r="A33" s="159"/>
      <c r="B33" s="25"/>
      <c r="C33" s="25"/>
      <c r="D33" s="25"/>
      <c r="E33" s="25"/>
      <c r="F33" s="25"/>
      <c r="G33" s="25"/>
      <c r="H33" s="25"/>
    </row>
    <row r="34" spans="1:8" ht="15.75">
      <c r="A34" s="158" t="s">
        <v>177</v>
      </c>
      <c r="B34" s="25"/>
      <c r="C34" s="25"/>
      <c r="D34" s="25"/>
      <c r="E34" s="25"/>
      <c r="F34" s="25"/>
      <c r="G34" s="25"/>
      <c r="H34" s="25"/>
    </row>
    <row r="35" spans="1:8">
      <c r="B35" s="25"/>
      <c r="C35" s="25"/>
      <c r="D35" s="25"/>
      <c r="E35" s="25"/>
      <c r="F35" s="25"/>
      <c r="G35" s="25"/>
      <c r="H35" s="25"/>
    </row>
    <row r="36" spans="1:8">
      <c r="A36" s="155" t="s">
        <v>174</v>
      </c>
      <c r="B36" s="25"/>
      <c r="C36" s="25"/>
      <c r="D36" s="25"/>
      <c r="E36" s="25"/>
      <c r="F36" s="25"/>
      <c r="G36" s="25"/>
      <c r="H36" s="25"/>
    </row>
    <row r="37" spans="1:8">
      <c r="B37" s="25"/>
      <c r="C37" s="25"/>
      <c r="D37" s="25"/>
      <c r="E37" s="25"/>
      <c r="F37" s="25"/>
      <c r="G37" s="25"/>
      <c r="H37" s="25"/>
    </row>
    <row r="38" spans="1:8">
      <c r="B38" s="25"/>
      <c r="C38" s="25"/>
      <c r="D38" s="25"/>
      <c r="E38" s="25"/>
      <c r="F38" s="25"/>
      <c r="G38" s="25"/>
      <c r="H38" s="25"/>
    </row>
    <row r="39" spans="1:8">
      <c r="B39" s="25"/>
      <c r="C39" s="25"/>
      <c r="D39" s="25"/>
      <c r="E39" s="25"/>
      <c r="F39" s="25"/>
      <c r="G39" s="25"/>
      <c r="H39" s="25"/>
    </row>
    <row r="40" spans="1:8" ht="15.75">
      <c r="A40" s="156" t="s">
        <v>178</v>
      </c>
      <c r="B40" s="25"/>
      <c r="C40" s="25"/>
      <c r="D40" s="25"/>
      <c r="E40" s="25"/>
      <c r="F40" s="25"/>
      <c r="G40" s="25"/>
      <c r="H40" s="25"/>
    </row>
    <row r="41" spans="1:8" ht="15.75">
      <c r="A41" s="157"/>
      <c r="B41" s="25"/>
      <c r="C41" s="25"/>
      <c r="D41" s="25"/>
      <c r="E41" s="25"/>
      <c r="F41" s="25"/>
      <c r="G41" s="25"/>
      <c r="H41" s="25"/>
    </row>
    <row r="42" spans="1:8" ht="15.75">
      <c r="A42" s="157" t="s">
        <v>179</v>
      </c>
      <c r="B42" s="25"/>
      <c r="C42" s="25"/>
      <c r="D42" s="25"/>
      <c r="E42" s="25"/>
      <c r="F42" s="25"/>
      <c r="G42" s="25"/>
      <c r="H42" s="25"/>
    </row>
    <row r="43" spans="1:8" ht="15.75">
      <c r="A43" s="157" t="s">
        <v>181</v>
      </c>
      <c r="B43" s="25"/>
      <c r="C43" s="25"/>
      <c r="D43" s="25"/>
      <c r="E43" s="25"/>
      <c r="F43" s="25"/>
      <c r="G43" s="25"/>
      <c r="H43" s="25"/>
    </row>
    <row r="44" spans="1:8" ht="15.75">
      <c r="A44" s="157" t="s">
        <v>176</v>
      </c>
      <c r="B44" s="25"/>
      <c r="C44" s="25"/>
      <c r="D44" s="25"/>
      <c r="E44" s="25"/>
      <c r="F44" s="25"/>
      <c r="G44" s="25"/>
      <c r="H44" s="25"/>
    </row>
    <row r="45" spans="1:8" ht="15.75">
      <c r="A45" s="162" t="s">
        <v>183</v>
      </c>
      <c r="B45" s="25"/>
      <c r="C45" s="25"/>
      <c r="D45" s="25"/>
      <c r="E45" s="25"/>
      <c r="F45" s="25"/>
      <c r="G45" s="25"/>
      <c r="H45" s="25"/>
    </row>
    <row r="46" spans="1:8" ht="15.75">
      <c r="A46" s="160" t="s">
        <v>184</v>
      </c>
      <c r="B46" s="25"/>
      <c r="C46" s="25"/>
      <c r="D46" s="25"/>
      <c r="E46" s="25"/>
      <c r="F46" s="25"/>
      <c r="G46" s="25"/>
      <c r="H46" s="25"/>
    </row>
    <row r="47" spans="1:8" ht="15.75">
      <c r="A47" s="160" t="s">
        <v>185</v>
      </c>
      <c r="B47" s="25"/>
      <c r="C47" s="25"/>
      <c r="D47" s="25"/>
      <c r="E47" s="25"/>
      <c r="F47" s="25"/>
      <c r="G47" s="25"/>
      <c r="H47" s="25"/>
    </row>
    <row r="49" spans="1:1">
      <c r="A49" s="155" t="s">
        <v>180</v>
      </c>
    </row>
    <row r="51" spans="1:1">
      <c r="A51" s="161"/>
    </row>
  </sheetData>
  <phoneticPr fontId="20" type="noConversion"/>
  <pageMargins left="0.75" right="0.75" top="1" bottom="1" header="0.5" footer="0.5"/>
  <pageSetup orientation="portrait" horizontalDpi="4294967295" verticalDpi="300" r:id="rId1"/>
  <headerFooter alignWithMargins="0">
    <oddHeader>&amp;A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94"/>
  <sheetViews>
    <sheetView topLeftCell="A44" workbookViewId="0">
      <selection activeCell="A9" sqref="A9"/>
    </sheetView>
  </sheetViews>
  <sheetFormatPr defaultRowHeight="12.75"/>
  <cols>
    <col min="1" max="1" width="30.42578125" customWidth="1"/>
    <col min="4" max="4" width="30.42578125" bestFit="1" customWidth="1"/>
    <col min="7" max="7" width="30.42578125" bestFit="1" customWidth="1"/>
  </cols>
  <sheetData>
    <row r="1" spans="1:8" ht="27.75">
      <c r="A1" s="59" t="s">
        <v>63</v>
      </c>
      <c r="B1" s="60"/>
      <c r="C1" s="60"/>
      <c r="D1" s="60"/>
      <c r="E1" s="60"/>
      <c r="F1" s="87"/>
      <c r="G1" s="61"/>
      <c r="H1" s="61"/>
    </row>
    <row r="2" spans="1:8">
      <c r="A2" s="3"/>
      <c r="B2" s="3"/>
      <c r="C2" s="3"/>
      <c r="D2" s="3"/>
      <c r="E2" s="3"/>
      <c r="F2" s="3"/>
      <c r="G2" s="3"/>
      <c r="H2" s="3"/>
    </row>
    <row r="3" spans="1:8" ht="15.75">
      <c r="A3" s="68" t="s">
        <v>73</v>
      </c>
      <c r="B3" s="18"/>
      <c r="C3" s="18"/>
      <c r="D3" s="18"/>
      <c r="E3" s="18"/>
      <c r="F3" s="18"/>
      <c r="G3" s="18"/>
      <c r="H3" s="17"/>
    </row>
    <row r="4" spans="1:8" s="4" customFormat="1" ht="15.75">
      <c r="A4" s="75" t="s">
        <v>524</v>
      </c>
      <c r="B4" s="84"/>
      <c r="C4" s="84"/>
      <c r="D4" s="84"/>
      <c r="E4" s="84"/>
      <c r="F4" s="84"/>
      <c r="G4" s="84"/>
      <c r="H4" s="85"/>
    </row>
    <row r="5" spans="1:8" s="4" customFormat="1" ht="15">
      <c r="A5" s="76" t="s">
        <v>108</v>
      </c>
      <c r="B5" s="78"/>
      <c r="C5" s="78"/>
      <c r="D5" s="78"/>
      <c r="E5" s="78" t="s">
        <v>109</v>
      </c>
      <c r="F5" s="78"/>
      <c r="G5" s="78"/>
      <c r="H5" s="86"/>
    </row>
    <row r="6" spans="1:8" ht="15">
      <c r="A6" s="73"/>
      <c r="B6" s="74"/>
      <c r="C6" s="74"/>
      <c r="D6" s="74"/>
      <c r="E6" s="74"/>
      <c r="F6" s="74"/>
      <c r="G6" s="74"/>
      <c r="H6" s="74"/>
    </row>
    <row r="7" spans="1:8" ht="15">
      <c r="A7" s="73"/>
      <c r="B7" s="74"/>
      <c r="C7" s="74"/>
      <c r="D7" s="77" t="s">
        <v>74</v>
      </c>
      <c r="E7" s="74"/>
      <c r="F7" s="74"/>
      <c r="G7" s="74"/>
      <c r="H7" s="74"/>
    </row>
    <row r="10" spans="1:8" ht="15">
      <c r="A10" s="79"/>
      <c r="B10" s="3"/>
      <c r="C10" s="3"/>
      <c r="D10" s="3"/>
      <c r="E10" s="3"/>
      <c r="F10" s="3"/>
      <c r="G10" s="3"/>
      <c r="H10" s="3"/>
    </row>
    <row r="11" spans="1:8" ht="15.75">
      <c r="A11" s="68" t="s">
        <v>68</v>
      </c>
      <c r="B11" s="18"/>
      <c r="C11" s="18"/>
      <c r="D11" s="18"/>
      <c r="E11" s="18"/>
      <c r="F11" s="18"/>
      <c r="G11" s="18"/>
      <c r="H11" s="17"/>
    </row>
    <row r="12" spans="1:8" ht="15.75">
      <c r="A12" s="69"/>
      <c r="B12" s="20"/>
      <c r="C12" s="21"/>
      <c r="D12" s="21"/>
      <c r="E12" s="21"/>
      <c r="F12" s="21"/>
      <c r="G12" s="21"/>
      <c r="H12" s="22"/>
    </row>
    <row r="13" spans="1:8" ht="15.75">
      <c r="A13" s="5"/>
    </row>
    <row r="14" spans="1:8">
      <c r="A14" s="62" t="s">
        <v>72</v>
      </c>
      <c r="D14" s="62" t="s">
        <v>64</v>
      </c>
      <c r="G14" s="62" t="s">
        <v>65</v>
      </c>
    </row>
    <row r="15" spans="1:8" ht="15.75">
      <c r="A15" s="5"/>
    </row>
    <row r="16" spans="1:8">
      <c r="A16" s="63"/>
      <c r="B16" s="63"/>
      <c r="C16" s="63"/>
      <c r="D16" s="67"/>
      <c r="E16" s="63"/>
      <c r="F16" s="63"/>
      <c r="G16" s="63"/>
      <c r="H16" s="63"/>
    </row>
    <row r="17" spans="1:8">
      <c r="A17" s="62" t="s">
        <v>67</v>
      </c>
      <c r="G17" s="62" t="s">
        <v>66</v>
      </c>
    </row>
    <row r="18" spans="1:8">
      <c r="A18" s="63"/>
      <c r="G18" s="63"/>
    </row>
    <row r="19" spans="1:8" ht="15.75">
      <c r="A19" s="5"/>
    </row>
    <row r="20" spans="1:8" ht="14.25" customHeight="1">
      <c r="A20" s="65" t="s">
        <v>75</v>
      </c>
      <c r="C20" s="64"/>
    </row>
    <row r="21" spans="1:8">
      <c r="A21" s="81" t="s">
        <v>76</v>
      </c>
      <c r="C21" s="64"/>
    </row>
    <row r="22" spans="1:8">
      <c r="A22" s="81" t="s">
        <v>77</v>
      </c>
      <c r="C22" s="64"/>
    </row>
    <row r="23" spans="1:8" ht="15.75">
      <c r="A23" s="462" t="s">
        <v>79</v>
      </c>
      <c r="B23" s="462"/>
      <c r="C23" s="66"/>
    </row>
    <row r="24" spans="1:8" ht="15.75">
      <c r="A24" s="5"/>
    </row>
    <row r="25" spans="1:8" ht="15.75">
      <c r="A25" s="80"/>
      <c r="B25" s="3"/>
      <c r="C25" s="3"/>
      <c r="D25" s="3"/>
      <c r="E25" s="3"/>
      <c r="F25" s="3"/>
      <c r="G25" s="3"/>
      <c r="H25" s="3"/>
    </row>
    <row r="26" spans="1:8" ht="15.75">
      <c r="A26" s="82" t="s">
        <v>82</v>
      </c>
      <c r="B26" s="18"/>
      <c r="C26" s="18"/>
      <c r="D26" s="18"/>
      <c r="E26" s="18"/>
      <c r="F26" s="18"/>
      <c r="G26" s="18"/>
      <c r="H26" s="17"/>
    </row>
    <row r="27" spans="1:8" ht="15.75">
      <c r="A27" s="82" t="s">
        <v>80</v>
      </c>
      <c r="B27" s="18"/>
      <c r="C27" s="18"/>
      <c r="D27" s="18"/>
      <c r="E27" s="18"/>
      <c r="F27" s="18"/>
      <c r="G27" s="18"/>
      <c r="H27" s="19"/>
    </row>
    <row r="28" spans="1:8" ht="15.75">
      <c r="A28" s="82" t="s">
        <v>81</v>
      </c>
      <c r="B28" s="18"/>
      <c r="C28" s="18"/>
      <c r="D28" s="18"/>
      <c r="E28" s="18"/>
      <c r="F28" s="18"/>
      <c r="G28" s="18"/>
      <c r="H28" s="19"/>
    </row>
    <row r="29" spans="1:8" ht="15.75">
      <c r="A29" s="68"/>
      <c r="B29" s="18"/>
      <c r="C29" s="18"/>
      <c r="D29" s="18"/>
      <c r="E29" s="18"/>
      <c r="F29" s="18"/>
      <c r="G29" s="18"/>
      <c r="H29" s="19"/>
    </row>
    <row r="30" spans="1:8" ht="15.75">
      <c r="A30" s="82" t="s">
        <v>83</v>
      </c>
      <c r="B30" s="18"/>
      <c r="C30" s="18"/>
      <c r="D30" s="18"/>
      <c r="E30" s="18"/>
      <c r="F30" s="18"/>
      <c r="G30" s="18"/>
      <c r="H30" s="19"/>
    </row>
    <row r="31" spans="1:8" ht="15.75">
      <c r="A31" s="82" t="s">
        <v>84</v>
      </c>
      <c r="B31" s="18"/>
      <c r="C31" s="18"/>
      <c r="D31" s="18"/>
      <c r="E31" s="18"/>
      <c r="F31" s="18"/>
      <c r="G31" s="18"/>
      <c r="H31" s="19"/>
    </row>
    <row r="32" spans="1:8" ht="15.75">
      <c r="A32" s="82" t="s">
        <v>85</v>
      </c>
      <c r="B32" s="18"/>
      <c r="C32" s="18"/>
      <c r="D32" s="18"/>
      <c r="E32" s="18"/>
      <c r="F32" s="18"/>
      <c r="G32" s="18"/>
      <c r="H32" s="19"/>
    </row>
    <row r="33" spans="1:8" ht="15.75">
      <c r="A33" s="82" t="s">
        <v>86</v>
      </c>
      <c r="B33" s="18"/>
      <c r="C33" s="18"/>
      <c r="D33" s="18"/>
      <c r="E33" s="18"/>
      <c r="F33" s="18"/>
      <c r="G33" s="18"/>
      <c r="H33" s="19"/>
    </row>
    <row r="34" spans="1:8" ht="15.75">
      <c r="A34" s="68"/>
      <c r="B34" s="18"/>
      <c r="C34" s="18"/>
      <c r="D34" s="18"/>
      <c r="E34" s="18"/>
      <c r="F34" s="18"/>
      <c r="G34" s="18"/>
      <c r="H34" s="19"/>
    </row>
    <row r="35" spans="1:8" ht="15.75">
      <c r="A35" s="82" t="s">
        <v>87</v>
      </c>
      <c r="B35" s="18"/>
      <c r="C35" s="18"/>
      <c r="D35" s="18"/>
      <c r="E35" s="18"/>
      <c r="F35" s="18"/>
      <c r="G35" s="18"/>
      <c r="H35" s="19"/>
    </row>
    <row r="36" spans="1:8" ht="15.75">
      <c r="A36" s="83" t="s">
        <v>88</v>
      </c>
      <c r="B36" s="21"/>
      <c r="C36" s="21"/>
      <c r="D36" s="21"/>
      <c r="E36" s="21"/>
      <c r="F36" s="21"/>
      <c r="G36" s="21"/>
      <c r="H36" s="22"/>
    </row>
    <row r="37" spans="1:8" ht="15.75">
      <c r="A37" s="5"/>
    </row>
    <row r="38" spans="1:8" ht="15.75">
      <c r="A38" s="5"/>
    </row>
    <row r="39" spans="1:8" ht="15.75">
      <c r="A39" s="80"/>
      <c r="B39" s="3"/>
      <c r="C39" s="3"/>
      <c r="D39" s="3"/>
      <c r="E39" s="3"/>
      <c r="F39" s="3"/>
      <c r="G39" s="3"/>
      <c r="H39" s="3"/>
    </row>
    <row r="40" spans="1:8" ht="15.75">
      <c r="A40" s="115" t="s">
        <v>117</v>
      </c>
      <c r="B40" s="26"/>
      <c r="C40" s="26"/>
      <c r="D40" s="26"/>
      <c r="E40" s="26"/>
      <c r="F40" s="26"/>
      <c r="G40" s="26"/>
      <c r="H40" s="17"/>
    </row>
    <row r="41" spans="1:8" ht="15">
      <c r="A41" s="113" t="s">
        <v>111</v>
      </c>
      <c r="B41" s="26"/>
      <c r="C41" s="26"/>
      <c r="D41" s="26"/>
      <c r="E41" s="26"/>
      <c r="F41" s="26"/>
      <c r="G41" s="26"/>
      <c r="H41" s="19"/>
    </row>
    <row r="42" spans="1:8" ht="15">
      <c r="A42" s="113" t="s">
        <v>113</v>
      </c>
      <c r="B42" s="26"/>
      <c r="C42" s="26"/>
      <c r="D42" s="26"/>
      <c r="E42" s="26"/>
      <c r="F42" s="26"/>
      <c r="G42" s="26"/>
      <c r="H42" s="19"/>
    </row>
    <row r="43" spans="1:8" ht="15">
      <c r="A43" s="113" t="s">
        <v>114</v>
      </c>
      <c r="B43" s="26"/>
      <c r="C43" s="26"/>
      <c r="D43" s="26"/>
      <c r="E43" s="26"/>
      <c r="F43" s="26"/>
      <c r="G43" s="26"/>
      <c r="H43" s="19"/>
    </row>
    <row r="44" spans="1:8" ht="15">
      <c r="A44" s="113"/>
      <c r="B44" s="26"/>
      <c r="C44" s="26"/>
      <c r="D44" s="26"/>
      <c r="E44" s="26"/>
      <c r="F44" s="26"/>
      <c r="G44" s="26"/>
      <c r="H44" s="19"/>
    </row>
    <row r="45" spans="1:8" ht="15">
      <c r="A45" s="113" t="s">
        <v>112</v>
      </c>
      <c r="B45" s="26"/>
      <c r="C45" s="26"/>
      <c r="D45" s="26"/>
      <c r="E45" s="26"/>
      <c r="F45" s="26"/>
      <c r="G45" s="26"/>
      <c r="H45" s="19"/>
    </row>
    <row r="46" spans="1:8" ht="15">
      <c r="A46" s="113" t="s">
        <v>115</v>
      </c>
      <c r="B46" s="26"/>
      <c r="C46" s="26"/>
      <c r="D46" s="26"/>
      <c r="E46" s="26"/>
      <c r="F46" s="26"/>
      <c r="G46" s="26"/>
      <c r="H46" s="19"/>
    </row>
    <row r="47" spans="1:8" ht="15">
      <c r="A47" s="114" t="s">
        <v>116</v>
      </c>
      <c r="B47" s="21"/>
      <c r="C47" s="21"/>
      <c r="D47" s="21"/>
      <c r="E47" s="21"/>
      <c r="F47" s="21"/>
      <c r="G47" s="21"/>
      <c r="H47" s="22"/>
    </row>
    <row r="48" spans="1:8" ht="15.75">
      <c r="A48" s="5"/>
    </row>
    <row r="49" spans="1:8" ht="15.75">
      <c r="A49" s="5"/>
    </row>
    <row r="50" spans="1:8" ht="15.75">
      <c r="A50" s="5"/>
      <c r="G50" s="3"/>
    </row>
    <row r="51" spans="1:8" ht="15.75">
      <c r="A51" s="70" t="s">
        <v>97</v>
      </c>
      <c r="B51" s="16"/>
      <c r="C51" s="16"/>
      <c r="D51" s="16"/>
      <c r="E51" s="16"/>
      <c r="F51" s="16"/>
      <c r="G51" s="18"/>
      <c r="H51" s="17"/>
    </row>
    <row r="52" spans="1:8" ht="45" customHeight="1">
      <c r="A52" s="463" t="s">
        <v>101</v>
      </c>
      <c r="B52" s="463"/>
      <c r="C52" s="463"/>
      <c r="D52" s="463"/>
      <c r="E52" s="463"/>
      <c r="F52" s="463"/>
      <c r="G52" s="21"/>
      <c r="H52" s="22"/>
    </row>
    <row r="55" spans="1:8">
      <c r="A55" s="101" t="s">
        <v>69</v>
      </c>
      <c r="B55" s="102"/>
      <c r="C55" s="102"/>
      <c r="D55" s="103" t="s">
        <v>98</v>
      </c>
      <c r="E55" s="102"/>
      <c r="F55" s="102"/>
      <c r="G55" s="104" t="s">
        <v>100</v>
      </c>
    </row>
    <row r="56" spans="1:8">
      <c r="A56" s="102"/>
      <c r="B56" s="102"/>
      <c r="C56" s="102"/>
      <c r="D56" s="102"/>
      <c r="E56" s="102"/>
      <c r="F56" s="102"/>
      <c r="G56" s="102"/>
    </row>
    <row r="57" spans="1:8">
      <c r="A57" s="102"/>
      <c r="B57" s="102"/>
      <c r="C57" s="102"/>
      <c r="D57" s="102"/>
      <c r="E57" s="102"/>
      <c r="F57" s="102"/>
      <c r="G57" s="102"/>
    </row>
    <row r="58" spans="1:8">
      <c r="A58" s="102"/>
      <c r="B58" s="102"/>
      <c r="C58" s="102"/>
      <c r="D58" s="102"/>
      <c r="E58" s="102"/>
      <c r="F58" s="102"/>
      <c r="G58" s="102"/>
    </row>
    <row r="59" spans="1:8">
      <c r="A59" s="102"/>
      <c r="B59" s="102"/>
      <c r="C59" s="102"/>
      <c r="D59" s="102"/>
      <c r="E59" s="102"/>
      <c r="F59" s="102"/>
      <c r="G59" s="102"/>
    </row>
    <row r="60" spans="1:8">
      <c r="A60" s="102"/>
      <c r="B60" s="102"/>
      <c r="C60" s="102"/>
      <c r="D60" s="102"/>
      <c r="E60" s="102"/>
      <c r="F60" s="102"/>
      <c r="G60" s="102"/>
    </row>
    <row r="61" spans="1:8">
      <c r="A61" s="101" t="s">
        <v>98</v>
      </c>
      <c r="B61" s="102"/>
      <c r="C61" s="102"/>
      <c r="D61" s="102"/>
      <c r="E61" s="102"/>
      <c r="F61" s="102"/>
      <c r="G61" s="105" t="s">
        <v>98</v>
      </c>
    </row>
    <row r="62" spans="1:8">
      <c r="A62" s="102"/>
      <c r="B62" s="102"/>
      <c r="C62" s="102"/>
      <c r="D62" s="102"/>
      <c r="E62" s="102"/>
      <c r="F62" s="102"/>
      <c r="G62" s="102"/>
    </row>
    <row r="63" spans="1:8">
      <c r="A63" s="102"/>
      <c r="B63" s="102"/>
      <c r="C63" s="102"/>
      <c r="D63" s="102"/>
      <c r="E63" s="102"/>
      <c r="F63" s="102"/>
      <c r="G63" s="102"/>
    </row>
    <row r="64" spans="1:8">
      <c r="A64" s="102"/>
      <c r="B64" s="102"/>
      <c r="C64" s="102"/>
      <c r="D64" s="102"/>
      <c r="E64" s="102"/>
      <c r="F64" s="102"/>
      <c r="G64" s="102"/>
    </row>
    <row r="65" spans="1:7">
      <c r="A65" s="102"/>
      <c r="B65" s="102"/>
      <c r="C65" s="102"/>
      <c r="D65" s="102"/>
      <c r="E65" s="102"/>
      <c r="F65" s="102"/>
      <c r="G65" s="102"/>
    </row>
    <row r="66" spans="1:7">
      <c r="A66" s="102"/>
      <c r="B66" s="102"/>
      <c r="C66" s="102"/>
      <c r="D66" s="102"/>
      <c r="E66" s="102"/>
      <c r="F66" s="102"/>
      <c r="G66" s="102"/>
    </row>
    <row r="67" spans="1:7">
      <c r="A67" s="102"/>
      <c r="B67" s="102"/>
      <c r="C67" s="102"/>
      <c r="D67" s="102"/>
      <c r="E67" s="102"/>
      <c r="F67" s="102"/>
      <c r="G67" s="102"/>
    </row>
    <row r="68" spans="1:7">
      <c r="A68" s="102"/>
      <c r="B68" s="102"/>
      <c r="C68" s="102"/>
      <c r="D68" s="102"/>
      <c r="E68" s="102"/>
      <c r="F68" s="102"/>
      <c r="G68" s="102"/>
    </row>
    <row r="69" spans="1:7">
      <c r="A69" s="102"/>
      <c r="B69" s="102"/>
      <c r="C69" s="102"/>
      <c r="D69" s="102"/>
      <c r="E69" s="102"/>
      <c r="F69" s="102"/>
      <c r="G69" s="102"/>
    </row>
    <row r="70" spans="1:7">
      <c r="A70" s="102"/>
      <c r="B70" s="102"/>
      <c r="C70" s="102"/>
      <c r="D70" s="102"/>
      <c r="E70" s="102"/>
      <c r="F70" s="102"/>
      <c r="G70" s="102"/>
    </row>
    <row r="71" spans="1:7">
      <c r="A71" s="102"/>
      <c r="B71" s="102"/>
      <c r="C71" s="102"/>
      <c r="D71" s="102"/>
      <c r="E71" s="102"/>
      <c r="F71" s="102"/>
      <c r="G71" s="102"/>
    </row>
    <row r="72" spans="1:7">
      <c r="A72" s="102"/>
      <c r="B72" s="102"/>
      <c r="C72" s="102"/>
      <c r="D72" s="102"/>
      <c r="E72" s="102"/>
      <c r="F72" s="102"/>
      <c r="G72" s="102"/>
    </row>
    <row r="73" spans="1:7">
      <c r="A73" s="102"/>
      <c r="B73" s="102"/>
      <c r="C73" s="102"/>
      <c r="D73" s="102"/>
      <c r="E73" s="102"/>
      <c r="F73" s="102"/>
      <c r="G73" s="102"/>
    </row>
    <row r="74" spans="1:7">
      <c r="A74" s="102"/>
      <c r="B74" s="102"/>
      <c r="C74" s="102"/>
      <c r="D74" s="102"/>
      <c r="E74" s="102"/>
      <c r="F74" s="102"/>
      <c r="G74" s="102"/>
    </row>
    <row r="75" spans="1:7">
      <c r="A75" s="102"/>
      <c r="B75" s="102"/>
      <c r="C75" s="102"/>
      <c r="D75" s="102"/>
      <c r="E75" s="102"/>
      <c r="F75" s="102"/>
      <c r="G75" s="102"/>
    </row>
    <row r="76" spans="1:7">
      <c r="A76" s="102"/>
      <c r="B76" s="102"/>
      <c r="C76" s="102"/>
      <c r="D76" s="102"/>
      <c r="E76" s="102"/>
      <c r="F76" s="102"/>
      <c r="G76" s="102"/>
    </row>
    <row r="77" spans="1:7">
      <c r="A77" s="102"/>
      <c r="B77" s="102"/>
      <c r="C77" s="102"/>
      <c r="D77" s="102"/>
      <c r="E77" s="102"/>
      <c r="F77" s="102"/>
      <c r="G77" s="102"/>
    </row>
    <row r="78" spans="1:7">
      <c r="A78" s="101" t="s">
        <v>98</v>
      </c>
      <c r="B78" s="102"/>
      <c r="C78" s="102"/>
      <c r="D78" s="102"/>
      <c r="E78" s="102"/>
      <c r="F78" s="102"/>
      <c r="G78" s="105" t="s">
        <v>98</v>
      </c>
    </row>
    <row r="79" spans="1:7">
      <c r="A79" s="102"/>
      <c r="B79" s="102"/>
      <c r="C79" s="102"/>
      <c r="D79" s="102"/>
      <c r="E79" s="102"/>
      <c r="F79" s="102"/>
      <c r="G79" s="102"/>
    </row>
    <row r="80" spans="1:7">
      <c r="A80" s="102"/>
      <c r="B80" s="102"/>
      <c r="C80" s="102"/>
      <c r="D80" s="102"/>
      <c r="E80" s="102"/>
      <c r="F80" s="102"/>
      <c r="G80" s="102"/>
    </row>
    <row r="81" spans="1:7">
      <c r="A81" s="102"/>
      <c r="B81" s="102"/>
      <c r="C81" s="102"/>
      <c r="D81" s="102"/>
      <c r="E81" s="102"/>
      <c r="F81" s="102"/>
      <c r="G81" s="102"/>
    </row>
    <row r="82" spans="1:7">
      <c r="A82" s="102"/>
      <c r="B82" s="102"/>
      <c r="C82" s="102"/>
      <c r="D82" s="102"/>
      <c r="E82" s="102"/>
      <c r="F82" s="102"/>
      <c r="G82" s="102"/>
    </row>
    <row r="83" spans="1:7">
      <c r="A83" s="102"/>
      <c r="B83" s="102"/>
      <c r="C83" s="102"/>
      <c r="D83" s="102"/>
      <c r="E83" s="102"/>
      <c r="F83" s="102"/>
      <c r="G83" s="102"/>
    </row>
    <row r="84" spans="1:7">
      <c r="A84" s="102"/>
      <c r="B84" s="102"/>
      <c r="C84" s="102"/>
      <c r="D84" s="102"/>
      <c r="E84" s="102"/>
      <c r="F84" s="102"/>
      <c r="G84" s="102"/>
    </row>
    <row r="85" spans="1:7">
      <c r="A85" s="102"/>
      <c r="B85" s="102"/>
      <c r="C85" s="102"/>
      <c r="D85" s="102"/>
      <c r="E85" s="102"/>
      <c r="F85" s="102"/>
      <c r="G85" s="102"/>
    </row>
    <row r="86" spans="1:7">
      <c r="A86" s="102"/>
      <c r="B86" s="102"/>
      <c r="C86" s="102"/>
      <c r="D86" s="102"/>
      <c r="E86" s="102"/>
      <c r="F86" s="102"/>
      <c r="G86" s="102"/>
    </row>
    <row r="87" spans="1:7">
      <c r="A87" s="102"/>
      <c r="B87" s="102"/>
      <c r="C87" s="102"/>
      <c r="D87" s="102"/>
      <c r="E87" s="102"/>
      <c r="F87" s="102"/>
      <c r="G87" s="102"/>
    </row>
    <row r="88" spans="1:7">
      <c r="A88" s="102"/>
      <c r="B88" s="102"/>
      <c r="C88" s="102"/>
      <c r="D88" s="102"/>
      <c r="E88" s="102"/>
      <c r="F88" s="102"/>
      <c r="G88" s="102"/>
    </row>
    <row r="89" spans="1:7">
      <c r="A89" s="102"/>
      <c r="B89" s="102"/>
      <c r="C89" s="102"/>
      <c r="D89" s="102"/>
      <c r="E89" s="102"/>
      <c r="F89" s="102"/>
      <c r="G89" s="102"/>
    </row>
    <row r="90" spans="1:7">
      <c r="A90" s="102"/>
      <c r="B90" s="102"/>
      <c r="C90" s="102"/>
      <c r="D90" s="102"/>
      <c r="E90" s="102"/>
      <c r="F90" s="102"/>
      <c r="G90" s="102"/>
    </row>
    <row r="91" spans="1:7">
      <c r="A91" s="102"/>
      <c r="B91" s="102"/>
      <c r="C91" s="102"/>
      <c r="D91" s="102"/>
      <c r="E91" s="102"/>
      <c r="F91" s="102"/>
      <c r="G91" s="102"/>
    </row>
    <row r="92" spans="1:7">
      <c r="A92" s="102"/>
      <c r="B92" s="102"/>
      <c r="C92" s="102"/>
      <c r="D92" s="102"/>
      <c r="E92" s="102"/>
      <c r="F92" s="102"/>
      <c r="G92" s="102"/>
    </row>
    <row r="93" spans="1:7">
      <c r="A93" s="102"/>
      <c r="B93" s="102"/>
      <c r="C93" s="102"/>
      <c r="D93" s="102"/>
      <c r="E93" s="102"/>
      <c r="F93" s="102"/>
      <c r="G93" s="102"/>
    </row>
    <row r="94" spans="1:7">
      <c r="A94" s="101" t="s">
        <v>99</v>
      </c>
      <c r="B94" s="102"/>
      <c r="C94" s="102"/>
      <c r="D94" s="103" t="s">
        <v>98</v>
      </c>
      <c r="E94" s="102"/>
      <c r="F94" s="102"/>
      <c r="G94" s="105" t="s">
        <v>70</v>
      </c>
    </row>
  </sheetData>
  <mergeCells count="2">
    <mergeCell ref="A23:B23"/>
    <mergeCell ref="A52:F52"/>
  </mergeCells>
  <phoneticPr fontId="19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H69"/>
  <sheetViews>
    <sheetView topLeftCell="A55" workbookViewId="0">
      <selection activeCell="B56" sqref="B56:C56"/>
    </sheetView>
  </sheetViews>
  <sheetFormatPr defaultRowHeight="12.75"/>
  <cols>
    <col min="1" max="1" width="30.42578125" customWidth="1"/>
    <col min="6" max="7" width="30.42578125" bestFit="1" customWidth="1"/>
  </cols>
  <sheetData>
    <row r="1" spans="1:8" ht="27.75">
      <c r="A1" s="59" t="s">
        <v>96</v>
      </c>
      <c r="B1" s="60"/>
      <c r="C1" s="60"/>
      <c r="D1" s="60"/>
      <c r="E1" s="60"/>
      <c r="F1" s="60"/>
      <c r="G1" s="61"/>
      <c r="H1" s="61"/>
    </row>
    <row r="3" spans="1:8" ht="15.75">
      <c r="A3" s="70" t="s">
        <v>95</v>
      </c>
      <c r="B3" s="16"/>
      <c r="C3" s="16"/>
      <c r="D3" s="16"/>
      <c r="E3" s="16"/>
      <c r="F3" s="16"/>
      <c r="G3" s="16"/>
      <c r="H3" s="17"/>
    </row>
    <row r="4" spans="1:8" ht="89.25" customHeight="1">
      <c r="A4" s="463" t="s">
        <v>78</v>
      </c>
      <c r="B4" s="463"/>
      <c r="C4" s="463"/>
      <c r="D4" s="463"/>
      <c r="E4" s="463"/>
      <c r="F4" s="463"/>
      <c r="G4" s="21"/>
      <c r="H4" s="22"/>
    </row>
    <row r="5" spans="1:8">
      <c r="A5" s="71"/>
      <c r="B5" s="25"/>
      <c r="C5" s="25"/>
      <c r="D5" s="25"/>
      <c r="E5" s="25"/>
      <c r="F5" s="25"/>
      <c r="G5" s="25"/>
      <c r="H5" s="25"/>
    </row>
    <row r="7" spans="1:8">
      <c r="A7" s="106" t="s">
        <v>69</v>
      </c>
      <c r="B7" s="102">
        <v>2</v>
      </c>
      <c r="C7" s="102">
        <v>3</v>
      </c>
      <c r="D7" s="102">
        <v>4</v>
      </c>
      <c r="E7" s="102">
        <v>5</v>
      </c>
      <c r="F7" s="102">
        <v>6</v>
      </c>
    </row>
    <row r="8" spans="1:8">
      <c r="A8" s="102">
        <v>1</v>
      </c>
      <c r="B8" s="102">
        <v>2</v>
      </c>
      <c r="C8" s="102">
        <v>3</v>
      </c>
      <c r="D8" s="102">
        <v>4</v>
      </c>
      <c r="E8" s="102">
        <v>5</v>
      </c>
      <c r="F8" s="102">
        <v>6</v>
      </c>
    </row>
    <row r="9" spans="1:8">
      <c r="A9" s="102">
        <v>1</v>
      </c>
      <c r="B9" s="102">
        <v>2</v>
      </c>
      <c r="C9" s="102">
        <v>3</v>
      </c>
      <c r="D9" s="102">
        <v>4</v>
      </c>
      <c r="E9" s="102">
        <v>5</v>
      </c>
      <c r="F9" s="102">
        <v>6</v>
      </c>
    </row>
    <row r="10" spans="1:8">
      <c r="A10" s="102">
        <v>1</v>
      </c>
      <c r="B10" s="102">
        <v>2</v>
      </c>
      <c r="C10" s="102">
        <v>3</v>
      </c>
      <c r="D10" s="102">
        <v>4</v>
      </c>
      <c r="E10" s="102">
        <v>5</v>
      </c>
      <c r="F10" s="101" t="s">
        <v>70</v>
      </c>
    </row>
    <row r="13" spans="1:8">
      <c r="A13" s="72" t="s">
        <v>71</v>
      </c>
    </row>
    <row r="20" spans="1:8" ht="15.75">
      <c r="A20" s="70" t="s">
        <v>118</v>
      </c>
      <c r="B20" s="16"/>
      <c r="C20" s="16"/>
      <c r="D20" s="16"/>
      <c r="E20" s="16"/>
      <c r="F20" s="16"/>
      <c r="G20" s="16"/>
      <c r="H20" s="17"/>
    </row>
    <row r="21" spans="1:8" ht="102" customHeight="1">
      <c r="A21" s="463" t="s">
        <v>525</v>
      </c>
      <c r="B21" s="463"/>
      <c r="C21" s="463"/>
      <c r="D21" s="463"/>
      <c r="E21" s="463"/>
      <c r="F21" s="463"/>
      <c r="G21" s="21"/>
      <c r="H21" s="22"/>
    </row>
    <row r="23" spans="1:8">
      <c r="B23" s="102">
        <v>1</v>
      </c>
      <c r="C23" s="102">
        <v>2</v>
      </c>
      <c r="D23" s="102">
        <v>3</v>
      </c>
      <c r="E23" s="102">
        <v>4</v>
      </c>
    </row>
    <row r="24" spans="1:8">
      <c r="B24" s="102">
        <v>5</v>
      </c>
      <c r="C24" s="102">
        <v>6</v>
      </c>
      <c r="D24" s="102">
        <v>7</v>
      </c>
      <c r="E24" s="102">
        <v>8</v>
      </c>
    </row>
    <row r="25" spans="1:8">
      <c r="B25" s="102">
        <v>9</v>
      </c>
      <c r="C25" s="102">
        <v>10</v>
      </c>
      <c r="D25" s="102">
        <v>11</v>
      </c>
      <c r="E25" s="102">
        <v>12</v>
      </c>
    </row>
    <row r="27" spans="1:8">
      <c r="B27" s="77" t="s">
        <v>71</v>
      </c>
    </row>
    <row r="34" spans="1:8" ht="15.75">
      <c r="A34" s="70" t="s">
        <v>119</v>
      </c>
      <c r="B34" s="16"/>
      <c r="C34" s="16"/>
      <c r="D34" s="16"/>
      <c r="E34" s="16"/>
      <c r="F34" s="16"/>
      <c r="G34" s="16"/>
      <c r="H34" s="17"/>
    </row>
    <row r="35" spans="1:8" ht="117" customHeight="1">
      <c r="A35" s="463" t="s">
        <v>510</v>
      </c>
      <c r="B35" s="463"/>
      <c r="C35" s="463"/>
      <c r="D35" s="463"/>
      <c r="E35" s="463"/>
      <c r="F35" s="463"/>
      <c r="G35" s="21"/>
      <c r="H35" s="22"/>
    </row>
    <row r="37" spans="1:8">
      <c r="B37" s="89">
        <v>1</v>
      </c>
      <c r="C37" s="90">
        <v>2</v>
      </c>
      <c r="D37" s="91">
        <v>3</v>
      </c>
      <c r="E37" s="92">
        <v>4</v>
      </c>
    </row>
    <row r="38" spans="1:8">
      <c r="B38" s="93">
        <v>5</v>
      </c>
      <c r="C38" s="94">
        <v>6</v>
      </c>
      <c r="D38" s="95">
        <v>7</v>
      </c>
      <c r="E38" s="96">
        <v>8</v>
      </c>
    </row>
    <row r="39" spans="1:8">
      <c r="B39" s="97">
        <v>9</v>
      </c>
      <c r="C39" s="98">
        <v>10</v>
      </c>
      <c r="D39" s="88">
        <v>11</v>
      </c>
      <c r="E39" s="39">
        <v>12</v>
      </c>
    </row>
    <row r="41" spans="1:8">
      <c r="B41" s="77" t="s">
        <v>71</v>
      </c>
    </row>
    <row r="48" spans="1:8" ht="15.75">
      <c r="A48" s="70" t="s">
        <v>94</v>
      </c>
      <c r="B48" s="16"/>
      <c r="C48" s="16"/>
      <c r="D48" s="16"/>
      <c r="E48" s="16"/>
      <c r="F48" s="16"/>
      <c r="G48" s="16"/>
      <c r="H48" s="17"/>
    </row>
    <row r="49" spans="1:8" ht="75.75" customHeight="1">
      <c r="A49" s="463" t="s">
        <v>110</v>
      </c>
      <c r="B49" s="463"/>
      <c r="C49" s="463"/>
      <c r="D49" s="463"/>
      <c r="E49" s="463"/>
      <c r="F49" s="463"/>
      <c r="G49" s="21"/>
      <c r="H49" s="22"/>
    </row>
    <row r="52" spans="1:8" s="99" customFormat="1">
      <c r="B52" s="99">
        <v>1</v>
      </c>
      <c r="C52" s="99">
        <v>2</v>
      </c>
    </row>
    <row r="53" spans="1:8" s="99" customFormat="1">
      <c r="B53" s="100">
        <v>0.375</v>
      </c>
      <c r="C53" s="100">
        <v>0.41666666666666669</v>
      </c>
      <c r="D53" s="100"/>
      <c r="E53" s="100"/>
      <c r="F53" s="100"/>
    </row>
    <row r="54" spans="1:8" s="99" customFormat="1">
      <c r="B54" s="99" t="s">
        <v>89</v>
      </c>
      <c r="C54" s="99" t="s">
        <v>90</v>
      </c>
    </row>
    <row r="55" spans="1:8" s="99" customFormat="1">
      <c r="B55" s="99" t="s">
        <v>91</v>
      </c>
      <c r="C55" s="99" t="s">
        <v>92</v>
      </c>
    </row>
    <row r="56" spans="1:8" s="99" customFormat="1">
      <c r="B56" s="99" t="s">
        <v>91</v>
      </c>
      <c r="C56" s="99" t="s">
        <v>93</v>
      </c>
    </row>
    <row r="57" spans="1:8" s="99" customFormat="1">
      <c r="B57" s="99">
        <v>1999</v>
      </c>
      <c r="C57" s="99">
        <v>2000</v>
      </c>
    </row>
    <row r="61" spans="1:8" ht="15.75">
      <c r="A61" s="70" t="s">
        <v>128</v>
      </c>
      <c r="B61" s="16"/>
      <c r="C61" s="16"/>
      <c r="D61" s="16"/>
      <c r="E61" s="16"/>
      <c r="F61" s="16"/>
      <c r="G61" s="16"/>
      <c r="H61" s="17"/>
    </row>
    <row r="62" spans="1:8" ht="75.75" customHeight="1">
      <c r="A62" s="463" t="s">
        <v>127</v>
      </c>
      <c r="B62" s="463"/>
      <c r="C62" s="463"/>
      <c r="D62" s="463"/>
      <c r="E62" s="463"/>
      <c r="F62" s="463"/>
      <c r="G62" s="21"/>
      <c r="H62" s="22"/>
    </row>
    <row r="65" spans="2:4">
      <c r="B65" s="116">
        <v>1</v>
      </c>
      <c r="C65" s="90">
        <v>2</v>
      </c>
      <c r="D65" s="91">
        <v>3</v>
      </c>
    </row>
    <row r="66" spans="2:4">
      <c r="B66" s="93" t="s">
        <v>120</v>
      </c>
      <c r="C66" s="94" t="s">
        <v>121</v>
      </c>
      <c r="D66" s="95" t="s">
        <v>122</v>
      </c>
    </row>
    <row r="67" spans="2:4">
      <c r="B67" s="97" t="s">
        <v>123</v>
      </c>
      <c r="C67" s="98" t="s">
        <v>124</v>
      </c>
      <c r="D67" s="88" t="s">
        <v>125</v>
      </c>
    </row>
    <row r="69" spans="2:4">
      <c r="B69" s="116" t="s">
        <v>126</v>
      </c>
    </row>
  </sheetData>
  <mergeCells count="5">
    <mergeCell ref="A62:F62"/>
    <mergeCell ref="A4:F4"/>
    <mergeCell ref="A21:F21"/>
    <mergeCell ref="A35:F35"/>
    <mergeCell ref="A49:F49"/>
  </mergeCells>
  <phoneticPr fontId="19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I112"/>
  <sheetViews>
    <sheetView showGridLines="0" topLeftCell="A91" workbookViewId="0">
      <selection activeCell="D49" sqref="D49"/>
    </sheetView>
  </sheetViews>
  <sheetFormatPr defaultRowHeight="12.75"/>
  <cols>
    <col min="2" max="2" width="19.5703125" customWidth="1"/>
    <col min="3" max="3" width="15.42578125" bestFit="1" customWidth="1"/>
    <col min="4" max="4" width="15.28515625" customWidth="1"/>
    <col min="5" max="5" width="12.140625" bestFit="1" customWidth="1"/>
    <col min="6" max="7" width="14.42578125" bestFit="1" customWidth="1"/>
    <col min="8" max="8" width="13.42578125" bestFit="1" customWidth="1"/>
    <col min="9" max="13" width="12.28515625" customWidth="1"/>
  </cols>
  <sheetData>
    <row r="1" spans="1:8" ht="27.75">
      <c r="A1" s="59" t="s">
        <v>144</v>
      </c>
      <c r="B1" s="60"/>
      <c r="C1" s="60"/>
      <c r="D1" s="60"/>
      <c r="E1" s="60"/>
      <c r="F1" s="60"/>
      <c r="G1" s="87"/>
      <c r="H1" s="61"/>
    </row>
    <row r="4" spans="1:8" ht="15.75">
      <c r="A4" s="70" t="s">
        <v>145</v>
      </c>
      <c r="B4" s="16"/>
      <c r="C4" s="16"/>
      <c r="D4" s="16"/>
      <c r="E4" s="16"/>
      <c r="F4" s="16"/>
      <c r="G4" s="16"/>
      <c r="H4" s="17"/>
    </row>
    <row r="5" spans="1:8" ht="119.25" customHeight="1">
      <c r="A5" s="464" t="s">
        <v>147</v>
      </c>
      <c r="B5" s="463"/>
      <c r="C5" s="463"/>
      <c r="D5" s="463"/>
      <c r="E5" s="463"/>
      <c r="F5" s="463"/>
      <c r="G5" s="463"/>
      <c r="H5" s="22"/>
    </row>
    <row r="8" spans="1:8" s="117" customFormat="1" ht="39">
      <c r="B8" s="130" t="s">
        <v>135</v>
      </c>
      <c r="C8" s="119" t="s">
        <v>137</v>
      </c>
      <c r="D8" s="119" t="s">
        <v>138</v>
      </c>
      <c r="E8" s="119" t="s">
        <v>141</v>
      </c>
      <c r="F8" s="120" t="s">
        <v>139</v>
      </c>
      <c r="G8" s="120" t="s">
        <v>140</v>
      </c>
      <c r="H8" s="119" t="s">
        <v>136</v>
      </c>
    </row>
    <row r="9" spans="1:8">
      <c r="B9" s="121">
        <v>1234567.8899999999</v>
      </c>
      <c r="C9" s="122">
        <f t="shared" ref="C9:E11" si="0">B9</f>
        <v>1234567.8899999999</v>
      </c>
      <c r="D9" s="123">
        <f t="shared" si="0"/>
        <v>1234567.8899999999</v>
      </c>
      <c r="E9" s="124">
        <f t="shared" si="0"/>
        <v>1234567.8899999999</v>
      </c>
      <c r="F9" s="125">
        <f t="shared" ref="F9:H12" si="1">E9</f>
        <v>1234567.8899999999</v>
      </c>
      <c r="G9" s="126">
        <f t="shared" si="1"/>
        <v>1234567.8899999999</v>
      </c>
      <c r="H9" s="127">
        <f t="shared" si="1"/>
        <v>1234567.8899999999</v>
      </c>
    </row>
    <row r="10" spans="1:8">
      <c r="B10" s="128">
        <v>12345</v>
      </c>
      <c r="C10" s="122">
        <f t="shared" si="0"/>
        <v>12345</v>
      </c>
      <c r="D10" s="123">
        <f t="shared" si="0"/>
        <v>12345</v>
      </c>
      <c r="E10" s="124">
        <f t="shared" si="0"/>
        <v>12345</v>
      </c>
      <c r="F10" s="125">
        <f t="shared" si="1"/>
        <v>12345</v>
      </c>
      <c r="G10" s="126">
        <f t="shared" si="1"/>
        <v>12345</v>
      </c>
      <c r="H10" s="127">
        <f t="shared" si="1"/>
        <v>12345</v>
      </c>
    </row>
    <row r="11" spans="1:8">
      <c r="B11" s="128">
        <v>-1234567.8</v>
      </c>
      <c r="C11" s="122">
        <f t="shared" si="0"/>
        <v>-1234567.8</v>
      </c>
      <c r="D11" s="129">
        <f t="shared" si="0"/>
        <v>-1234567.8</v>
      </c>
      <c r="E11" s="124">
        <f t="shared" si="0"/>
        <v>-1234567.8</v>
      </c>
      <c r="F11" s="125">
        <f t="shared" si="1"/>
        <v>-1234567.8</v>
      </c>
      <c r="G11" s="126">
        <f t="shared" si="1"/>
        <v>-1234567.8</v>
      </c>
      <c r="H11" s="127">
        <f t="shared" si="1"/>
        <v>-1234567.8</v>
      </c>
    </row>
    <row r="12" spans="1:8">
      <c r="B12" s="128">
        <v>-1234.5678</v>
      </c>
      <c r="C12" s="122">
        <f>B12</f>
        <v>-1234.5678</v>
      </c>
      <c r="D12" s="123">
        <f>C12</f>
        <v>-1234.5678</v>
      </c>
      <c r="E12" s="124">
        <f>D12</f>
        <v>-1234.5678</v>
      </c>
      <c r="F12" s="125">
        <f t="shared" si="1"/>
        <v>-1234.5678</v>
      </c>
      <c r="G12" s="126">
        <f t="shared" si="1"/>
        <v>-1234.5678</v>
      </c>
      <c r="H12" s="127">
        <f t="shared" si="1"/>
        <v>-1234.5678</v>
      </c>
    </row>
    <row r="16" spans="1:8" ht="18">
      <c r="B16" s="136" t="s">
        <v>143</v>
      </c>
    </row>
    <row r="17" spans="1:8" ht="18">
      <c r="B17" s="136" t="s">
        <v>142</v>
      </c>
    </row>
    <row r="18" spans="1:8" ht="18">
      <c r="B18" s="136"/>
    </row>
    <row r="19" spans="1:8" ht="39">
      <c r="B19" s="130" t="s">
        <v>146</v>
      </c>
      <c r="C19" s="133" t="s">
        <v>137</v>
      </c>
      <c r="D19" s="133" t="s">
        <v>138</v>
      </c>
      <c r="E19" s="133" t="s">
        <v>141</v>
      </c>
      <c r="F19" s="134" t="s">
        <v>139</v>
      </c>
      <c r="G19" s="134" t="s">
        <v>140</v>
      </c>
      <c r="H19" s="133" t="s">
        <v>136</v>
      </c>
    </row>
    <row r="20" spans="1:8">
      <c r="B20" s="131">
        <v>1234567.8899999999</v>
      </c>
      <c r="C20" s="135">
        <v>1234567.8899999999</v>
      </c>
      <c r="D20" s="135">
        <v>1234567.8899999999</v>
      </c>
      <c r="E20" s="135">
        <v>1234567.8899999999</v>
      </c>
      <c r="F20" s="135">
        <v>1234567.8899999999</v>
      </c>
      <c r="G20" s="135">
        <v>1234567.8899999999</v>
      </c>
      <c r="H20" s="135">
        <v>1234567.8899999999</v>
      </c>
    </row>
    <row r="21" spans="1:8">
      <c r="B21" s="132">
        <v>12345</v>
      </c>
      <c r="C21" s="135">
        <v>12345</v>
      </c>
      <c r="D21" s="135">
        <v>12345</v>
      </c>
      <c r="E21" s="135">
        <v>12345</v>
      </c>
      <c r="F21" s="135">
        <v>12345</v>
      </c>
      <c r="G21" s="135">
        <v>12345</v>
      </c>
      <c r="H21" s="135">
        <v>12345</v>
      </c>
    </row>
    <row r="22" spans="1:8">
      <c r="B22" s="132">
        <v>-1234567.8</v>
      </c>
      <c r="C22" s="135">
        <v>-1234567.8</v>
      </c>
      <c r="D22" s="135">
        <v>-1234567.8</v>
      </c>
      <c r="E22" s="135">
        <v>-1234567.8</v>
      </c>
      <c r="F22" s="135">
        <v>-1234567.8</v>
      </c>
      <c r="G22" s="135">
        <v>-1234567.8</v>
      </c>
      <c r="H22" s="135">
        <v>-1234567.8</v>
      </c>
    </row>
    <row r="23" spans="1:8">
      <c r="B23" s="132">
        <v>-1234.5678</v>
      </c>
      <c r="C23" s="135">
        <v>-1234.5678</v>
      </c>
      <c r="D23" s="135">
        <v>-1234.5678</v>
      </c>
      <c r="E23" s="135">
        <v>-1234.5678</v>
      </c>
      <c r="F23" s="135">
        <v>-1234.5678</v>
      </c>
      <c r="G23" s="135">
        <v>-1234.5678</v>
      </c>
      <c r="H23" s="135">
        <v>-1234.5678</v>
      </c>
    </row>
    <row r="28" spans="1:8" ht="15.75">
      <c r="A28" s="70" t="s">
        <v>148</v>
      </c>
      <c r="B28" s="16"/>
      <c r="C28" s="16"/>
      <c r="D28" s="16"/>
      <c r="E28" s="16"/>
      <c r="F28" s="16"/>
      <c r="G28" s="16"/>
      <c r="H28" s="17"/>
    </row>
    <row r="29" spans="1:8" ht="192.75" customHeight="1">
      <c r="A29" s="464" t="s">
        <v>163</v>
      </c>
      <c r="B29" s="463"/>
      <c r="C29" s="463"/>
      <c r="D29" s="463"/>
      <c r="E29" s="463"/>
      <c r="F29" s="463"/>
      <c r="G29" s="463"/>
      <c r="H29" s="22"/>
    </row>
    <row r="30" spans="1:8" ht="15">
      <c r="A30" s="4"/>
    </row>
    <row r="31" spans="1:8" s="99" customFormat="1" ht="31.5">
      <c r="A31" s="137"/>
      <c r="B31" s="142" t="s">
        <v>161</v>
      </c>
      <c r="C31" s="141" t="s">
        <v>149</v>
      </c>
      <c r="D31" s="141" t="s">
        <v>150</v>
      </c>
      <c r="E31" s="141" t="s">
        <v>151</v>
      </c>
      <c r="F31" s="118" t="s">
        <v>155</v>
      </c>
      <c r="G31" s="143"/>
    </row>
    <row r="32" spans="1:8" ht="15">
      <c r="A32" s="4"/>
      <c r="B32" s="144" t="s">
        <v>152</v>
      </c>
      <c r="C32" s="138">
        <f ca="1">TODAY()</f>
        <v>40592</v>
      </c>
      <c r="D32" s="138">
        <f ca="1">TODAY()</f>
        <v>40592</v>
      </c>
      <c r="E32" s="139">
        <f ca="1">TODAY()</f>
        <v>40592</v>
      </c>
      <c r="F32" s="140">
        <f ca="1">TODAY()</f>
        <v>40592</v>
      </c>
    </row>
    <row r="33" spans="2:8">
      <c r="B33" s="144" t="s">
        <v>153</v>
      </c>
      <c r="C33" s="138">
        <f ca="1">TODAY()+1</f>
        <v>40593</v>
      </c>
      <c r="D33" s="138">
        <f ca="1">TODAY()+1</f>
        <v>40593</v>
      </c>
      <c r="E33" s="139">
        <f ca="1">TODAY()+1</f>
        <v>40593</v>
      </c>
      <c r="F33" s="140">
        <f ca="1">TODAY()+1</f>
        <v>40593</v>
      </c>
    </row>
    <row r="34" spans="2:8">
      <c r="B34" s="144" t="s">
        <v>154</v>
      </c>
      <c r="C34" s="138">
        <f ca="1">TODAY()+2</f>
        <v>40594</v>
      </c>
      <c r="D34" s="138">
        <f ca="1">TODAY()+2</f>
        <v>40594</v>
      </c>
      <c r="E34" s="139">
        <f ca="1">TODAY()+2</f>
        <v>40594</v>
      </c>
      <c r="F34" s="140">
        <f ca="1">TODAY()+2</f>
        <v>40594</v>
      </c>
    </row>
    <row r="35" spans="2:8">
      <c r="B35" s="147">
        <v>1</v>
      </c>
      <c r="C35" s="138">
        <v>1</v>
      </c>
      <c r="D35" s="138">
        <v>1</v>
      </c>
      <c r="E35" s="139">
        <v>1</v>
      </c>
      <c r="F35" s="140">
        <v>1</v>
      </c>
    </row>
    <row r="36" spans="2:8">
      <c r="B36" s="99"/>
    </row>
    <row r="37" spans="2:8" ht="15">
      <c r="B37" s="145" t="s">
        <v>162</v>
      </c>
    </row>
    <row r="41" spans="2:8" ht="31.5">
      <c r="B41" s="142" t="s">
        <v>160</v>
      </c>
      <c r="C41" s="141" t="s">
        <v>157</v>
      </c>
      <c r="D41" s="465" t="s">
        <v>158</v>
      </c>
      <c r="E41" s="465"/>
      <c r="F41" s="467" t="s">
        <v>159</v>
      </c>
      <c r="G41" s="467"/>
      <c r="H41" s="118" t="s">
        <v>155</v>
      </c>
    </row>
    <row r="42" spans="2:8">
      <c r="B42" s="144" t="s">
        <v>156</v>
      </c>
      <c r="C42" s="148">
        <f ca="1">NOW()</f>
        <v>40592.454677546295</v>
      </c>
      <c r="D42" s="466">
        <f ca="1">NOW()</f>
        <v>40592.454677546295</v>
      </c>
      <c r="E42" s="466"/>
      <c r="F42" s="468">
        <f ca="1">NOW()</f>
        <v>40592.454677546295</v>
      </c>
      <c r="G42" s="468"/>
      <c r="H42" s="140">
        <f ca="1">NOW()</f>
        <v>40592.454677546295</v>
      </c>
    </row>
    <row r="43" spans="2:8">
      <c r="B43" s="146">
        <v>1</v>
      </c>
      <c r="C43" s="148">
        <v>1</v>
      </c>
      <c r="D43" s="466">
        <v>1</v>
      </c>
      <c r="E43" s="466"/>
      <c r="F43" s="468">
        <v>1</v>
      </c>
      <c r="G43" s="468"/>
      <c r="H43" s="140">
        <v>1</v>
      </c>
    </row>
    <row r="44" spans="2:8">
      <c r="B44" s="146">
        <v>1.25</v>
      </c>
      <c r="C44" s="148">
        <v>1.25</v>
      </c>
      <c r="D44" s="466">
        <v>1.25</v>
      </c>
      <c r="E44" s="466"/>
      <c r="F44" s="468">
        <v>1.25</v>
      </c>
      <c r="G44" s="468"/>
      <c r="H44" s="140">
        <v>1.25</v>
      </c>
    </row>
    <row r="45" spans="2:8">
      <c r="B45" s="146">
        <v>1.25</v>
      </c>
      <c r="C45" s="148">
        <v>1.5</v>
      </c>
      <c r="D45" s="466">
        <v>1.5</v>
      </c>
      <c r="E45" s="466"/>
      <c r="F45" s="468">
        <v>1.5</v>
      </c>
      <c r="G45" s="468"/>
      <c r="H45" s="140">
        <v>1.5</v>
      </c>
    </row>
    <row r="46" spans="2:8" ht="15">
      <c r="B46" s="145"/>
    </row>
    <row r="47" spans="2:8" ht="18">
      <c r="B47" s="149" t="s">
        <v>164</v>
      </c>
    </row>
    <row r="51" spans="1:9" ht="15.75">
      <c r="A51" s="70" t="s">
        <v>165</v>
      </c>
      <c r="B51" s="16"/>
      <c r="C51" s="16"/>
      <c r="D51" s="16"/>
      <c r="E51" s="16"/>
      <c r="F51" s="16"/>
      <c r="G51" s="16"/>
      <c r="H51" s="17"/>
    </row>
    <row r="52" spans="1:9" ht="15.75">
      <c r="A52" s="68"/>
      <c r="B52" s="18"/>
      <c r="C52" s="18"/>
      <c r="D52" s="18"/>
      <c r="E52" s="18"/>
      <c r="F52" s="18"/>
      <c r="G52" s="18"/>
      <c r="H52" s="19"/>
    </row>
    <row r="53" spans="1:9" ht="15.75">
      <c r="A53" s="150" t="s">
        <v>187</v>
      </c>
      <c r="B53" s="18"/>
      <c r="C53" s="18"/>
      <c r="D53" s="18"/>
      <c r="E53" s="18"/>
      <c r="F53" s="18"/>
      <c r="G53" s="18"/>
      <c r="H53" s="19"/>
    </row>
    <row r="54" spans="1:9" ht="15.75">
      <c r="A54" s="150"/>
      <c r="B54" s="18"/>
      <c r="C54" s="18"/>
      <c r="D54" s="18"/>
      <c r="E54" s="18"/>
      <c r="F54" s="18"/>
      <c r="G54" s="18"/>
      <c r="H54" s="19"/>
    </row>
    <row r="55" spans="1:9" ht="15.75">
      <c r="A55" s="150" t="s">
        <v>186</v>
      </c>
      <c r="B55" s="18"/>
      <c r="C55" s="18"/>
      <c r="D55" s="18"/>
      <c r="E55" s="18"/>
      <c r="F55" s="18"/>
      <c r="G55" s="18"/>
      <c r="H55" s="19"/>
    </row>
    <row r="56" spans="1:9" ht="15.75">
      <c r="A56" s="150"/>
      <c r="B56" s="18"/>
      <c r="C56" s="18"/>
      <c r="D56" s="18"/>
      <c r="E56" s="18"/>
      <c r="F56" s="18"/>
      <c r="G56" s="18"/>
      <c r="H56" s="19"/>
    </row>
    <row r="57" spans="1:9" ht="15.75">
      <c r="A57" s="150"/>
      <c r="B57" s="18"/>
      <c r="C57" s="18"/>
      <c r="D57" s="18"/>
      <c r="E57" s="18"/>
      <c r="F57" s="18"/>
      <c r="G57" s="18"/>
      <c r="H57" s="19"/>
    </row>
    <row r="58" spans="1:9" ht="15.75">
      <c r="A58" s="150" t="s">
        <v>172</v>
      </c>
      <c r="B58" s="18"/>
      <c r="C58" s="18"/>
      <c r="D58" s="18"/>
      <c r="E58" s="18"/>
      <c r="F58" s="18"/>
      <c r="G58" s="18"/>
      <c r="H58" s="19"/>
    </row>
    <row r="59" spans="1:9" ht="15.75">
      <c r="A59" s="150"/>
      <c r="B59" s="152" t="s">
        <v>166</v>
      </c>
      <c r="C59" s="152"/>
      <c r="D59" s="152"/>
      <c r="E59" s="152"/>
      <c r="F59" s="152"/>
      <c r="G59" s="152"/>
      <c r="H59" s="153"/>
      <c r="I59" s="154"/>
    </row>
    <row r="60" spans="1:9" ht="15.75">
      <c r="A60" s="150"/>
      <c r="B60" s="152" t="s">
        <v>167</v>
      </c>
      <c r="C60" s="152" t="s">
        <v>89</v>
      </c>
      <c r="D60" s="152" t="s">
        <v>90</v>
      </c>
      <c r="E60" s="152" t="s">
        <v>168</v>
      </c>
      <c r="F60" s="152" t="s">
        <v>169</v>
      </c>
      <c r="G60" s="152" t="s">
        <v>170</v>
      </c>
      <c r="H60" s="153" t="s">
        <v>171</v>
      </c>
      <c r="I60" s="154"/>
    </row>
    <row r="61" spans="1:9" ht="15.75">
      <c r="A61" s="181"/>
      <c r="B61" s="182"/>
      <c r="C61" s="182"/>
      <c r="D61" s="182"/>
      <c r="E61" s="182"/>
      <c r="F61" s="182"/>
      <c r="G61" s="182"/>
      <c r="H61" s="183"/>
      <c r="I61" s="1"/>
    </row>
    <row r="62" spans="1:9" ht="15.75">
      <c r="A62" s="184"/>
      <c r="B62" s="185"/>
      <c r="C62" s="185"/>
      <c r="D62" s="185"/>
      <c r="E62" s="185"/>
      <c r="F62" s="185"/>
      <c r="G62" s="185"/>
      <c r="H62" s="185"/>
      <c r="I62" s="1"/>
    </row>
    <row r="63" spans="1:9" ht="15.75">
      <c r="A63" s="184"/>
      <c r="B63" s="185"/>
      <c r="C63" s="185"/>
      <c r="D63" s="185"/>
      <c r="E63" s="185"/>
      <c r="F63" s="185"/>
      <c r="G63" s="185"/>
      <c r="H63" s="185"/>
      <c r="I63" s="1"/>
    </row>
    <row r="64" spans="1:9" ht="15.75">
      <c r="A64" s="186"/>
      <c r="B64" s="187"/>
      <c r="C64" s="187"/>
      <c r="D64" s="187"/>
      <c r="E64" s="187"/>
      <c r="F64" s="187"/>
      <c r="G64" s="187"/>
      <c r="H64" s="187"/>
      <c r="I64" s="1"/>
    </row>
    <row r="65" spans="1:9" ht="15.75">
      <c r="A65" s="68" t="s">
        <v>191</v>
      </c>
      <c r="B65" s="163"/>
      <c r="C65" s="163"/>
      <c r="D65" s="163"/>
      <c r="E65" s="163"/>
      <c r="F65" s="163"/>
      <c r="G65" s="163"/>
      <c r="H65" s="180"/>
      <c r="I65" s="1"/>
    </row>
    <row r="66" spans="1:9" ht="15.75">
      <c r="A66" s="150"/>
      <c r="B66" s="163"/>
      <c r="C66" s="163"/>
      <c r="D66" s="163"/>
      <c r="E66" s="163"/>
      <c r="F66" s="163"/>
      <c r="G66" s="163"/>
      <c r="H66" s="180"/>
      <c r="I66" s="1"/>
    </row>
    <row r="67" spans="1:9" ht="15.75">
      <c r="A67" s="150" t="s">
        <v>187</v>
      </c>
      <c r="B67" s="163"/>
      <c r="C67" s="163"/>
      <c r="D67" s="163"/>
      <c r="E67" s="163"/>
      <c r="F67" s="163"/>
      <c r="G67" s="163"/>
      <c r="H67" s="180"/>
      <c r="I67" s="1"/>
    </row>
    <row r="68" spans="1:9" ht="15.75">
      <c r="A68" s="150"/>
      <c r="B68" s="151"/>
      <c r="C68" s="151"/>
      <c r="D68" s="151"/>
      <c r="E68" s="18"/>
      <c r="F68" s="18"/>
      <c r="G68" s="18"/>
      <c r="H68" s="19"/>
    </row>
    <row r="69" spans="1:9" ht="15.75">
      <c r="A69" s="150" t="s">
        <v>189</v>
      </c>
      <c r="B69" s="18"/>
      <c r="C69" s="18"/>
      <c r="D69" s="18"/>
      <c r="E69" s="18"/>
      <c r="F69" s="18"/>
      <c r="G69" s="18"/>
      <c r="H69" s="19"/>
    </row>
    <row r="70" spans="1:9" ht="15.75">
      <c r="A70" s="150"/>
      <c r="B70" s="164"/>
      <c r="C70" s="164"/>
      <c r="D70" s="164"/>
      <c r="E70" s="18"/>
      <c r="F70" s="18"/>
      <c r="G70" s="18"/>
      <c r="H70" s="19"/>
    </row>
    <row r="71" spans="1:9" ht="15.75">
      <c r="A71" s="150"/>
      <c r="B71" s="164"/>
      <c r="C71" s="164"/>
      <c r="D71" s="164"/>
      <c r="E71" s="18"/>
      <c r="F71" s="18"/>
      <c r="G71" s="18"/>
      <c r="H71" s="19"/>
    </row>
    <row r="72" spans="1:9" ht="15.75">
      <c r="A72" s="150" t="s">
        <v>188</v>
      </c>
      <c r="B72" s="18"/>
      <c r="C72" s="18"/>
      <c r="D72" s="18"/>
      <c r="E72" s="18"/>
      <c r="F72" s="18"/>
      <c r="G72" s="18"/>
      <c r="H72" s="19"/>
    </row>
    <row r="73" spans="1:9" ht="15.75">
      <c r="A73" s="150"/>
      <c r="B73" s="165"/>
      <c r="C73" s="166"/>
      <c r="D73" s="167"/>
      <c r="E73" s="18"/>
      <c r="F73" s="18"/>
      <c r="G73" s="18"/>
      <c r="H73" s="19"/>
    </row>
    <row r="74" spans="1:9" ht="15.75">
      <c r="A74" s="150"/>
      <c r="B74" s="168"/>
      <c r="C74" s="169"/>
      <c r="D74" s="170"/>
      <c r="E74" s="18"/>
      <c r="F74" s="18"/>
      <c r="G74" s="18"/>
      <c r="H74" s="19"/>
    </row>
    <row r="75" spans="1:9" ht="15.75">
      <c r="A75" s="150"/>
      <c r="B75" s="18"/>
      <c r="C75" s="18"/>
      <c r="D75" s="18"/>
      <c r="E75" s="18"/>
      <c r="F75" s="18"/>
      <c r="G75" s="18"/>
      <c r="H75" s="19"/>
    </row>
    <row r="76" spans="1:9" ht="15.75">
      <c r="A76" s="150"/>
      <c r="B76" s="18"/>
      <c r="C76" s="18"/>
      <c r="D76" s="18"/>
      <c r="E76" s="18"/>
      <c r="F76" s="18"/>
      <c r="G76" s="18"/>
      <c r="H76" s="19"/>
    </row>
    <row r="77" spans="1:9" ht="15.75">
      <c r="A77" s="150" t="s">
        <v>190</v>
      </c>
      <c r="B77" s="18"/>
      <c r="C77" s="18"/>
      <c r="D77" s="18"/>
      <c r="E77" s="18"/>
      <c r="F77" s="18"/>
      <c r="G77" s="18"/>
      <c r="H77" s="19"/>
    </row>
    <row r="78" spans="1:9" ht="15.75">
      <c r="A78" s="150"/>
      <c r="B78" s="27"/>
      <c r="C78" s="27"/>
      <c r="D78" s="27"/>
      <c r="E78" s="18"/>
      <c r="F78" s="18"/>
      <c r="G78" s="18"/>
      <c r="H78" s="19"/>
    </row>
    <row r="79" spans="1:9" ht="15.75">
      <c r="A79" s="150"/>
      <c r="B79" s="27"/>
      <c r="C79" s="27"/>
      <c r="D79" s="27"/>
      <c r="E79" s="18"/>
      <c r="F79" s="18"/>
      <c r="G79" s="18"/>
      <c r="H79" s="19"/>
    </row>
    <row r="80" spans="1:9" ht="15.75">
      <c r="A80" s="150"/>
      <c r="B80" s="27"/>
      <c r="C80" s="27"/>
      <c r="D80" s="27"/>
      <c r="E80" s="18"/>
      <c r="F80" s="18"/>
      <c r="G80" s="18"/>
      <c r="H80" s="19"/>
    </row>
    <row r="81" spans="1:8" ht="15.75">
      <c r="A81" s="150" t="s">
        <v>188</v>
      </c>
      <c r="B81" s="18"/>
      <c r="C81" s="18"/>
      <c r="D81" s="18"/>
      <c r="E81" s="18"/>
      <c r="F81" s="18"/>
      <c r="G81" s="18"/>
      <c r="H81" s="19"/>
    </row>
    <row r="82" spans="1:8" ht="16.5" thickBot="1">
      <c r="A82" s="150"/>
      <c r="B82" s="177"/>
      <c r="C82" s="174"/>
      <c r="D82" s="173"/>
      <c r="E82" s="18"/>
      <c r="F82" s="18"/>
      <c r="G82" s="18"/>
      <c r="H82" s="19"/>
    </row>
    <row r="83" spans="1:8" ht="16.5" thickTop="1">
      <c r="A83" s="150"/>
      <c r="B83" s="178"/>
      <c r="C83" s="175"/>
      <c r="D83" s="172"/>
      <c r="E83" s="18"/>
      <c r="F83" s="18"/>
      <c r="G83" s="18"/>
      <c r="H83" s="19"/>
    </row>
    <row r="84" spans="1:8" ht="15.75">
      <c r="A84" s="150"/>
      <c r="B84" s="179"/>
      <c r="C84" s="176"/>
      <c r="D84" s="171"/>
      <c r="E84" s="18"/>
      <c r="F84" s="18"/>
      <c r="G84" s="18"/>
      <c r="H84" s="19"/>
    </row>
    <row r="85" spans="1:8" ht="15">
      <c r="A85" s="463"/>
      <c r="B85" s="463"/>
      <c r="C85" s="463"/>
      <c r="D85" s="463"/>
      <c r="E85" s="463"/>
      <c r="F85" s="463"/>
      <c r="G85" s="463"/>
      <c r="H85" s="22"/>
    </row>
    <row r="89" spans="1:8" ht="15.75">
      <c r="A89" s="70" t="s">
        <v>246</v>
      </c>
      <c r="B89" s="16"/>
      <c r="C89" s="16"/>
      <c r="D89" s="16"/>
      <c r="E89" s="16"/>
      <c r="F89" s="16"/>
      <c r="G89" s="16"/>
      <c r="H89" s="17"/>
    </row>
    <row r="90" spans="1:8" ht="15.75">
      <c r="A90" s="68"/>
      <c r="B90" s="18"/>
      <c r="C90" s="18"/>
      <c r="D90" s="18"/>
      <c r="E90" s="18"/>
      <c r="F90" s="18"/>
      <c r="G90" s="18"/>
      <c r="H90" s="19"/>
    </row>
    <row r="91" spans="1:8" ht="15">
      <c r="A91" s="84" t="s">
        <v>247</v>
      </c>
      <c r="B91" s="18"/>
      <c r="C91" s="18"/>
      <c r="D91" s="18"/>
      <c r="E91" s="18"/>
      <c r="F91" s="18"/>
      <c r="G91" s="18"/>
      <c r="H91" s="19"/>
    </row>
    <row r="92" spans="1:8" ht="15.75">
      <c r="A92" s="150"/>
      <c r="B92" s="18"/>
      <c r="C92" s="18"/>
      <c r="D92" s="18"/>
      <c r="E92" s="18"/>
      <c r="F92" s="18"/>
      <c r="G92" s="18"/>
      <c r="H92" s="19"/>
    </row>
    <row r="93" spans="1:8" ht="15">
      <c r="A93" s="84" t="s">
        <v>254</v>
      </c>
      <c r="B93" s="18"/>
      <c r="C93" s="18"/>
      <c r="D93" s="18"/>
      <c r="E93" s="164" t="s">
        <v>250</v>
      </c>
      <c r="F93" s="164" t="s">
        <v>253</v>
      </c>
      <c r="G93" s="164" t="s">
        <v>251</v>
      </c>
      <c r="H93" s="19"/>
    </row>
    <row r="94" spans="1:8" ht="15.75">
      <c r="A94" s="84" t="s">
        <v>511</v>
      </c>
      <c r="B94" s="18"/>
      <c r="C94" s="18"/>
      <c r="D94" s="18"/>
      <c r="E94" s="164" t="s">
        <v>251</v>
      </c>
      <c r="F94" s="164" t="s">
        <v>252</v>
      </c>
      <c r="G94" s="164" t="s">
        <v>250</v>
      </c>
      <c r="H94" s="19"/>
    </row>
    <row r="95" spans="1:8" ht="15">
      <c r="A95" s="84" t="s">
        <v>256</v>
      </c>
      <c r="B95" s="18"/>
      <c r="C95" s="18"/>
      <c r="D95" s="18"/>
      <c r="E95" s="164"/>
      <c r="F95" s="164" t="s">
        <v>250</v>
      </c>
      <c r="G95" s="164" t="s">
        <v>252</v>
      </c>
      <c r="H95" s="19"/>
    </row>
    <row r="96" spans="1:8" ht="15">
      <c r="A96" s="84"/>
      <c r="B96" s="18"/>
      <c r="C96" s="18"/>
      <c r="D96" s="18"/>
      <c r="E96" s="18"/>
      <c r="F96" s="18"/>
      <c r="G96" s="18"/>
      <c r="H96" s="19"/>
    </row>
    <row r="97" spans="1:9" ht="15">
      <c r="A97" s="84"/>
      <c r="B97" s="18"/>
      <c r="C97" s="18"/>
      <c r="D97" s="18"/>
      <c r="E97" s="18"/>
      <c r="F97" s="18"/>
      <c r="G97" s="18"/>
      <c r="H97" s="19"/>
    </row>
    <row r="98" spans="1:9" ht="15">
      <c r="A98" s="84" t="s">
        <v>255</v>
      </c>
      <c r="B98" s="18"/>
      <c r="C98" s="18"/>
      <c r="D98" s="18"/>
      <c r="E98" s="18"/>
      <c r="F98" s="18"/>
      <c r="G98" s="18"/>
      <c r="H98" s="19"/>
    </row>
    <row r="99" spans="1:9" ht="15">
      <c r="A99" s="84"/>
      <c r="B99" s="18"/>
      <c r="C99" s="18"/>
      <c r="D99" s="18"/>
      <c r="E99" s="18"/>
      <c r="F99" s="18"/>
      <c r="G99" s="18"/>
      <c r="H99" s="19"/>
    </row>
    <row r="100" spans="1:9" ht="15">
      <c r="A100" s="84" t="s">
        <v>257</v>
      </c>
      <c r="B100" s="18"/>
      <c r="C100" s="18"/>
      <c r="D100" s="18"/>
      <c r="E100" s="18"/>
      <c r="F100" s="18"/>
      <c r="G100" s="18"/>
      <c r="H100" s="19"/>
    </row>
    <row r="101" spans="1:9" ht="15">
      <c r="A101" s="84" t="s">
        <v>258</v>
      </c>
      <c r="B101" s="18"/>
      <c r="C101" s="18"/>
      <c r="D101" s="18"/>
      <c r="E101" s="18"/>
      <c r="F101" s="18"/>
      <c r="G101" s="18"/>
      <c r="H101" s="19"/>
    </row>
    <row r="102" spans="1:9" ht="15">
      <c r="A102" s="84"/>
      <c r="B102" s="18"/>
      <c r="C102" s="18"/>
      <c r="D102" s="18"/>
      <c r="E102" s="18"/>
      <c r="F102" s="18"/>
      <c r="G102" s="18"/>
      <c r="H102" s="19"/>
    </row>
    <row r="103" spans="1:9" ht="15">
      <c r="A103" s="84"/>
      <c r="B103" s="18"/>
      <c r="C103" s="18"/>
      <c r="D103" s="18"/>
      <c r="E103" s="18"/>
      <c r="F103" s="18"/>
      <c r="G103" s="18"/>
      <c r="H103" s="19"/>
    </row>
    <row r="104" spans="1:9" ht="15.75">
      <c r="A104" s="150" t="s">
        <v>248</v>
      </c>
      <c r="B104" s="18"/>
      <c r="C104" s="18"/>
      <c r="D104" s="18"/>
      <c r="E104" s="18"/>
      <c r="F104" s="18"/>
      <c r="G104" s="18"/>
      <c r="H104" s="19"/>
    </row>
    <row r="105" spans="1:9" ht="15.75">
      <c r="A105" s="150" t="s">
        <v>249</v>
      </c>
      <c r="B105" s="18"/>
      <c r="C105" s="18"/>
      <c r="D105" s="18"/>
      <c r="E105" s="18"/>
      <c r="F105" s="18"/>
      <c r="G105" s="18"/>
      <c r="H105" s="19"/>
    </row>
    <row r="106" spans="1:9" ht="15">
      <c r="A106" s="84"/>
      <c r="B106" s="18"/>
      <c r="C106" s="18"/>
      <c r="D106" s="18"/>
      <c r="E106" s="18"/>
      <c r="F106" s="18"/>
      <c r="G106" s="18"/>
      <c r="H106" s="19"/>
    </row>
    <row r="107" spans="1:9" ht="39">
      <c r="A107" s="84"/>
      <c r="B107" s="130" t="s">
        <v>146</v>
      </c>
      <c r="C107" s="133" t="s">
        <v>137</v>
      </c>
      <c r="D107" s="133" t="s">
        <v>138</v>
      </c>
      <c r="E107" s="133" t="s">
        <v>141</v>
      </c>
      <c r="F107" s="134" t="s">
        <v>139</v>
      </c>
      <c r="G107" s="134" t="s">
        <v>140</v>
      </c>
      <c r="H107" s="211" t="s">
        <v>136</v>
      </c>
      <c r="I107" s="154"/>
    </row>
    <row r="108" spans="1:9" ht="15">
      <c r="A108" s="84"/>
      <c r="B108" s="131">
        <v>1234567.8899999999</v>
      </c>
      <c r="C108" s="135">
        <v>1234567.8899999999</v>
      </c>
      <c r="D108" s="135">
        <v>1234567.8899999999</v>
      </c>
      <c r="E108" s="135">
        <v>1234567.8899999999</v>
      </c>
      <c r="F108" s="135">
        <v>1234567.8899999999</v>
      </c>
      <c r="G108" s="135">
        <v>1234567.8899999999</v>
      </c>
      <c r="H108" s="212">
        <v>1234567.8899999999</v>
      </c>
      <c r="I108" s="154"/>
    </row>
    <row r="109" spans="1:9" ht="15">
      <c r="A109" s="84"/>
      <c r="B109" s="131">
        <v>12345</v>
      </c>
      <c r="C109" s="135">
        <v>12345</v>
      </c>
      <c r="D109" s="135">
        <v>12345</v>
      </c>
      <c r="E109" s="135">
        <v>12345</v>
      </c>
      <c r="F109" s="135">
        <v>12345</v>
      </c>
      <c r="G109" s="135">
        <v>12345</v>
      </c>
      <c r="H109" s="212">
        <v>12345</v>
      </c>
      <c r="I109" s="154"/>
    </row>
    <row r="110" spans="1:9" ht="15.75">
      <c r="A110" s="150"/>
      <c r="B110" s="131">
        <v>-1234567.8</v>
      </c>
      <c r="C110" s="135">
        <v>-1234567.8</v>
      </c>
      <c r="D110" s="135">
        <v>-1234567.8</v>
      </c>
      <c r="E110" s="135">
        <v>-1234567.8</v>
      </c>
      <c r="F110" s="135">
        <v>-1234567.8</v>
      </c>
      <c r="G110" s="135">
        <v>-1234567.8</v>
      </c>
      <c r="H110" s="212">
        <v>-1234567.8</v>
      </c>
      <c r="I110" s="154"/>
    </row>
    <row r="111" spans="1:9" ht="15.75">
      <c r="A111" s="150"/>
      <c r="B111" s="131">
        <v>-1234.5678</v>
      </c>
      <c r="C111" s="135">
        <v>-1234.5678</v>
      </c>
      <c r="D111" s="135">
        <v>-1234.5678</v>
      </c>
      <c r="E111" s="135">
        <v>-1234.5678</v>
      </c>
      <c r="F111" s="135">
        <v>-1234.5678</v>
      </c>
      <c r="G111" s="135">
        <v>-1234.5678</v>
      </c>
      <c r="H111" s="212">
        <v>-1234.5678</v>
      </c>
      <c r="I111" s="154"/>
    </row>
    <row r="112" spans="1:9" ht="15.75">
      <c r="A112" s="181"/>
      <c r="B112" s="182"/>
      <c r="C112" s="182"/>
      <c r="D112" s="182"/>
      <c r="E112" s="182"/>
      <c r="F112" s="182"/>
      <c r="G112" s="182"/>
      <c r="H112" s="210"/>
    </row>
  </sheetData>
  <mergeCells count="13">
    <mergeCell ref="D45:E45"/>
    <mergeCell ref="F45:G45"/>
    <mergeCell ref="A85:G85"/>
    <mergeCell ref="D43:E43"/>
    <mergeCell ref="F43:G43"/>
    <mergeCell ref="D44:E44"/>
    <mergeCell ref="F44:G44"/>
    <mergeCell ref="A5:G5"/>
    <mergeCell ref="A29:G29"/>
    <mergeCell ref="D41:E41"/>
    <mergeCell ref="D42:E42"/>
    <mergeCell ref="F41:G41"/>
    <mergeCell ref="F42:G42"/>
  </mergeCells>
  <phoneticPr fontId="20" type="noConversion"/>
  <conditionalFormatting sqref="E93:G97">
    <cfRule type="cellIs" dxfId="3" priority="1" stopIfTrue="1" operator="equal">
      <formula>"red"</formula>
    </cfRule>
    <cfRule type="cellIs" dxfId="2" priority="2" stopIfTrue="1" operator="equal">
      <formula>"green"</formula>
    </cfRule>
    <cfRule type="cellIs" dxfId="1" priority="3" stopIfTrue="1" operator="equal">
      <formula>"blue"</formula>
    </cfRule>
  </conditionalFormatting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K94"/>
  <sheetViews>
    <sheetView showGridLines="0" topLeftCell="A70" workbookViewId="0">
      <selection activeCell="C86" sqref="C86"/>
    </sheetView>
  </sheetViews>
  <sheetFormatPr defaultRowHeight="12.75"/>
  <cols>
    <col min="1" max="1" width="44.7109375" customWidth="1"/>
    <col min="2" max="2" width="11.42578125" bestFit="1" customWidth="1"/>
    <col min="3" max="3" width="11.7109375" customWidth="1"/>
    <col min="11" max="11" width="8.5703125" customWidth="1"/>
  </cols>
  <sheetData>
    <row r="1" spans="1:11" ht="27.75">
      <c r="A1" s="59" t="s">
        <v>192</v>
      </c>
      <c r="B1" s="60"/>
      <c r="C1" s="60"/>
      <c r="D1" s="60"/>
      <c r="E1" s="60"/>
      <c r="F1" s="60"/>
      <c r="G1" s="87"/>
      <c r="H1" s="60"/>
      <c r="I1" s="87"/>
    </row>
    <row r="3" spans="1:11" ht="15">
      <c r="A3" s="191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ht="15.75">
      <c r="A4" s="188" t="s">
        <v>196</v>
      </c>
      <c r="B4" s="113"/>
      <c r="C4" s="113"/>
      <c r="D4" s="113"/>
      <c r="E4" s="113"/>
      <c r="F4" s="113"/>
      <c r="G4" s="113"/>
      <c r="H4" s="113"/>
      <c r="I4" s="113"/>
      <c r="J4" s="113"/>
      <c r="K4" s="192"/>
    </row>
    <row r="5" spans="1:11" ht="15" customHeight="1">
      <c r="A5" s="23" t="s">
        <v>194</v>
      </c>
      <c r="B5" s="18"/>
      <c r="C5" s="189">
        <v>123</v>
      </c>
      <c r="D5" s="189">
        <v>456</v>
      </c>
      <c r="E5" s="128"/>
      <c r="F5" s="18"/>
      <c r="G5" s="18"/>
      <c r="H5" s="18"/>
      <c r="I5" s="18"/>
      <c r="J5" s="18"/>
      <c r="K5" s="19"/>
    </row>
    <row r="6" spans="1:11" ht="17.25" customHeight="1">
      <c r="A6" s="23" t="s">
        <v>195</v>
      </c>
      <c r="B6" s="18"/>
      <c r="C6" s="18"/>
      <c r="D6" s="18"/>
      <c r="E6" s="18"/>
      <c r="F6" s="18"/>
      <c r="G6" s="18"/>
      <c r="H6" s="18"/>
      <c r="I6" s="18"/>
      <c r="J6" s="18"/>
      <c r="K6" s="19"/>
    </row>
    <row r="7" spans="1:11" ht="17.25" customHeight="1">
      <c r="A7" s="23" t="s">
        <v>197</v>
      </c>
      <c r="B7" s="18"/>
      <c r="C7" s="18"/>
      <c r="D7" s="18"/>
      <c r="E7" s="18"/>
      <c r="F7" s="18"/>
      <c r="G7" s="18"/>
      <c r="H7" s="18"/>
      <c r="I7" s="18"/>
      <c r="J7" s="18"/>
      <c r="K7" s="19"/>
    </row>
    <row r="8" spans="1:11" ht="33.75" customHeight="1">
      <c r="A8" s="23"/>
      <c r="B8" s="18"/>
      <c r="C8" s="18"/>
      <c r="D8" s="18"/>
      <c r="E8" s="18"/>
      <c r="F8" s="18"/>
      <c r="G8" s="18"/>
      <c r="H8" s="18"/>
      <c r="I8" s="18"/>
      <c r="J8" s="18"/>
      <c r="K8" s="19"/>
    </row>
    <row r="9" spans="1:11" ht="17.25" customHeight="1">
      <c r="A9" s="23" t="s">
        <v>198</v>
      </c>
      <c r="B9" s="18"/>
      <c r="C9" s="189">
        <v>1</v>
      </c>
      <c r="D9" s="189">
        <v>2</v>
      </c>
      <c r="E9" s="189">
        <v>3</v>
      </c>
      <c r="F9" s="189">
        <v>4</v>
      </c>
      <c r="G9" s="128"/>
      <c r="H9" s="18"/>
      <c r="I9" s="18"/>
      <c r="J9" s="18"/>
      <c r="K9" s="19"/>
    </row>
    <row r="10" spans="1:11" ht="17.25" customHeight="1">
      <c r="A10" s="23" t="s">
        <v>199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ht="15">
      <c r="A11" s="23" t="s">
        <v>245</v>
      </c>
      <c r="B11" s="18"/>
      <c r="C11" s="18"/>
      <c r="D11" s="18"/>
      <c r="E11" s="18"/>
      <c r="F11" s="18"/>
      <c r="G11" s="18"/>
      <c r="H11" s="18"/>
      <c r="I11" s="18"/>
      <c r="J11" s="18"/>
      <c r="K11" s="19"/>
    </row>
    <row r="12" spans="1:11" ht="33" customHeight="1">
      <c r="A12" s="23"/>
      <c r="B12" s="18"/>
      <c r="C12" s="18"/>
      <c r="D12" s="18"/>
      <c r="E12" s="18"/>
      <c r="F12" s="18"/>
      <c r="G12" s="18"/>
      <c r="H12" s="18"/>
      <c r="I12" s="18"/>
      <c r="J12" s="18"/>
      <c r="K12" s="19"/>
    </row>
    <row r="13" spans="1:11" ht="17.25" customHeight="1">
      <c r="A13" s="23" t="s">
        <v>200</v>
      </c>
      <c r="B13" s="18"/>
      <c r="C13" s="189">
        <v>1</v>
      </c>
      <c r="D13" s="190">
        <v>2</v>
      </c>
      <c r="E13" s="128">
        <f>C13+D13</f>
        <v>3</v>
      </c>
      <c r="F13" s="18"/>
      <c r="G13" s="26"/>
      <c r="H13" s="18"/>
      <c r="I13" s="18"/>
      <c r="J13" s="18"/>
      <c r="K13" s="19"/>
    </row>
    <row r="14" spans="1:11" ht="17.25" customHeight="1">
      <c r="A14" s="23" t="s">
        <v>201</v>
      </c>
      <c r="B14" s="18"/>
      <c r="C14" s="189">
        <v>3</v>
      </c>
      <c r="D14" s="189">
        <v>4</v>
      </c>
      <c r="E14" s="128"/>
      <c r="F14" s="18"/>
      <c r="G14" s="26"/>
      <c r="H14" s="18"/>
      <c r="I14" s="18"/>
      <c r="J14" s="18"/>
      <c r="K14" s="19"/>
    </row>
    <row r="15" spans="1:11" ht="17.25" customHeight="1">
      <c r="A15" s="23" t="s">
        <v>202</v>
      </c>
      <c r="B15" s="18"/>
      <c r="C15" s="189">
        <v>5</v>
      </c>
      <c r="D15" s="189">
        <v>6</v>
      </c>
      <c r="E15" s="128"/>
      <c r="F15" s="18"/>
      <c r="G15" s="26"/>
      <c r="H15" s="18"/>
      <c r="I15" s="18"/>
      <c r="J15" s="18"/>
      <c r="K15" s="19"/>
    </row>
    <row r="16" spans="1:11" ht="17.25" customHeight="1">
      <c r="A16" s="23" t="s">
        <v>203</v>
      </c>
      <c r="B16" s="18"/>
      <c r="C16" s="189">
        <v>7</v>
      </c>
      <c r="D16" s="189">
        <v>8</v>
      </c>
      <c r="E16" s="128"/>
      <c r="F16" s="18"/>
      <c r="G16" s="26"/>
      <c r="H16" s="18"/>
      <c r="I16" s="18"/>
      <c r="J16" s="18"/>
      <c r="K16" s="19"/>
    </row>
    <row r="17" spans="1:11" ht="17.25" customHeight="1">
      <c r="A17" s="23" t="s">
        <v>204</v>
      </c>
      <c r="B17" s="18"/>
      <c r="C17" s="18"/>
      <c r="D17" s="18"/>
      <c r="E17" s="128"/>
      <c r="F17" s="18"/>
      <c r="G17" s="26"/>
      <c r="H17" s="18"/>
      <c r="I17" s="18"/>
      <c r="J17" s="18"/>
      <c r="K17" s="19"/>
    </row>
    <row r="18" spans="1:11" ht="17.25" customHeight="1">
      <c r="A18" s="23"/>
      <c r="B18" s="18"/>
      <c r="C18" s="18"/>
      <c r="D18" s="18"/>
      <c r="E18" s="18"/>
      <c r="F18" s="18"/>
      <c r="G18" s="26"/>
      <c r="H18" s="18"/>
      <c r="I18" s="18"/>
      <c r="J18" s="18"/>
      <c r="K18" s="19"/>
    </row>
    <row r="19" spans="1:11" ht="17.25" customHeight="1">
      <c r="A19" s="23" t="s">
        <v>205</v>
      </c>
      <c r="B19" s="18"/>
      <c r="C19" s="18"/>
      <c r="D19" s="18"/>
      <c r="E19" s="18"/>
      <c r="F19" s="18"/>
      <c r="G19" s="26"/>
      <c r="H19" s="18"/>
      <c r="I19" s="18"/>
      <c r="J19" s="18"/>
      <c r="K19" s="19"/>
    </row>
    <row r="20" spans="1:11" ht="15">
      <c r="A20" s="193"/>
      <c r="B20" s="21"/>
      <c r="C20" s="21"/>
      <c r="D20" s="21"/>
      <c r="E20" s="21"/>
      <c r="F20" s="21"/>
      <c r="G20" s="21"/>
      <c r="H20" s="21"/>
      <c r="I20" s="21"/>
      <c r="J20" s="21"/>
      <c r="K20" s="22"/>
    </row>
    <row r="21" spans="1:11" ht="15">
      <c r="A21" s="7"/>
    </row>
    <row r="23" spans="1:11" ht="15.75">
      <c r="A23" s="70" t="s">
        <v>210</v>
      </c>
      <c r="B23" s="16"/>
      <c r="C23" s="16"/>
      <c r="D23" s="16"/>
      <c r="E23" s="16"/>
      <c r="F23" s="16"/>
      <c r="G23" s="16"/>
      <c r="H23" s="16"/>
      <c r="I23" s="16"/>
      <c r="J23" s="16"/>
      <c r="K23" s="17"/>
    </row>
    <row r="24" spans="1:11" ht="15">
      <c r="A24" s="196" t="s">
        <v>211</v>
      </c>
      <c r="B24" s="18"/>
      <c r="C24" s="18"/>
      <c r="D24" s="18"/>
      <c r="E24" s="18"/>
      <c r="F24" s="18"/>
      <c r="G24" s="18"/>
      <c r="H24" s="18"/>
      <c r="I24" s="18"/>
      <c r="J24" s="18"/>
      <c r="K24" s="19"/>
    </row>
    <row r="25" spans="1:11" ht="15">
      <c r="A25" s="197" t="s">
        <v>206</v>
      </c>
      <c r="B25" s="18"/>
      <c r="C25" s="18"/>
      <c r="D25" s="18"/>
      <c r="E25" s="18"/>
      <c r="F25" s="18"/>
      <c r="G25" s="18"/>
      <c r="H25" s="18"/>
      <c r="I25" s="18"/>
      <c r="J25" s="18"/>
      <c r="K25" s="19"/>
    </row>
    <row r="26" spans="1:11" ht="15">
      <c r="A26" s="23" t="s">
        <v>212</v>
      </c>
      <c r="B26" s="18"/>
      <c r="C26" s="18"/>
      <c r="D26" s="18"/>
      <c r="E26" s="18"/>
      <c r="F26" s="18"/>
      <c r="G26" s="18"/>
      <c r="H26" s="18"/>
      <c r="I26" s="18"/>
      <c r="J26" s="18"/>
      <c r="K26" s="19"/>
    </row>
    <row r="27" spans="1:11" ht="15">
      <c r="A27" s="23"/>
      <c r="B27" s="18"/>
      <c r="C27" s="18"/>
      <c r="D27" s="18"/>
      <c r="E27" s="18"/>
      <c r="F27" s="18"/>
      <c r="G27" s="18"/>
      <c r="H27" s="18"/>
      <c r="I27" s="18"/>
      <c r="J27" s="18"/>
      <c r="K27" s="19"/>
    </row>
    <row r="28" spans="1:11" ht="15">
      <c r="A28" s="113" t="s">
        <v>216</v>
      </c>
      <c r="B28" s="18"/>
      <c r="C28" s="18"/>
      <c r="D28" s="18"/>
      <c r="E28" s="18"/>
      <c r="F28" s="18"/>
      <c r="G28" s="18"/>
      <c r="H28" s="18"/>
      <c r="I28" s="18"/>
      <c r="J28" s="18"/>
      <c r="K28" s="19"/>
    </row>
    <row r="29" spans="1:11" ht="15">
      <c r="A29" s="113"/>
      <c r="B29" s="18"/>
      <c r="C29" s="18"/>
      <c r="D29" s="18"/>
      <c r="E29" s="18"/>
      <c r="F29" s="18"/>
      <c r="G29" s="18"/>
      <c r="H29" s="18"/>
      <c r="I29" s="18"/>
      <c r="J29" s="18"/>
      <c r="K29" s="19"/>
    </row>
    <row r="30" spans="1:11" ht="15">
      <c r="A30" s="113" t="s">
        <v>213</v>
      </c>
      <c r="B30" s="18"/>
      <c r="C30" s="18"/>
      <c r="D30" s="18"/>
      <c r="E30" s="18"/>
      <c r="F30" s="18"/>
      <c r="G30" s="18"/>
      <c r="H30" s="18"/>
      <c r="I30" s="18"/>
      <c r="J30" s="18"/>
      <c r="K30" s="19"/>
    </row>
    <row r="31" spans="1:11" ht="15">
      <c r="A31" s="113" t="s">
        <v>217</v>
      </c>
      <c r="B31" s="18"/>
      <c r="C31" s="18"/>
      <c r="D31" s="18"/>
      <c r="E31" s="18"/>
      <c r="F31" s="18"/>
      <c r="G31" s="18"/>
      <c r="H31" s="18"/>
      <c r="I31" s="18"/>
      <c r="J31" s="18"/>
      <c r="K31" s="19"/>
    </row>
    <row r="32" spans="1:11" ht="15">
      <c r="A32" s="113" t="s">
        <v>218</v>
      </c>
      <c r="B32" s="18"/>
      <c r="C32" s="18"/>
      <c r="D32" s="18"/>
      <c r="E32" s="18"/>
      <c r="F32" s="18"/>
      <c r="G32" s="18"/>
      <c r="H32" s="18"/>
      <c r="I32" s="18"/>
      <c r="J32" s="18"/>
      <c r="K32" s="19"/>
    </row>
    <row r="33" spans="1:11" ht="15">
      <c r="A33" s="113" t="s">
        <v>219</v>
      </c>
      <c r="B33" s="18"/>
      <c r="C33" s="18"/>
      <c r="D33" s="18"/>
      <c r="E33" s="18"/>
      <c r="F33" s="18"/>
      <c r="G33" s="18"/>
      <c r="H33" s="18"/>
      <c r="I33" s="18"/>
      <c r="J33" s="18"/>
      <c r="K33" s="19"/>
    </row>
    <row r="34" spans="1:11" ht="15">
      <c r="A34" s="113" t="s">
        <v>215</v>
      </c>
      <c r="B34" s="18"/>
      <c r="C34" s="18"/>
      <c r="D34" s="18"/>
      <c r="E34" s="18"/>
      <c r="F34" s="18"/>
      <c r="G34" s="18"/>
      <c r="H34" s="18"/>
      <c r="I34" s="18"/>
      <c r="J34" s="18"/>
      <c r="K34" s="19"/>
    </row>
    <row r="35" spans="1:11" ht="15">
      <c r="A35" s="114" t="s">
        <v>214</v>
      </c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6" spans="1:11" s="11" customFormat="1" ht="15">
      <c r="A36" s="194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s="11" customFormat="1" ht="15">
      <c r="A37" s="194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s="11" customFormat="1" ht="15.75">
      <c r="A38" s="184" t="s">
        <v>259</v>
      </c>
      <c r="B38" s="25"/>
      <c r="C38" s="25"/>
      <c r="D38" s="25"/>
      <c r="E38" s="25"/>
      <c r="F38" s="25"/>
      <c r="G38" s="25"/>
      <c r="H38" s="213"/>
      <c r="I38" s="25"/>
      <c r="J38" s="25"/>
      <c r="K38" s="25"/>
    </row>
    <row r="39" spans="1:11" s="11" customFormat="1" ht="15.75">
      <c r="A39" s="184" t="s">
        <v>260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s="11" customFormat="1" ht="15.75">
      <c r="A40" s="184" t="s">
        <v>262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s="11" customFormat="1" ht="15">
      <c r="A41" s="73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s="11" customFormat="1" ht="15.75">
      <c r="A42" s="73"/>
      <c r="B42" s="214"/>
      <c r="C42" s="119" t="s">
        <v>261</v>
      </c>
      <c r="D42" s="119"/>
      <c r="E42" s="119"/>
      <c r="F42" s="120"/>
      <c r="G42" s="120"/>
      <c r="H42" s="119"/>
      <c r="I42" s="25"/>
      <c r="J42" s="25"/>
      <c r="K42" s="25"/>
    </row>
    <row r="43" spans="1:11" s="11" customFormat="1" ht="15">
      <c r="A43" s="73"/>
      <c r="B43" s="189"/>
      <c r="C43" s="189">
        <v>-1</v>
      </c>
      <c r="D43" s="189"/>
      <c r="E43" s="189"/>
      <c r="F43" s="189"/>
      <c r="G43" s="189"/>
      <c r="H43" s="189"/>
      <c r="I43" s="25"/>
      <c r="J43" s="25"/>
      <c r="K43" s="25"/>
    </row>
    <row r="44" spans="1:11" s="11" customFormat="1" ht="15">
      <c r="A44" s="73"/>
      <c r="B44" s="189"/>
      <c r="C44" s="189">
        <v>1</v>
      </c>
      <c r="D44" s="189"/>
      <c r="E44" s="189"/>
      <c r="F44" s="189"/>
      <c r="G44" s="189"/>
      <c r="H44" s="189"/>
      <c r="I44" s="25"/>
      <c r="J44" s="25"/>
      <c r="K44" s="25"/>
    </row>
    <row r="45" spans="1:11" s="11" customFormat="1" ht="15.75">
      <c r="A45" s="184"/>
      <c r="B45" s="189"/>
      <c r="C45" s="189">
        <v>-2</v>
      </c>
      <c r="D45" s="189"/>
      <c r="E45" s="189"/>
      <c r="F45" s="189"/>
      <c r="G45" s="189"/>
      <c r="H45" s="189"/>
      <c r="I45" s="25"/>
      <c r="J45" s="25"/>
      <c r="K45" s="25"/>
    </row>
    <row r="46" spans="1:11" s="11" customFormat="1" ht="15.75">
      <c r="A46" s="184"/>
      <c r="B46" s="189"/>
      <c r="C46" s="189">
        <v>1</v>
      </c>
      <c r="D46" s="189"/>
      <c r="E46" s="189"/>
      <c r="F46" s="189"/>
      <c r="G46" s="189"/>
      <c r="H46" s="189"/>
      <c r="I46" s="25"/>
      <c r="J46" s="25"/>
      <c r="K46" s="25"/>
    </row>
    <row r="47" spans="1:11" s="11" customFormat="1" ht="15">
      <c r="A47" s="194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s="11" customFormat="1" ht="15">
      <c r="A48" s="194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ht="15">
      <c r="A49" s="195"/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1:11" ht="15.75">
      <c r="A50" s="188" t="s">
        <v>209</v>
      </c>
      <c r="B50" s="18"/>
      <c r="C50" s="18"/>
      <c r="D50" s="18"/>
      <c r="E50" s="18"/>
      <c r="F50" s="18"/>
      <c r="G50" s="18"/>
      <c r="H50" s="18"/>
      <c r="I50" s="18"/>
      <c r="J50" s="18"/>
      <c r="K50" s="19"/>
    </row>
    <row r="51" spans="1:11" ht="15">
      <c r="A51" s="23" t="s">
        <v>224</v>
      </c>
      <c r="B51" s="18"/>
      <c r="C51" s="18"/>
      <c r="D51" s="18"/>
      <c r="E51" s="18"/>
      <c r="F51" s="18"/>
      <c r="G51" s="18"/>
      <c r="H51" s="18"/>
      <c r="I51" s="18"/>
      <c r="J51" s="18"/>
      <c r="K51" s="19"/>
    </row>
    <row r="52" spans="1:11" ht="15">
      <c r="A52" s="23" t="s">
        <v>225</v>
      </c>
      <c r="B52" s="18"/>
      <c r="C52" s="18"/>
      <c r="D52" s="18"/>
      <c r="E52" s="18"/>
      <c r="F52" s="18"/>
      <c r="G52" s="18"/>
      <c r="H52" s="18"/>
      <c r="I52" s="18"/>
      <c r="J52" s="18"/>
      <c r="K52" s="19"/>
    </row>
    <row r="53" spans="1:11" ht="15">
      <c r="A53" s="23"/>
      <c r="B53" s="18"/>
      <c r="C53" s="189" t="s">
        <v>220</v>
      </c>
      <c r="D53" s="18"/>
      <c r="E53" s="18"/>
      <c r="F53" s="18"/>
      <c r="G53" s="18"/>
      <c r="H53" s="18"/>
      <c r="I53" s="18"/>
      <c r="J53" s="18"/>
      <c r="K53" s="19"/>
    </row>
    <row r="54" spans="1:11" ht="15">
      <c r="A54" s="23"/>
      <c r="B54" s="18"/>
      <c r="C54" s="189" t="s">
        <v>221</v>
      </c>
      <c r="D54" s="18"/>
      <c r="E54" s="18"/>
      <c r="F54" s="18"/>
      <c r="G54" s="18"/>
      <c r="H54" s="18"/>
      <c r="I54" s="18"/>
      <c r="J54" s="18"/>
      <c r="K54" s="19"/>
    </row>
    <row r="55" spans="1:11" ht="15">
      <c r="A55" s="23"/>
      <c r="B55" s="18"/>
      <c r="C55" s="189" t="s">
        <v>222</v>
      </c>
      <c r="D55" s="18"/>
      <c r="E55" s="18"/>
      <c r="F55" s="18"/>
      <c r="G55" s="18"/>
      <c r="H55" s="18"/>
      <c r="I55" s="18"/>
      <c r="J55" s="18"/>
      <c r="K55" s="19"/>
    </row>
    <row r="56" spans="1:11" ht="15.75">
      <c r="A56" s="23" t="s">
        <v>512</v>
      </c>
      <c r="B56" s="18"/>
      <c r="C56" s="18"/>
      <c r="D56" s="18"/>
      <c r="E56" s="18"/>
      <c r="F56" s="18"/>
      <c r="G56" s="18"/>
      <c r="H56" s="18"/>
      <c r="I56" s="18"/>
      <c r="J56" s="18"/>
      <c r="K56" s="19"/>
    </row>
    <row r="57" spans="1:11" ht="15">
      <c r="A57" s="23" t="s">
        <v>223</v>
      </c>
      <c r="B57" s="18"/>
      <c r="C57" s="18"/>
      <c r="D57" s="18"/>
      <c r="E57" s="18"/>
      <c r="F57" s="18"/>
      <c r="G57" s="18"/>
      <c r="H57" s="18"/>
      <c r="I57" s="18"/>
      <c r="J57" s="18"/>
      <c r="K57" s="19"/>
    </row>
    <row r="58" spans="1:11" ht="15">
      <c r="A58" s="23" t="s">
        <v>234</v>
      </c>
      <c r="B58" s="18"/>
      <c r="C58" s="18"/>
      <c r="D58" s="18"/>
      <c r="E58" s="18"/>
      <c r="F58" s="18"/>
      <c r="G58" s="18"/>
      <c r="H58" s="18"/>
      <c r="I58" s="18"/>
      <c r="J58" s="18"/>
      <c r="K58" s="19"/>
    </row>
    <row r="59" spans="1:11" ht="15">
      <c r="A59" s="23" t="s">
        <v>226</v>
      </c>
      <c r="B59" s="18"/>
      <c r="C59" s="18"/>
      <c r="D59" s="18"/>
      <c r="E59" s="18"/>
      <c r="F59" s="18"/>
      <c r="G59" s="18"/>
      <c r="H59" s="18"/>
      <c r="I59" s="18"/>
      <c r="J59" s="18"/>
      <c r="K59" s="19"/>
    </row>
    <row r="60" spans="1:11" ht="15">
      <c r="A60" s="23"/>
      <c r="B60" s="18"/>
      <c r="C60" s="18"/>
      <c r="D60" s="18"/>
      <c r="E60" s="18"/>
      <c r="F60" s="18"/>
      <c r="G60" s="18"/>
      <c r="H60" s="18"/>
      <c r="I60" s="18"/>
      <c r="J60" s="18"/>
      <c r="K60" s="19"/>
    </row>
    <row r="61" spans="1:11" ht="15">
      <c r="A61" s="113"/>
      <c r="B61" s="18"/>
      <c r="C61" s="18"/>
      <c r="D61" s="18"/>
      <c r="E61" s="18"/>
      <c r="F61" s="18"/>
      <c r="G61" s="18"/>
      <c r="H61" s="18"/>
      <c r="I61" s="18"/>
      <c r="J61" s="18"/>
      <c r="K61" s="19"/>
    </row>
    <row r="62" spans="1:11" ht="18">
      <c r="A62" s="206" t="s">
        <v>236</v>
      </c>
      <c r="B62" s="18"/>
      <c r="C62" s="18"/>
      <c r="D62" s="18"/>
      <c r="E62" s="18"/>
      <c r="F62" s="18"/>
      <c r="G62" s="18"/>
      <c r="H62" s="18"/>
      <c r="I62" s="18"/>
      <c r="J62" s="18"/>
      <c r="K62" s="19"/>
    </row>
    <row r="63" spans="1:11" ht="15">
      <c r="A63" s="113" t="s">
        <v>232</v>
      </c>
      <c r="B63" s="18"/>
      <c r="C63" s="18"/>
      <c r="D63" s="18"/>
      <c r="E63" s="18"/>
      <c r="F63" s="18"/>
      <c r="G63" s="18"/>
      <c r="H63" s="18"/>
      <c r="I63" s="18"/>
      <c r="J63" s="18"/>
      <c r="K63" s="19"/>
    </row>
    <row r="64" spans="1:11" ht="15.75">
      <c r="A64" s="196" t="s">
        <v>513</v>
      </c>
      <c r="B64" s="18"/>
      <c r="C64" s="18"/>
      <c r="D64" s="18"/>
      <c r="E64" s="18"/>
      <c r="F64" s="18"/>
      <c r="G64" s="18"/>
      <c r="H64" s="18"/>
      <c r="I64" s="18"/>
      <c r="J64" s="18"/>
      <c r="K64" s="19"/>
    </row>
    <row r="65" spans="1:11" ht="15">
      <c r="A65" s="113" t="s">
        <v>233</v>
      </c>
      <c r="B65" s="18"/>
      <c r="C65" s="18"/>
      <c r="D65" s="18"/>
      <c r="E65" s="18"/>
      <c r="F65" s="18"/>
      <c r="G65" s="18"/>
      <c r="H65" s="18"/>
      <c r="I65" s="18"/>
      <c r="J65" s="18"/>
      <c r="K65" s="19"/>
    </row>
    <row r="66" spans="1:11" ht="15">
      <c r="A66" s="113" t="s">
        <v>237</v>
      </c>
      <c r="B66" s="18"/>
      <c r="C66" s="18"/>
      <c r="D66" s="18"/>
      <c r="E66" s="18"/>
      <c r="F66" s="18"/>
      <c r="G66" s="18"/>
      <c r="H66" s="18"/>
      <c r="I66" s="18"/>
      <c r="J66" s="18"/>
      <c r="K66" s="19"/>
    </row>
    <row r="67" spans="1:11" ht="15">
      <c r="A67" s="113" t="s">
        <v>235</v>
      </c>
      <c r="B67" s="18"/>
      <c r="C67" s="18"/>
      <c r="D67" s="18"/>
      <c r="E67" s="18"/>
      <c r="F67" s="18"/>
      <c r="G67" s="18"/>
      <c r="H67" s="18"/>
      <c r="I67" s="18"/>
      <c r="J67" s="18"/>
      <c r="K67" s="19"/>
    </row>
    <row r="68" spans="1:11">
      <c r="A68" s="205"/>
      <c r="B68" s="205"/>
      <c r="C68" s="18"/>
      <c r="D68" s="18"/>
      <c r="E68" s="18"/>
      <c r="F68" s="18"/>
      <c r="G68" s="18"/>
      <c r="H68" s="18"/>
      <c r="I68" s="18"/>
      <c r="J68" s="18"/>
      <c r="K68" s="19"/>
    </row>
    <row r="69" spans="1:11">
      <c r="A69" s="155" t="s">
        <v>228</v>
      </c>
      <c r="B69" s="198"/>
      <c r="C69" s="18"/>
      <c r="D69" s="18"/>
      <c r="E69" s="18"/>
      <c r="F69" s="18"/>
      <c r="G69" s="18"/>
      <c r="H69" s="18"/>
      <c r="I69" s="18"/>
      <c r="J69" s="18"/>
      <c r="K69" s="19"/>
    </row>
    <row r="70" spans="1:11">
      <c r="A70" s="199" t="s">
        <v>25</v>
      </c>
      <c r="B70" s="200">
        <f ca="1">TODAY()</f>
        <v>40592</v>
      </c>
      <c r="C70" s="18"/>
      <c r="D70" s="18"/>
      <c r="E70" s="18"/>
      <c r="F70" s="18"/>
      <c r="G70" s="18"/>
      <c r="H70" s="18"/>
      <c r="I70" s="18"/>
      <c r="J70" s="18"/>
      <c r="K70" s="19"/>
    </row>
    <row r="71" spans="1:11">
      <c r="A71" s="199" t="s">
        <v>229</v>
      </c>
      <c r="B71" s="200">
        <f ca="1">DATE(YEAR(B70),MONTH(B70)+1,DAY(B70))</f>
        <v>40620</v>
      </c>
      <c r="C71" s="18"/>
      <c r="D71" s="209"/>
      <c r="E71" s="18"/>
      <c r="F71" s="18"/>
      <c r="G71" s="18"/>
      <c r="H71" s="18"/>
      <c r="I71" s="18"/>
      <c r="J71" s="18"/>
      <c r="K71" s="19"/>
    </row>
    <row r="72" spans="1:11">
      <c r="A72" s="199" t="s">
        <v>230</v>
      </c>
      <c r="B72" s="201">
        <v>365</v>
      </c>
      <c r="C72" s="18"/>
      <c r="D72" s="18"/>
      <c r="E72" s="18"/>
      <c r="F72" s="18"/>
      <c r="G72" s="18"/>
      <c r="H72" s="18"/>
      <c r="I72" s="18"/>
      <c r="J72" s="18"/>
      <c r="K72" s="19"/>
    </row>
    <row r="73" spans="1:11">
      <c r="A73" s="199" t="s">
        <v>227</v>
      </c>
      <c r="B73" s="202">
        <v>1.0999999999999999E-2</v>
      </c>
      <c r="C73" s="18"/>
      <c r="D73" s="18"/>
      <c r="E73" s="18"/>
      <c r="F73" s="18"/>
      <c r="G73" s="18"/>
      <c r="H73" s="18"/>
      <c r="I73" s="18"/>
      <c r="J73" s="18"/>
      <c r="K73" s="19"/>
    </row>
    <row r="74" spans="1:11">
      <c r="A74" s="199" t="s">
        <v>208</v>
      </c>
      <c r="B74" s="203">
        <v>1000000</v>
      </c>
      <c r="C74" s="18"/>
      <c r="D74" s="18"/>
      <c r="E74" s="18"/>
      <c r="F74" s="18"/>
      <c r="G74" s="18"/>
      <c r="H74" s="18"/>
      <c r="I74" s="18"/>
      <c r="J74" s="18"/>
      <c r="K74" s="19"/>
    </row>
    <row r="75" spans="1:11">
      <c r="A75" s="199" t="s">
        <v>231</v>
      </c>
      <c r="B75" s="204">
        <v>934.24657534246603</v>
      </c>
      <c r="C75" s="208"/>
      <c r="D75" s="18"/>
      <c r="E75" s="18"/>
      <c r="F75" s="18"/>
      <c r="G75" s="18"/>
      <c r="H75" s="18"/>
      <c r="I75" s="18"/>
      <c r="J75" s="18"/>
      <c r="K75" s="19"/>
    </row>
    <row r="76" spans="1:11" ht="15">
      <c r="A76" s="24"/>
      <c r="B76" s="21"/>
      <c r="C76" s="21"/>
      <c r="D76" s="21"/>
      <c r="E76" s="21"/>
      <c r="F76" s="21"/>
      <c r="G76" s="21"/>
      <c r="H76" s="21"/>
      <c r="I76" s="21"/>
      <c r="J76" s="21"/>
      <c r="K76" s="22"/>
    </row>
    <row r="77" spans="1:11" ht="15">
      <c r="A77" s="7"/>
    </row>
    <row r="78" spans="1:11" ht="15">
      <c r="A78" s="7"/>
    </row>
    <row r="79" spans="1:11" ht="15">
      <c r="A79" s="195"/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1:11" ht="18">
      <c r="A80" s="207" t="s">
        <v>238</v>
      </c>
      <c r="B80" s="18"/>
      <c r="C80" s="18"/>
      <c r="D80" s="18"/>
      <c r="E80" s="18"/>
      <c r="F80" s="18"/>
      <c r="G80" s="18"/>
      <c r="H80" s="18"/>
      <c r="I80" s="18"/>
      <c r="J80" s="18"/>
      <c r="K80" s="17"/>
    </row>
    <row r="81" spans="1:11" ht="15">
      <c r="A81" s="113" t="s">
        <v>239</v>
      </c>
      <c r="B81" s="18"/>
      <c r="C81" s="18"/>
      <c r="D81" s="18"/>
      <c r="E81" s="18"/>
      <c r="F81" s="18"/>
      <c r="G81" s="18"/>
      <c r="H81" s="18"/>
      <c r="I81" s="18"/>
      <c r="J81" s="18"/>
      <c r="K81" s="19"/>
    </row>
    <row r="82" spans="1:11" ht="15">
      <c r="A82" s="113" t="s">
        <v>240</v>
      </c>
      <c r="B82" s="18"/>
      <c r="C82" s="18"/>
      <c r="D82" s="18"/>
      <c r="E82" s="18"/>
      <c r="F82" s="18"/>
      <c r="G82" s="18"/>
      <c r="H82" s="18"/>
      <c r="I82" s="18"/>
      <c r="J82" s="18"/>
      <c r="K82" s="19"/>
    </row>
    <row r="83" spans="1:11" ht="15.75">
      <c r="A83" s="113" t="s">
        <v>514</v>
      </c>
      <c r="B83" s="18"/>
      <c r="C83" s="18"/>
      <c r="D83" s="18"/>
      <c r="E83" s="18"/>
      <c r="F83" s="18"/>
      <c r="G83" s="18"/>
      <c r="H83" s="18"/>
      <c r="I83" s="18"/>
      <c r="J83" s="18"/>
      <c r="K83" s="19"/>
    </row>
    <row r="84" spans="1:11" ht="15.75">
      <c r="A84" s="113" t="s">
        <v>241</v>
      </c>
      <c r="B84" s="18"/>
      <c r="C84" s="18"/>
      <c r="D84" s="18"/>
      <c r="E84" s="18"/>
      <c r="F84" s="18"/>
      <c r="G84" s="18"/>
      <c r="H84" s="18"/>
      <c r="I84" s="18"/>
      <c r="J84" s="18"/>
      <c r="K84" s="19"/>
    </row>
    <row r="85" spans="1:11" ht="15">
      <c r="A85" s="113"/>
      <c r="B85" s="18"/>
      <c r="C85" s="18"/>
      <c r="D85" s="18"/>
      <c r="E85" s="18"/>
      <c r="F85" s="18"/>
      <c r="G85" s="18"/>
      <c r="H85" s="18"/>
      <c r="I85" s="18"/>
      <c r="J85" s="18"/>
      <c r="K85" s="19"/>
    </row>
    <row r="86" spans="1:11" ht="15">
      <c r="A86" s="113" t="s">
        <v>515</v>
      </c>
      <c r="B86" s="18"/>
      <c r="C86" s="18"/>
      <c r="D86" s="18"/>
      <c r="E86" s="18"/>
      <c r="F86" s="18"/>
      <c r="G86" s="18"/>
      <c r="H86" s="18"/>
      <c r="I86" s="18"/>
      <c r="J86" s="18"/>
      <c r="K86" s="19"/>
    </row>
    <row r="87" spans="1:11" ht="15">
      <c r="A87" s="23" t="s">
        <v>244</v>
      </c>
      <c r="B87" s="18"/>
      <c r="C87" s="18"/>
      <c r="D87" s="18"/>
      <c r="E87" s="18"/>
      <c r="F87" s="18"/>
      <c r="G87" s="18"/>
      <c r="H87" s="18"/>
      <c r="I87" s="18"/>
      <c r="J87" s="18"/>
      <c r="K87" s="19"/>
    </row>
    <row r="88" spans="1:11" ht="15">
      <c r="A88" s="23"/>
      <c r="B88" s="18"/>
      <c r="C88" s="18"/>
      <c r="D88" s="18"/>
      <c r="E88" s="18"/>
      <c r="F88" s="18"/>
      <c r="G88" s="18"/>
      <c r="H88" s="18"/>
      <c r="I88" s="18"/>
      <c r="J88" s="18"/>
      <c r="K88" s="19"/>
    </row>
    <row r="89" spans="1:11" ht="15">
      <c r="A89" s="23" t="s">
        <v>242</v>
      </c>
      <c r="B89" s="18"/>
      <c r="C89" s="18"/>
      <c r="D89" s="18"/>
      <c r="E89" s="18"/>
      <c r="F89" s="18"/>
      <c r="G89" s="18"/>
      <c r="H89" s="18"/>
      <c r="I89" s="18"/>
      <c r="J89" s="18"/>
      <c r="K89" s="19"/>
    </row>
    <row r="90" spans="1:11" ht="15">
      <c r="A90" s="114" t="s">
        <v>243</v>
      </c>
      <c r="B90" s="21"/>
      <c r="C90" s="21"/>
      <c r="D90" s="21"/>
      <c r="E90" s="21"/>
      <c r="F90" s="21"/>
      <c r="G90" s="21"/>
      <c r="H90" s="21"/>
      <c r="I90" s="21"/>
      <c r="J90" s="21"/>
      <c r="K90" s="22"/>
    </row>
    <row r="91" spans="1:11" ht="15">
      <c r="A91" s="7"/>
    </row>
    <row r="94" spans="1:11" ht="18">
      <c r="A94" s="215"/>
    </row>
  </sheetData>
  <phoneticPr fontId="20" type="noConversion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L188"/>
  <sheetViews>
    <sheetView showGridLines="0" topLeftCell="A115" workbookViewId="0"/>
  </sheetViews>
  <sheetFormatPr defaultColWidth="9.7109375" defaultRowHeight="12.75"/>
  <cols>
    <col min="1" max="1" width="29.42578125" customWidth="1"/>
    <col min="2" max="2" width="18.42578125" customWidth="1"/>
    <col min="3" max="3" width="15.85546875" bestFit="1" customWidth="1"/>
    <col min="4" max="4" width="13.42578125" customWidth="1"/>
    <col min="5" max="5" width="13.5703125" bestFit="1" customWidth="1"/>
    <col min="6" max="6" width="10.5703125" customWidth="1"/>
    <col min="7" max="7" width="26.42578125" customWidth="1"/>
    <col min="8" max="8" width="11.5703125" customWidth="1"/>
    <col min="9" max="9" width="11.42578125" customWidth="1"/>
    <col min="10" max="10" width="12.5703125" customWidth="1"/>
  </cols>
  <sheetData>
    <row r="1" spans="1:11" ht="27.75">
      <c r="A1" s="59" t="s">
        <v>263</v>
      </c>
      <c r="B1" s="59"/>
      <c r="C1" s="216"/>
      <c r="D1" s="216"/>
      <c r="E1" s="216"/>
      <c r="F1" s="216"/>
      <c r="G1" s="216"/>
      <c r="H1" s="216"/>
      <c r="I1" s="217"/>
      <c r="J1" s="217"/>
      <c r="K1" s="217"/>
    </row>
    <row r="2" spans="1:11" s="4" customFormat="1" ht="15"/>
    <row r="3" spans="1:11" s="6" customFormat="1" ht="18">
      <c r="A3" s="224" t="s">
        <v>273</v>
      </c>
      <c r="B3" s="225"/>
      <c r="C3" s="225"/>
      <c r="D3" s="225"/>
      <c r="E3" s="225"/>
      <c r="F3" s="225"/>
      <c r="G3" s="225"/>
      <c r="H3" s="225"/>
    </row>
    <row r="4" spans="1:11" s="6" customFormat="1" ht="15.75">
      <c r="A4" s="219" t="s">
        <v>274</v>
      </c>
      <c r="B4" s="220"/>
      <c r="C4" s="249" t="str">
        <f t="shared" ref="C4:C20" si="0">cellformula(G4)</f>
        <v>=POWER(2,3)</v>
      </c>
      <c r="D4" s="250"/>
      <c r="E4" s="250"/>
      <c r="F4" s="253"/>
      <c r="G4" s="218">
        <f>POWER(2,3)</f>
        <v>8</v>
      </c>
      <c r="H4" s="227"/>
    </row>
    <row r="5" spans="1:11" s="6" customFormat="1" ht="15.75">
      <c r="A5" s="219" t="s">
        <v>312</v>
      </c>
      <c r="B5" s="220"/>
      <c r="C5" s="249" t="str">
        <f t="shared" si="0"/>
        <v>=SQRT(196)</v>
      </c>
      <c r="D5" s="250"/>
      <c r="E5" s="250"/>
      <c r="F5" s="253"/>
      <c r="G5" s="218">
        <f>SQRT(196)</f>
        <v>14</v>
      </c>
      <c r="H5" s="227"/>
    </row>
    <row r="6" spans="1:11" s="6" customFormat="1" ht="15.75">
      <c r="A6" s="219" t="s">
        <v>311</v>
      </c>
      <c r="B6" s="220"/>
      <c r="C6" s="249" t="str">
        <f t="shared" si="0"/>
        <v>=EXP(1)</v>
      </c>
      <c r="D6" s="250"/>
      <c r="E6" s="250"/>
      <c r="F6" s="253"/>
      <c r="G6" s="218">
        <f>EXP(1)</f>
        <v>2.7182818284590451</v>
      </c>
      <c r="H6" s="227"/>
    </row>
    <row r="7" spans="1:11" s="6" customFormat="1" ht="15.75">
      <c r="A7" s="219" t="s">
        <v>314</v>
      </c>
      <c r="B7" s="220"/>
      <c r="C7" s="249" t="str">
        <f t="shared" si="0"/>
        <v>=LN(2.7182818)</v>
      </c>
      <c r="D7" s="250"/>
      <c r="E7" s="250"/>
      <c r="F7" s="253"/>
      <c r="G7" s="218">
        <f>LN(2.7182818)</f>
        <v>0.9999999895305024</v>
      </c>
      <c r="H7" s="227"/>
    </row>
    <row r="8" spans="1:11" s="6" customFormat="1" ht="15.75">
      <c r="A8" s="219" t="s">
        <v>315</v>
      </c>
      <c r="B8" s="220"/>
      <c r="C8" s="249" t="str">
        <f t="shared" si="0"/>
        <v>=LOG10(1000)</v>
      </c>
      <c r="D8" s="250"/>
      <c r="E8" s="250"/>
      <c r="F8" s="253"/>
      <c r="G8" s="218">
        <f>LOG10(1000)</f>
        <v>3</v>
      </c>
      <c r="H8" s="227"/>
    </row>
    <row r="9" spans="1:11" s="6" customFormat="1" ht="15.75">
      <c r="A9" s="219" t="s">
        <v>322</v>
      </c>
      <c r="B9" s="220"/>
      <c r="C9" s="249" t="str">
        <f t="shared" si="0"/>
        <v>=LOG(8,2)</v>
      </c>
      <c r="D9" s="250"/>
      <c r="E9" s="250"/>
      <c r="F9" s="253"/>
      <c r="G9" s="218">
        <f>LOG(8,2)</f>
        <v>3</v>
      </c>
      <c r="H9" s="227"/>
    </row>
    <row r="10" spans="1:11" s="6" customFormat="1" ht="15.75">
      <c r="A10" s="219" t="s">
        <v>310</v>
      </c>
      <c r="B10" s="220"/>
      <c r="C10" s="249" t="str">
        <f t="shared" si="0"/>
        <v>=ABS(-1.23)</v>
      </c>
      <c r="D10" s="250"/>
      <c r="E10" s="250"/>
      <c r="F10" s="253"/>
      <c r="G10" s="218">
        <f>ABS(-1.23)</f>
        <v>1.23</v>
      </c>
      <c r="H10" s="227"/>
    </row>
    <row r="11" spans="1:11" s="6" customFormat="1" ht="15.75">
      <c r="A11" s="219" t="s">
        <v>316</v>
      </c>
      <c r="B11" s="220"/>
      <c r="C11" s="249" t="str">
        <f t="shared" si="0"/>
        <v>=PI()</v>
      </c>
      <c r="D11" s="250"/>
      <c r="E11" s="250"/>
      <c r="F11" s="253"/>
      <c r="G11" s="218">
        <f>PI()</f>
        <v>3.1415926535897931</v>
      </c>
      <c r="H11" s="227"/>
    </row>
    <row r="12" spans="1:11" s="6" customFormat="1" ht="15.75">
      <c r="A12" s="219" t="s">
        <v>313</v>
      </c>
      <c r="B12" s="220"/>
      <c r="C12" s="249" t="str">
        <f t="shared" si="0"/>
        <v>=ROUND(10.5678, 2)</v>
      </c>
      <c r="D12" s="250"/>
      <c r="E12" s="250"/>
      <c r="F12" s="250"/>
      <c r="G12" s="218">
        <f>ROUND(10.5678, 2)</f>
        <v>10.57</v>
      </c>
      <c r="H12" s="220"/>
    </row>
    <row r="13" spans="1:11" s="6" customFormat="1" ht="15.75">
      <c r="A13" s="219" t="s">
        <v>308</v>
      </c>
      <c r="B13" s="220"/>
      <c r="C13" s="249" t="str">
        <f t="shared" si="0"/>
        <v>=TRUNC(-12.34567,3)</v>
      </c>
      <c r="D13" s="250"/>
      <c r="E13" s="250"/>
      <c r="F13" s="250"/>
      <c r="G13" s="218">
        <f>TRUNC(-12.34567,3)</f>
        <v>-12.345000000000001</v>
      </c>
      <c r="H13" s="220"/>
    </row>
    <row r="14" spans="1:11" s="6" customFormat="1" ht="15.75">
      <c r="A14" s="219" t="s">
        <v>309</v>
      </c>
      <c r="B14" s="220"/>
      <c r="C14" s="249" t="str">
        <f t="shared" si="0"/>
        <v>=INT(3.89)</v>
      </c>
      <c r="D14" s="250"/>
      <c r="E14" s="250"/>
      <c r="F14" s="250"/>
      <c r="G14" s="218">
        <f>INT(3.89)</f>
        <v>3</v>
      </c>
      <c r="H14" s="220"/>
    </row>
    <row r="15" spans="1:11" s="6" customFormat="1" ht="15.75">
      <c r="A15" s="219" t="s">
        <v>317</v>
      </c>
      <c r="B15" s="220"/>
      <c r="C15" s="249" t="str">
        <f t="shared" si="0"/>
        <v>=MOD(18,4)</v>
      </c>
      <c r="D15" s="250"/>
      <c r="E15" s="250"/>
      <c r="F15" s="250"/>
      <c r="G15" s="218">
        <f>MOD(18,4)</f>
        <v>2</v>
      </c>
      <c r="H15" s="220"/>
    </row>
    <row r="16" spans="1:11" s="6" customFormat="1" ht="15.75">
      <c r="A16" s="219" t="s">
        <v>318</v>
      </c>
      <c r="B16" s="220"/>
      <c r="C16" s="249" t="str">
        <f t="shared" si="0"/>
        <v>=SIN(30*PI()/180)</v>
      </c>
      <c r="D16" s="250"/>
      <c r="E16" s="250"/>
      <c r="F16" s="250"/>
      <c r="G16" s="218">
        <f>SIN(30*PI()/180)</f>
        <v>0.49999999999999994</v>
      </c>
      <c r="H16" s="220"/>
    </row>
    <row r="17" spans="1:8" s="6" customFormat="1" ht="15.75">
      <c r="A17" s="219" t="s">
        <v>319</v>
      </c>
      <c r="B17" s="220"/>
      <c r="C17" s="249" t="str">
        <f t="shared" si="0"/>
        <v>=COS(30*PI()/180)</v>
      </c>
      <c r="D17" s="250"/>
      <c r="E17" s="250"/>
      <c r="F17" s="250"/>
      <c r="G17" s="218">
        <f>COS(30*PI()/180)</f>
        <v>0.86602540378443871</v>
      </c>
      <c r="H17" s="220"/>
    </row>
    <row r="18" spans="1:8" s="6" customFormat="1" ht="15.75">
      <c r="A18" s="219" t="s">
        <v>320</v>
      </c>
      <c r="B18" s="220"/>
      <c r="C18" s="249" t="str">
        <f t="shared" si="0"/>
        <v>=MAX(1,2,3,4,5)</v>
      </c>
      <c r="D18" s="250"/>
      <c r="E18" s="250"/>
      <c r="F18" s="250"/>
      <c r="G18" s="218">
        <f>MAX(1,2,3,4,5)</f>
        <v>5</v>
      </c>
      <c r="H18" s="220"/>
    </row>
    <row r="19" spans="1:8" s="6" customFormat="1" ht="15.75">
      <c r="A19" s="219" t="s">
        <v>321</v>
      </c>
      <c r="B19" s="220"/>
      <c r="C19" s="249" t="str">
        <f t="shared" si="0"/>
        <v>=MIN(1,2,3,4,5)</v>
      </c>
      <c r="D19" s="250"/>
      <c r="E19" s="250"/>
      <c r="F19" s="250"/>
      <c r="G19" s="218">
        <f>MIN(1,2,3,4,5)</f>
        <v>1</v>
      </c>
      <c r="H19" s="220"/>
    </row>
    <row r="20" spans="1:8" s="6" customFormat="1" ht="15.75">
      <c r="A20" s="219" t="s">
        <v>323</v>
      </c>
      <c r="B20" s="220"/>
      <c r="C20" s="249" t="str">
        <f t="shared" si="0"/>
        <v>=COMBIN(5,3)</v>
      </c>
      <c r="D20" s="250"/>
      <c r="E20" s="250"/>
      <c r="F20" s="250"/>
      <c r="G20" s="218">
        <f>COMBIN(5,3)</f>
        <v>10</v>
      </c>
      <c r="H20" s="220"/>
    </row>
    <row r="21" spans="1:8" s="6" customFormat="1" ht="15"/>
    <row r="22" spans="1:8" s="6" customFormat="1" ht="15"/>
    <row r="23" spans="1:8" s="6" customFormat="1" ht="18">
      <c r="A23" s="224" t="s">
        <v>165</v>
      </c>
      <c r="B23" s="225"/>
      <c r="C23" s="225"/>
      <c r="D23" s="225"/>
      <c r="E23" s="225"/>
      <c r="F23" s="225"/>
      <c r="G23" s="225"/>
      <c r="H23" s="225"/>
    </row>
    <row r="24" spans="1:8" s="6" customFormat="1" ht="15.75">
      <c r="A24" s="219" t="s">
        <v>324</v>
      </c>
      <c r="B24" s="220"/>
      <c r="C24" s="249" t="str">
        <f t="shared" ref="C24:C37" si="1">cellformula(G24)</f>
        <v>=CONCATENATE("Joins ", "several ", "text strings.")</v>
      </c>
      <c r="D24" s="250"/>
      <c r="E24" s="250"/>
      <c r="F24" s="253"/>
      <c r="G24" s="218" t="str">
        <f>CONCATENATE("Joins ", "several ", "text strings.")</f>
        <v>Joins several text strings.</v>
      </c>
      <c r="H24" s="218"/>
    </row>
    <row r="25" spans="1:8" s="6" customFormat="1" ht="15.75">
      <c r="A25" s="219" t="s">
        <v>325</v>
      </c>
      <c r="B25" s="220"/>
      <c r="C25" s="249" t="str">
        <f t="shared" si="1"/>
        <v>=FIND("Case", "Find is Case Sensitive", 6)</v>
      </c>
      <c r="D25" s="250"/>
      <c r="E25" s="250"/>
      <c r="F25" s="253"/>
      <c r="G25" s="218">
        <f>FIND("Case", "Find is Case Sensitive", 6)</f>
        <v>9</v>
      </c>
      <c r="H25" s="218"/>
    </row>
    <row r="26" spans="1:8" s="6" customFormat="1" ht="15.75">
      <c r="A26" s="219" t="s">
        <v>326</v>
      </c>
      <c r="B26" s="220"/>
      <c r="C26" s="249" t="str">
        <f t="shared" si="1"/>
        <v>=SEARCH("case", "Search is Case Insensitive", 6)</v>
      </c>
      <c r="D26" s="250"/>
      <c r="E26" s="250"/>
      <c r="F26" s="253"/>
      <c r="G26" s="218">
        <f>SEARCH("case", "Search is Case Insensitive", 6)</f>
        <v>11</v>
      </c>
      <c r="H26" s="218"/>
    </row>
    <row r="27" spans="1:8" s="6" customFormat="1" ht="31.5" customHeight="1">
      <c r="A27" s="469" t="s">
        <v>327</v>
      </c>
      <c r="B27" s="469"/>
      <c r="C27" s="249" t="str">
        <f t="shared" si="1"/>
        <v>=REPLACE("replace this with", 9, 4, "that")</v>
      </c>
      <c r="D27" s="250"/>
      <c r="E27" s="250"/>
      <c r="F27" s="253"/>
      <c r="G27" s="218" t="str">
        <f>REPLACE("replace this with", 9, 4, "that")</f>
        <v>replace that with</v>
      </c>
      <c r="H27" s="218"/>
    </row>
    <row r="28" spans="1:8" s="6" customFormat="1" ht="15.75">
      <c r="A28" s="219" t="s">
        <v>328</v>
      </c>
      <c r="B28" s="220"/>
      <c r="C28" s="249" t="str">
        <f t="shared" si="1"/>
        <v>=SUBSTITUTE("substitute this with","this","that")</v>
      </c>
      <c r="D28" s="250"/>
      <c r="E28" s="250"/>
      <c r="F28" s="253"/>
      <c r="G28" s="218" t="str">
        <f>SUBSTITUTE("substitute this with","this","that")</f>
        <v>substitute that with</v>
      </c>
      <c r="H28" s="218"/>
    </row>
    <row r="29" spans="1:8" s="6" customFormat="1" ht="15.75">
      <c r="A29" s="219" t="s">
        <v>329</v>
      </c>
      <c r="B29" s="220"/>
      <c r="C29" s="249" t="str">
        <f t="shared" si="1"/>
        <v>=TRIM("  trim leading and trailing spaces.   ")</v>
      </c>
      <c r="D29" s="250"/>
      <c r="E29" s="250"/>
      <c r="F29" s="253"/>
      <c r="G29" s="218" t="str">
        <f>TRIM("  trim leading and trailing spaces.   ")</f>
        <v>trim leading and trailing spaces.</v>
      </c>
      <c r="H29" s="218"/>
    </row>
    <row r="30" spans="1:8" s="6" customFormat="1" ht="15.75">
      <c r="A30" s="219" t="s">
        <v>332</v>
      </c>
      <c r="B30" s="220"/>
      <c r="C30" s="249" t="str">
        <f t="shared" si="1"/>
        <v>=LEFT("return the 5 chars from the left", 5)</v>
      </c>
      <c r="D30" s="250"/>
      <c r="E30" s="250"/>
      <c r="F30" s="253"/>
      <c r="G30" s="218" t="str">
        <f>LEFT("return the 5 chars from the left", 5)</f>
        <v>retur</v>
      </c>
      <c r="H30" s="218"/>
    </row>
    <row r="31" spans="1:8" s="6" customFormat="1" ht="15.75">
      <c r="A31" s="219" t="s">
        <v>331</v>
      </c>
      <c r="B31" s="220"/>
      <c r="C31" s="249" t="str">
        <f t="shared" si="1"/>
        <v>=RIGHT("returns 5 chars from the right", 5)</v>
      </c>
      <c r="D31" s="250"/>
      <c r="E31" s="250"/>
      <c r="F31" s="253"/>
      <c r="G31" s="218" t="str">
        <f>RIGHT("returns 5 chars from the right", 5)</f>
        <v>right</v>
      </c>
      <c r="H31" s="218"/>
    </row>
    <row r="32" spans="1:8" s="6" customFormat="1" ht="15.75">
      <c r="A32" s="219" t="s">
        <v>335</v>
      </c>
      <c r="B32" s="220"/>
      <c r="C32" s="249" t="str">
        <f t="shared" si="1"/>
        <v>=MID("return 5 chars starting from the 3rd", 3, 5)</v>
      </c>
      <c r="D32" s="250"/>
      <c r="E32" s="250"/>
      <c r="F32" s="253"/>
      <c r="G32" s="218" t="str">
        <f>MID("return 5 chars starting from the 3rd", 3, 5)</f>
        <v xml:space="preserve">turn </v>
      </c>
      <c r="H32" s="218"/>
    </row>
    <row r="33" spans="1:8" s="6" customFormat="1" ht="15.75">
      <c r="A33" s="219" t="s">
        <v>330</v>
      </c>
      <c r="B33" s="220"/>
      <c r="C33" s="249" t="str">
        <f t="shared" si="1"/>
        <v>=LEN("size of string")</v>
      </c>
      <c r="D33" s="250"/>
      <c r="E33" s="250"/>
      <c r="F33" s="253"/>
      <c r="G33" s="218">
        <f>LEN("size of string")</f>
        <v>14</v>
      </c>
      <c r="H33" s="218"/>
    </row>
    <row r="34" spans="1:8" s="6" customFormat="1" ht="15.75">
      <c r="A34" s="219" t="s">
        <v>333</v>
      </c>
      <c r="B34" s="220"/>
      <c r="C34" s="249" t="str">
        <f t="shared" si="1"/>
        <v>=LOWER("UPPER TO lower")</v>
      </c>
      <c r="D34" s="250"/>
      <c r="E34" s="250"/>
      <c r="F34" s="253"/>
      <c r="G34" s="218" t="str">
        <f>LOWER("UPPER TO lower")</f>
        <v>upper to lower</v>
      </c>
      <c r="H34" s="218"/>
    </row>
    <row r="35" spans="1:8" s="6" customFormat="1" ht="15.75">
      <c r="A35" s="219" t="s">
        <v>334</v>
      </c>
      <c r="B35" s="220"/>
      <c r="C35" s="249" t="str">
        <f t="shared" si="1"/>
        <v>=UPPER("lower to UPPER")</v>
      </c>
      <c r="D35" s="250"/>
      <c r="E35" s="250"/>
      <c r="F35" s="253"/>
      <c r="G35" s="218" t="str">
        <f>UPPER("lower to UPPER")</f>
        <v>LOWER TO UPPER</v>
      </c>
      <c r="H35" s="218"/>
    </row>
    <row r="36" spans="1:8" s="6" customFormat="1" ht="15.75">
      <c r="A36" s="219" t="s">
        <v>336</v>
      </c>
      <c r="B36" s="220"/>
      <c r="C36" s="249" t="str">
        <f t="shared" si="1"/>
        <v>=VALUE("-1234.56")</v>
      </c>
      <c r="D36" s="250"/>
      <c r="E36" s="250"/>
      <c r="F36" s="253"/>
      <c r="G36" s="268">
        <f>VALUE("-1234.56")</f>
        <v>-1234.56</v>
      </c>
      <c r="H36" s="218"/>
    </row>
    <row r="37" spans="1:8" s="6" customFormat="1" ht="15.75">
      <c r="A37" s="219" t="s">
        <v>337</v>
      </c>
      <c r="B37" s="220"/>
      <c r="C37" s="249" t="str">
        <f t="shared" si="1"/>
        <v>=TEXT(G36,"$#,##0.00_);($#,##0.00)")</v>
      </c>
      <c r="D37" s="250"/>
      <c r="E37" s="250"/>
      <c r="F37" s="253"/>
      <c r="G37" s="251" t="str">
        <f>TEXT(G36,"$#,##0.00_);($#,##0.00)")</f>
        <v>($1,234.56)</v>
      </c>
      <c r="H37" s="218"/>
    </row>
    <row r="38" spans="1:8" s="6" customFormat="1" ht="15"/>
    <row r="39" spans="1:8" s="6" customFormat="1" ht="15"/>
    <row r="40" spans="1:8" s="6" customFormat="1" ht="18">
      <c r="A40" s="224" t="s">
        <v>338</v>
      </c>
      <c r="B40" s="225"/>
      <c r="C40" s="225"/>
      <c r="D40" s="225"/>
      <c r="E40" s="225"/>
      <c r="F40" s="225"/>
      <c r="G40" s="225"/>
      <c r="H40" s="225"/>
    </row>
    <row r="41" spans="1:8" s="6" customFormat="1" ht="15.75">
      <c r="A41" s="219" t="s">
        <v>339</v>
      </c>
      <c r="B41" s="220"/>
      <c r="C41" s="249" t="str">
        <f t="shared" ref="C41:C53" si="2">cellformula(G41)</f>
        <v>=DATE(2008,8,2)</v>
      </c>
      <c r="D41" s="250"/>
      <c r="E41" s="250"/>
      <c r="F41" s="253"/>
      <c r="G41" s="266">
        <f>DATE(2008,8,2)</f>
        <v>39662</v>
      </c>
      <c r="H41" s="268">
        <f>G41</f>
        <v>39662</v>
      </c>
    </row>
    <row r="42" spans="1:8" s="6" customFormat="1" ht="15.75">
      <c r="A42" s="219" t="s">
        <v>340</v>
      </c>
      <c r="B42" s="220"/>
      <c r="C42" s="249" t="str">
        <f t="shared" si="2"/>
        <v>=TIME(9, 30, 15)</v>
      </c>
      <c r="D42" s="250"/>
      <c r="E42" s="250"/>
      <c r="F42" s="253"/>
      <c r="G42" s="267">
        <f>TIME(9, 30, 15)</f>
        <v>0.39600694444444445</v>
      </c>
      <c r="H42" s="268">
        <f>G42</f>
        <v>0.39600694444444445</v>
      </c>
    </row>
    <row r="43" spans="1:8" s="6" customFormat="1" ht="15.75">
      <c r="A43" s="219" t="s">
        <v>341</v>
      </c>
      <c r="B43" s="220"/>
      <c r="C43" s="249" t="str">
        <f t="shared" si="2"/>
        <v>=DATEVALUE("2/8/2008")</v>
      </c>
      <c r="D43" s="250"/>
      <c r="E43" s="250"/>
      <c r="F43" s="253"/>
      <c r="G43" s="218">
        <f>DATEVALUE("2/8/2008")</f>
        <v>39486</v>
      </c>
      <c r="H43" s="218"/>
    </row>
    <row r="44" spans="1:8" s="6" customFormat="1" ht="15.75">
      <c r="A44" s="219" t="s">
        <v>342</v>
      </c>
      <c r="B44" s="220"/>
      <c r="C44" s="249" t="str">
        <f t="shared" si="2"/>
        <v>=TIMEVALUE("9:30:15")</v>
      </c>
      <c r="D44" s="250"/>
      <c r="E44" s="250"/>
      <c r="F44" s="253"/>
      <c r="G44" s="218">
        <f>TIMEVALUE("9:30:15")</f>
        <v>0.39600694444444445</v>
      </c>
      <c r="H44" s="218"/>
    </row>
    <row r="45" spans="1:8" s="6" customFormat="1" ht="15.75">
      <c r="A45" s="219" t="s">
        <v>347</v>
      </c>
      <c r="B45" s="220"/>
      <c r="C45" s="249" t="str">
        <f t="shared" si="2"/>
        <v>=TODAY()</v>
      </c>
      <c r="D45" s="250"/>
      <c r="E45" s="250"/>
      <c r="F45" s="253"/>
      <c r="G45" s="266">
        <f ca="1">TODAY()</f>
        <v>40592</v>
      </c>
      <c r="H45" s="218"/>
    </row>
    <row r="46" spans="1:8" s="6" customFormat="1" ht="15.75">
      <c r="A46" s="219" t="s">
        <v>348</v>
      </c>
      <c r="B46" s="220"/>
      <c r="C46" s="249" t="str">
        <f t="shared" si="2"/>
        <v>=NOW()</v>
      </c>
      <c r="D46" s="250"/>
      <c r="E46" s="250"/>
      <c r="F46" s="253"/>
      <c r="G46" s="269">
        <f ca="1">NOW()</f>
        <v>40592.454677546295</v>
      </c>
      <c r="H46" s="218"/>
    </row>
    <row r="47" spans="1:8" s="6" customFormat="1" ht="15.75">
      <c r="A47" s="219" t="s">
        <v>343</v>
      </c>
      <c r="B47" s="220"/>
      <c r="C47" s="249" t="str">
        <f t="shared" si="2"/>
        <v>=YEAR(TODAY())</v>
      </c>
      <c r="D47" s="250"/>
      <c r="E47" s="250"/>
      <c r="F47" s="253"/>
      <c r="G47" s="218">
        <f ca="1">YEAR(TODAY())</f>
        <v>2011</v>
      </c>
      <c r="H47" s="218"/>
    </row>
    <row r="48" spans="1:8" s="6" customFormat="1" ht="15.75">
      <c r="A48" s="219" t="s">
        <v>344</v>
      </c>
      <c r="B48" s="220"/>
      <c r="C48" s="249" t="str">
        <f t="shared" si="2"/>
        <v>=MONTH(TODAY())</v>
      </c>
      <c r="D48" s="250"/>
      <c r="E48" s="250"/>
      <c r="F48" s="253"/>
      <c r="G48" s="218">
        <f ca="1">MONTH(TODAY())</f>
        <v>2</v>
      </c>
      <c r="H48" s="218"/>
    </row>
    <row r="49" spans="1:8" s="6" customFormat="1" ht="15.75">
      <c r="A49" s="219" t="s">
        <v>345</v>
      </c>
      <c r="B49" s="220"/>
      <c r="C49" s="249" t="str">
        <f t="shared" si="2"/>
        <v>=DAY(TODAY())</v>
      </c>
      <c r="D49" s="250"/>
      <c r="E49" s="250"/>
      <c r="F49" s="253"/>
      <c r="G49" s="218">
        <f ca="1">DAY(TODAY())</f>
        <v>18</v>
      </c>
      <c r="H49" s="218"/>
    </row>
    <row r="50" spans="1:8" s="6" customFormat="1" ht="15.75">
      <c r="A50" s="219" t="s">
        <v>346</v>
      </c>
      <c r="B50" s="220"/>
      <c r="C50" s="249" t="str">
        <f t="shared" si="2"/>
        <v>=HOUR(NOW())</v>
      </c>
      <c r="D50" s="250"/>
      <c r="E50" s="250"/>
      <c r="F50" s="253"/>
      <c r="G50" s="218">
        <f ca="1">HOUR(NOW())</f>
        <v>10</v>
      </c>
      <c r="H50" s="218"/>
    </row>
    <row r="51" spans="1:8" s="6" customFormat="1" ht="15.75">
      <c r="A51" s="219" t="s">
        <v>349</v>
      </c>
      <c r="B51" s="220"/>
      <c r="C51" s="249" t="str">
        <f t="shared" si="2"/>
        <v>=MINUTE(NOW())</v>
      </c>
      <c r="D51" s="250"/>
      <c r="E51" s="250"/>
      <c r="F51" s="253"/>
      <c r="G51" s="218">
        <f ca="1">MINUTE(NOW())</f>
        <v>54</v>
      </c>
      <c r="H51" s="218"/>
    </row>
    <row r="52" spans="1:8" s="6" customFormat="1" ht="15.75">
      <c r="A52" s="219" t="s">
        <v>350</v>
      </c>
      <c r="B52" s="220"/>
      <c r="C52" s="249" t="str">
        <f t="shared" si="2"/>
        <v>=SECOND(NOW())</v>
      </c>
      <c r="D52" s="250"/>
      <c r="E52" s="250"/>
      <c r="F52" s="253"/>
      <c r="G52" s="218">
        <f ca="1">SECOND(NOW())</f>
        <v>44</v>
      </c>
      <c r="H52" s="218"/>
    </row>
    <row r="53" spans="1:8" s="6" customFormat="1" ht="15.75">
      <c r="A53" s="219" t="s">
        <v>351</v>
      </c>
      <c r="B53" s="220"/>
      <c r="C53" s="249" t="str">
        <f t="shared" si="2"/>
        <v>=WEEKDAY(TODAY())</v>
      </c>
      <c r="D53" s="250"/>
      <c r="E53" s="250"/>
      <c r="F53" s="253"/>
      <c r="G53" s="218">
        <f ca="1">WEEKDAY(TODAY())</f>
        <v>6</v>
      </c>
      <c r="H53" s="218"/>
    </row>
    <row r="54" spans="1:8" s="6" customFormat="1" ht="15">
      <c r="A54" s="220"/>
      <c r="B54" s="220"/>
      <c r="C54" s="220"/>
      <c r="D54" s="220"/>
      <c r="E54" s="220"/>
      <c r="F54" s="220"/>
      <c r="G54" s="220"/>
      <c r="H54" s="220"/>
    </row>
    <row r="55" spans="1:8" s="6" customFormat="1" ht="18">
      <c r="A55" s="206" t="s">
        <v>355</v>
      </c>
      <c r="B55" s="220"/>
      <c r="C55" s="220"/>
      <c r="D55" s="220"/>
      <c r="E55" s="220"/>
      <c r="F55" s="220"/>
      <c r="G55" s="220"/>
      <c r="H55" s="220"/>
    </row>
    <row r="56" spans="1:8" s="6" customFormat="1" ht="15">
      <c r="A56" s="220"/>
      <c r="B56" s="220"/>
      <c r="C56" s="220"/>
      <c r="D56" s="220"/>
      <c r="E56" s="220"/>
      <c r="F56" s="220"/>
      <c r="G56" s="220"/>
      <c r="H56" s="220"/>
    </row>
    <row r="57" spans="1:8" s="6" customFormat="1" ht="15">
      <c r="A57" s="270" t="s">
        <v>352</v>
      </c>
      <c r="B57" s="271"/>
      <c r="C57" s="220"/>
      <c r="D57" s="220"/>
      <c r="E57" s="220"/>
      <c r="F57" s="220"/>
      <c r="G57" s="220"/>
      <c r="H57" s="220"/>
    </row>
    <row r="58" spans="1:8" s="6" customFormat="1" ht="15">
      <c r="A58" s="270" t="s">
        <v>353</v>
      </c>
      <c r="B58" s="271"/>
      <c r="C58" s="220"/>
      <c r="D58" s="220"/>
      <c r="E58" s="220"/>
      <c r="F58" s="220"/>
      <c r="G58" s="220"/>
      <c r="H58" s="220"/>
    </row>
    <row r="59" spans="1:8" s="6" customFormat="1" ht="15">
      <c r="A59" s="270" t="s">
        <v>354</v>
      </c>
      <c r="B59" s="271"/>
      <c r="C59" s="220"/>
      <c r="D59" s="220"/>
      <c r="E59" s="220"/>
      <c r="F59" s="220"/>
      <c r="G59" s="220"/>
      <c r="H59" s="220"/>
    </row>
    <row r="60" spans="1:8" s="6" customFormat="1" ht="15">
      <c r="A60" s="220"/>
      <c r="B60" s="220"/>
      <c r="C60" s="220"/>
      <c r="D60" s="220"/>
      <c r="E60" s="220"/>
      <c r="F60" s="220"/>
      <c r="G60" s="220"/>
      <c r="H60" s="220"/>
    </row>
    <row r="61" spans="1:8" s="6" customFormat="1" ht="15"/>
    <row r="62" spans="1:8" s="6" customFormat="1" ht="15"/>
    <row r="63" spans="1:8" s="6" customFormat="1" ht="18">
      <c r="A63" s="224" t="s">
        <v>287</v>
      </c>
      <c r="B63" s="225"/>
      <c r="C63" s="225"/>
      <c r="D63" s="225"/>
      <c r="E63" s="225"/>
      <c r="F63" s="225"/>
      <c r="G63" s="225"/>
      <c r="H63" s="225"/>
    </row>
    <row r="64" spans="1:8" s="6" customFormat="1" ht="15">
      <c r="A64" s="220"/>
      <c r="B64" s="220"/>
      <c r="C64" s="220"/>
      <c r="D64" s="220"/>
      <c r="E64" s="220"/>
      <c r="F64" s="220"/>
      <c r="G64" s="220"/>
      <c r="H64" s="220"/>
    </row>
    <row r="65" spans="1:8" s="6" customFormat="1" ht="15.75">
      <c r="A65" s="219" t="s">
        <v>288</v>
      </c>
      <c r="B65" s="220"/>
      <c r="C65" s="220"/>
      <c r="D65" s="220"/>
      <c r="E65" s="220"/>
      <c r="F65" s="220"/>
      <c r="G65" s="251">
        <v>-10</v>
      </c>
      <c r="H65" s="220"/>
    </row>
    <row r="66" spans="1:8" s="6" customFormat="1" ht="15.75">
      <c r="A66" s="219"/>
      <c r="B66" s="220"/>
      <c r="C66" s="250" t="str">
        <f>cellformula(G66)</f>
        <v>=IF(G65&lt;0, "-ve", "+ve")</v>
      </c>
      <c r="D66" s="250"/>
      <c r="E66" s="250"/>
      <c r="F66" s="250"/>
      <c r="G66" s="218" t="str">
        <f>IF(G65&lt;0, "-ve", "+ve")</f>
        <v>-ve</v>
      </c>
      <c r="H66" s="220"/>
    </row>
    <row r="67" spans="1:8" s="6" customFormat="1" ht="18">
      <c r="A67" s="206"/>
      <c r="B67" s="220"/>
      <c r="C67" s="220"/>
      <c r="D67" s="220"/>
      <c r="E67" s="220"/>
      <c r="F67" s="220"/>
      <c r="G67" s="220"/>
      <c r="H67" s="220"/>
    </row>
    <row r="68" spans="1:8" s="6" customFormat="1" ht="18">
      <c r="A68" s="206" t="s">
        <v>296</v>
      </c>
      <c r="B68" s="220"/>
      <c r="C68" s="220"/>
      <c r="D68" s="220"/>
      <c r="E68" s="220"/>
      <c r="F68" s="220"/>
      <c r="G68" s="220"/>
      <c r="H68" s="220"/>
    </row>
    <row r="69" spans="1:8" s="6" customFormat="1" ht="15.75">
      <c r="A69" s="219"/>
      <c r="B69" s="220"/>
      <c r="C69" s="220"/>
      <c r="D69" s="220"/>
      <c r="E69" s="220"/>
      <c r="F69" s="220"/>
      <c r="G69" s="220"/>
      <c r="H69" s="220"/>
    </row>
    <row r="70" spans="1:8" s="6" customFormat="1" ht="15.75">
      <c r="A70" s="219"/>
      <c r="B70" s="229" t="s">
        <v>292</v>
      </c>
      <c r="C70" s="230">
        <v>5300000</v>
      </c>
      <c r="D70" s="220"/>
      <c r="E70" s="220"/>
      <c r="F70" s="220"/>
      <c r="G70" s="220"/>
      <c r="H70" s="220"/>
    </row>
    <row r="71" spans="1:8" s="6" customFormat="1" ht="15.75">
      <c r="A71" s="219"/>
      <c r="B71" s="232" t="s">
        <v>293</v>
      </c>
      <c r="C71" s="233"/>
      <c r="D71" s="220"/>
      <c r="E71" s="220"/>
      <c r="F71" s="220"/>
      <c r="G71" s="220"/>
      <c r="H71" s="220"/>
    </row>
    <row r="72" spans="1:8" s="6" customFormat="1" ht="15.75">
      <c r="A72" s="219"/>
      <c r="B72" s="236" t="s">
        <v>297</v>
      </c>
      <c r="C72" s="238">
        <v>200000</v>
      </c>
      <c r="D72" s="220"/>
      <c r="E72" s="220"/>
      <c r="F72" s="220"/>
      <c r="G72" s="220"/>
      <c r="H72" s="220"/>
    </row>
    <row r="73" spans="1:8" s="6" customFormat="1" ht="15.75">
      <c r="A73" s="219"/>
      <c r="B73" s="237" t="s">
        <v>294</v>
      </c>
      <c r="C73" s="239">
        <v>50000</v>
      </c>
      <c r="D73" s="220"/>
      <c r="E73" s="220"/>
      <c r="F73" s="220"/>
      <c r="G73" s="220"/>
      <c r="H73" s="220"/>
    </row>
    <row r="74" spans="1:8" s="6" customFormat="1" ht="15.75">
      <c r="A74" s="219"/>
      <c r="B74" s="231" t="s">
        <v>291</v>
      </c>
      <c r="C74" s="230">
        <f>C70-C72-C73</f>
        <v>5050000</v>
      </c>
      <c r="D74" s="220"/>
      <c r="E74" s="220"/>
      <c r="F74" s="220"/>
      <c r="G74" s="220"/>
      <c r="H74" s="220"/>
    </row>
    <row r="75" spans="1:8" s="6" customFormat="1" ht="15">
      <c r="A75" s="228"/>
      <c r="B75" s="220"/>
      <c r="C75" s="220"/>
      <c r="D75" s="220"/>
      <c r="E75" s="220"/>
      <c r="F75" s="220"/>
      <c r="G75" s="220"/>
      <c r="H75" s="220"/>
    </row>
    <row r="76" spans="1:8" s="6" customFormat="1" ht="45">
      <c r="A76" s="228"/>
      <c r="B76" s="470" t="s">
        <v>300</v>
      </c>
      <c r="C76" s="471"/>
      <c r="D76" s="248" t="s">
        <v>289</v>
      </c>
      <c r="E76" s="247" t="s">
        <v>302</v>
      </c>
      <c r="F76" s="247" t="s">
        <v>303</v>
      </c>
      <c r="G76" s="220"/>
      <c r="H76" s="220"/>
    </row>
    <row r="77" spans="1:8" s="6" customFormat="1" ht="15">
      <c r="A77" s="228"/>
      <c r="B77" s="245" t="s">
        <v>298</v>
      </c>
      <c r="C77" s="230">
        <v>35000</v>
      </c>
      <c r="D77" s="240">
        <v>0.02</v>
      </c>
      <c r="E77" s="242"/>
      <c r="F77" s="242"/>
      <c r="G77" s="220"/>
      <c r="H77" s="220"/>
    </row>
    <row r="78" spans="1:8" s="6" customFormat="1" ht="15">
      <c r="A78" s="228"/>
      <c r="B78" s="245" t="s">
        <v>299</v>
      </c>
      <c r="C78" s="230">
        <v>35000</v>
      </c>
      <c r="D78" s="240">
        <v>7.0000000000000007E-2</v>
      </c>
      <c r="E78" s="242"/>
      <c r="F78" s="242"/>
      <c r="G78" s="220"/>
      <c r="H78" s="220"/>
    </row>
    <row r="79" spans="1:8" s="6" customFormat="1" ht="15">
      <c r="A79" s="228"/>
      <c r="B79" s="245" t="s">
        <v>299</v>
      </c>
      <c r="C79" s="230">
        <v>35000</v>
      </c>
      <c r="D79" s="240">
        <v>0.12</v>
      </c>
      <c r="E79" s="242"/>
      <c r="F79" s="242"/>
      <c r="G79" s="220"/>
      <c r="H79" s="220"/>
    </row>
    <row r="80" spans="1:8" s="6" customFormat="1" ht="15.75" thickBot="1">
      <c r="A80" s="228"/>
      <c r="B80" s="246" t="s">
        <v>301</v>
      </c>
      <c r="C80" s="230"/>
      <c r="D80" s="240">
        <v>0.17</v>
      </c>
      <c r="E80" s="242"/>
      <c r="F80" s="244"/>
      <c r="G80" s="220"/>
      <c r="H80" s="220"/>
    </row>
    <row r="81" spans="1:8" s="6" customFormat="1" ht="15.75" thickTop="1">
      <c r="A81" s="228"/>
      <c r="B81" s="220"/>
      <c r="C81" s="228"/>
      <c r="D81" s="220"/>
      <c r="E81" s="241" t="s">
        <v>295</v>
      </c>
      <c r="F81" s="243"/>
      <c r="G81" s="220"/>
      <c r="H81" s="220"/>
    </row>
    <row r="82" spans="1:8" s="6" customFormat="1" ht="15">
      <c r="A82" s="228"/>
      <c r="B82" s="220"/>
      <c r="C82" s="220"/>
      <c r="D82" s="220"/>
      <c r="E82" s="220"/>
      <c r="F82" s="220"/>
      <c r="G82" s="220"/>
      <c r="H82" s="220"/>
    </row>
    <row r="83" spans="1:8" s="6" customFormat="1" ht="15">
      <c r="A83" s="228"/>
      <c r="B83" s="220"/>
      <c r="C83" s="220"/>
      <c r="D83" s="220"/>
      <c r="E83" s="220"/>
      <c r="F83" s="220"/>
      <c r="G83" s="220"/>
      <c r="H83" s="220"/>
    </row>
    <row r="84" spans="1:8" s="6" customFormat="1" ht="15">
      <c r="A84" s="220"/>
      <c r="B84" s="234" t="s">
        <v>290</v>
      </c>
      <c r="C84" s="235">
        <v>0.16</v>
      </c>
      <c r="D84" s="242">
        <f>C70*C84</f>
        <v>848000</v>
      </c>
      <c r="E84" s="220"/>
      <c r="F84" s="220"/>
      <c r="G84" s="220"/>
      <c r="H84" s="220"/>
    </row>
    <row r="85" spans="1:8" s="6" customFormat="1" ht="15">
      <c r="A85" s="220"/>
      <c r="B85" s="220"/>
      <c r="C85" s="220"/>
      <c r="D85" s="220"/>
      <c r="E85" s="220"/>
      <c r="F85" s="220"/>
      <c r="G85" s="220"/>
      <c r="H85" s="220"/>
    </row>
    <row r="86" spans="1:8" s="6" customFormat="1" ht="15">
      <c r="A86" s="220"/>
      <c r="B86" s="220"/>
      <c r="C86" s="220"/>
      <c r="D86" s="220"/>
      <c r="E86" s="220"/>
      <c r="F86" s="220"/>
      <c r="G86" s="220"/>
      <c r="H86" s="220"/>
    </row>
    <row r="87" spans="1:8" s="6" customFormat="1" ht="15.75">
      <c r="A87" s="219" t="s">
        <v>304</v>
      </c>
      <c r="B87" s="220"/>
      <c r="C87" s="220"/>
      <c r="D87" s="220"/>
      <c r="E87" s="220"/>
      <c r="F87" s="252" t="s">
        <v>306</v>
      </c>
      <c r="G87" s="251">
        <v>3</v>
      </c>
      <c r="H87" s="220"/>
    </row>
    <row r="88" spans="1:8" s="6" customFormat="1" ht="15">
      <c r="A88" s="220"/>
      <c r="B88" s="220"/>
      <c r="C88" s="250" t="str">
        <f>cellformula(G88)</f>
        <v>=IF(AND(G87&gt;0, G87&lt;=5), "0 &lt; x &lt;= 5")</v>
      </c>
      <c r="D88" s="250"/>
      <c r="E88" s="250"/>
      <c r="F88" s="250"/>
      <c r="G88" s="218" t="str">
        <f>IF(AND(G87&gt;0, G87&lt;=5), "0 &lt; x &lt;= 5")</f>
        <v>0 &lt; x &lt;= 5</v>
      </c>
      <c r="H88" s="220"/>
    </row>
    <row r="89" spans="1:8" s="6" customFormat="1" ht="15">
      <c r="A89" s="220"/>
      <c r="B89" s="220"/>
      <c r="C89" s="220"/>
      <c r="D89" s="220"/>
      <c r="E89" s="220"/>
      <c r="F89" s="220"/>
      <c r="G89" s="220"/>
      <c r="H89" s="220"/>
    </row>
    <row r="90" spans="1:8" s="6" customFormat="1" ht="15.75">
      <c r="A90" s="219" t="s">
        <v>307</v>
      </c>
      <c r="B90" s="220"/>
      <c r="C90" s="220"/>
      <c r="D90" s="220"/>
      <c r="E90" s="220"/>
      <c r="F90" s="220"/>
      <c r="G90" s="220"/>
      <c r="H90" s="220"/>
    </row>
    <row r="91" spans="1:8" s="6" customFormat="1" ht="15.75">
      <c r="A91" s="219" t="s">
        <v>305</v>
      </c>
      <c r="B91" s="220"/>
      <c r="C91" s="220"/>
      <c r="D91" s="220"/>
      <c r="E91" s="220"/>
      <c r="F91" s="220"/>
      <c r="G91" s="220"/>
      <c r="H91" s="220"/>
    </row>
    <row r="92" spans="1:8" s="6" customFormat="1" ht="15">
      <c r="A92" s="220"/>
      <c r="B92" s="220"/>
      <c r="C92" s="250" t="str">
        <f>cellformula(G92)</f>
        <v>=IF(NOT(OR(G87&lt;=0, G87&gt;5)), "0 &lt; x &lt;= 5")</v>
      </c>
      <c r="D92" s="250"/>
      <c r="E92" s="250"/>
      <c r="F92" s="250"/>
      <c r="G92" s="218" t="str">
        <f>IF(NOT(OR(G87&lt;=0, G87&gt;5)), "0 &lt; x &lt;= 5")</f>
        <v>0 &lt; x &lt;= 5</v>
      </c>
      <c r="H92" s="220"/>
    </row>
    <row r="93" spans="1:8" s="6" customFormat="1" ht="15">
      <c r="A93" s="220"/>
      <c r="B93" s="220"/>
      <c r="C93" s="220"/>
      <c r="D93" s="220"/>
      <c r="E93" s="220"/>
      <c r="F93" s="220"/>
      <c r="G93" s="220"/>
      <c r="H93" s="220"/>
    </row>
    <row r="94" spans="1:8" s="6" customFormat="1" ht="15"/>
    <row r="95" spans="1:8" s="6" customFormat="1" ht="15"/>
    <row r="96" spans="1:8" s="6" customFormat="1" ht="18">
      <c r="A96" s="224" t="s">
        <v>358</v>
      </c>
      <c r="B96" s="225"/>
      <c r="C96" s="225"/>
      <c r="D96" s="225"/>
      <c r="E96" s="225"/>
      <c r="F96" s="225"/>
      <c r="G96" s="225"/>
      <c r="H96" s="225"/>
    </row>
    <row r="97" spans="1:8" s="286" customFormat="1" ht="15.75">
      <c r="A97" s="219"/>
      <c r="B97" s="220"/>
      <c r="C97" s="220"/>
      <c r="D97" s="220"/>
      <c r="E97" s="220"/>
      <c r="F97" s="220"/>
      <c r="G97" s="220"/>
      <c r="H97" s="220"/>
    </row>
    <row r="98" spans="1:8" s="286" customFormat="1" ht="15.75">
      <c r="A98" s="219" t="s">
        <v>386</v>
      </c>
      <c r="B98" s="220"/>
      <c r="C98" s="220"/>
      <c r="D98" s="220"/>
      <c r="E98" s="220"/>
      <c r="F98" s="220"/>
      <c r="G98" s="220"/>
      <c r="H98" s="220"/>
    </row>
    <row r="99" spans="1:8" s="286" customFormat="1" ht="15">
      <c r="A99" s="222" t="s">
        <v>390</v>
      </c>
      <c r="B99" s="220"/>
      <c r="C99" s="220"/>
      <c r="D99" s="220"/>
      <c r="E99" s="220"/>
      <c r="F99" s="220"/>
      <c r="G99" s="220"/>
      <c r="H99" s="220"/>
    </row>
    <row r="100" spans="1:8" s="286" customFormat="1" ht="15">
      <c r="A100" s="222" t="s">
        <v>384</v>
      </c>
      <c r="B100" s="220"/>
      <c r="C100" s="220"/>
      <c r="D100" s="220"/>
      <c r="E100" s="220"/>
      <c r="F100" s="220"/>
      <c r="G100" s="220"/>
      <c r="H100" s="220"/>
    </row>
    <row r="101" spans="1:8" s="286" customFormat="1" ht="15">
      <c r="A101" s="222"/>
      <c r="B101" s="220"/>
      <c r="C101" s="220"/>
      <c r="D101" s="220"/>
      <c r="E101" s="220"/>
      <c r="F101" s="220"/>
      <c r="G101" s="220"/>
      <c r="H101" s="220"/>
    </row>
    <row r="102" spans="1:8" s="286" customFormat="1" ht="15.75">
      <c r="A102" s="220"/>
      <c r="B102" s="220"/>
      <c r="C102" s="272" t="s">
        <v>359</v>
      </c>
      <c r="D102" s="289" t="s">
        <v>16</v>
      </c>
      <c r="E102" s="290"/>
      <c r="F102" s="220"/>
      <c r="G102" s="220"/>
      <c r="H102" s="220"/>
    </row>
    <row r="103" spans="1:8" s="286" customFormat="1" ht="15">
      <c r="A103" s="222" t="str">
        <f>cellformula(D103)</f>
        <v>=VLOOKUP(C103,B117:G136,2,FALSE)</v>
      </c>
      <c r="B103" s="220"/>
      <c r="C103" s="287">
        <v>5</v>
      </c>
      <c r="D103" s="288" t="str">
        <f>VLOOKUP(C103,B117:G136,2,FALSE)</f>
        <v>HSBC HOLDINGS</v>
      </c>
      <c r="E103" s="288"/>
      <c r="F103" s="220"/>
      <c r="G103" s="220"/>
      <c r="H103" s="220"/>
    </row>
    <row r="104" spans="1:8" s="286" customFormat="1" ht="15">
      <c r="A104" s="220"/>
      <c r="B104" s="220"/>
      <c r="C104" s="220"/>
      <c r="D104" s="220"/>
      <c r="E104" s="220"/>
      <c r="F104" s="220"/>
      <c r="G104" s="220"/>
      <c r="H104" s="220"/>
    </row>
    <row r="105" spans="1:8" s="286" customFormat="1" ht="15">
      <c r="A105" s="220"/>
      <c r="B105" s="220"/>
      <c r="C105" s="220"/>
      <c r="D105" s="220"/>
      <c r="E105" s="220"/>
      <c r="F105" s="220"/>
      <c r="G105" s="220"/>
      <c r="H105" s="220"/>
    </row>
    <row r="106" spans="1:8" s="286" customFormat="1" ht="15.75">
      <c r="A106" s="219" t="s">
        <v>385</v>
      </c>
      <c r="B106" s="220"/>
      <c r="C106" s="220"/>
      <c r="D106" s="220"/>
      <c r="E106" s="220"/>
      <c r="F106" s="220"/>
      <c r="G106" s="220"/>
      <c r="H106" s="220"/>
    </row>
    <row r="107" spans="1:8" s="286" customFormat="1" ht="15">
      <c r="A107" s="222" t="s">
        <v>389</v>
      </c>
      <c r="B107" s="220"/>
      <c r="C107" s="220"/>
      <c r="D107" s="220"/>
      <c r="E107" s="220"/>
      <c r="F107" s="220"/>
      <c r="G107" s="220"/>
      <c r="H107" s="220"/>
    </row>
    <row r="108" spans="1:8" s="286" customFormat="1" ht="15">
      <c r="A108" s="222" t="s">
        <v>387</v>
      </c>
      <c r="B108" s="220"/>
      <c r="C108" s="220"/>
      <c r="D108" s="220"/>
      <c r="E108" s="220"/>
      <c r="F108" s="220"/>
      <c r="G108" s="220"/>
      <c r="H108" s="220"/>
    </row>
    <row r="109" spans="1:8" s="286" customFormat="1" ht="15">
      <c r="A109" s="222" t="s">
        <v>388</v>
      </c>
      <c r="B109" s="220"/>
      <c r="C109" s="220"/>
      <c r="D109" s="220"/>
      <c r="E109" s="220"/>
      <c r="F109" s="220"/>
      <c r="G109" s="220"/>
      <c r="H109" s="220"/>
    </row>
    <row r="110" spans="1:8" s="286" customFormat="1" ht="15">
      <c r="A110" s="222"/>
      <c r="B110" s="220"/>
      <c r="C110" s="220"/>
      <c r="D110" s="220"/>
      <c r="E110" s="220"/>
      <c r="F110" s="220"/>
      <c r="G110" s="220"/>
      <c r="H110" s="220"/>
    </row>
    <row r="111" spans="1:8" s="286" customFormat="1" ht="15.75">
      <c r="A111" s="219" t="s">
        <v>391</v>
      </c>
      <c r="B111" s="220"/>
      <c r="C111" s="220"/>
      <c r="D111" s="220"/>
      <c r="E111" s="220"/>
      <c r="F111" s="220"/>
      <c r="G111" s="220"/>
      <c r="H111" s="220"/>
    </row>
    <row r="112" spans="1:8" s="286" customFormat="1" ht="15">
      <c r="A112" s="222"/>
      <c r="B112" s="220"/>
      <c r="C112" s="220"/>
      <c r="D112" s="220"/>
      <c r="E112" s="220"/>
      <c r="F112" s="220"/>
      <c r="G112" s="220"/>
      <c r="H112" s="220"/>
    </row>
    <row r="113" spans="1:12" s="286" customFormat="1" ht="15.75">
      <c r="A113" s="222"/>
      <c r="B113" s="220"/>
      <c r="C113" s="220"/>
      <c r="D113" s="272" t="s">
        <v>359</v>
      </c>
      <c r="E113" s="214" t="s">
        <v>360</v>
      </c>
      <c r="F113" s="220"/>
      <c r="G113" s="220"/>
      <c r="H113" s="220"/>
    </row>
    <row r="114" spans="1:12" s="286" customFormat="1" ht="15">
      <c r="A114" s="222" t="str">
        <f>cellformula(E114)</f>
        <v>=INDEX(C117:F136, MATCH(D114,B117:B136,0),2)</v>
      </c>
      <c r="B114" s="220"/>
      <c r="C114" s="220"/>
      <c r="D114" s="291">
        <v>14</v>
      </c>
      <c r="E114" s="288">
        <f>INDEX(C117:F136, MATCH(D114,B117:B136,0),2)</f>
        <v>22.3</v>
      </c>
      <c r="F114" s="220"/>
      <c r="G114" s="220"/>
      <c r="H114" s="220"/>
    </row>
    <row r="115" spans="1:12" s="286" customFormat="1" ht="15">
      <c r="A115" s="220"/>
      <c r="B115" s="220"/>
      <c r="C115" s="220"/>
      <c r="D115" s="220"/>
      <c r="E115" s="220"/>
      <c r="F115" s="220"/>
      <c r="G115" s="220"/>
      <c r="H115" s="220"/>
    </row>
    <row r="116" spans="1:12" s="11" customFormat="1">
      <c r="A116" s="26"/>
      <c r="B116" s="273" t="s">
        <v>359</v>
      </c>
      <c r="C116" s="273" t="s">
        <v>16</v>
      </c>
      <c r="D116" s="273" t="s">
        <v>360</v>
      </c>
      <c r="E116" s="273" t="s">
        <v>361</v>
      </c>
      <c r="F116" s="273" t="s">
        <v>362</v>
      </c>
      <c r="G116" s="273" t="s">
        <v>363</v>
      </c>
      <c r="H116" s="26"/>
      <c r="J116" s="278"/>
      <c r="K116" s="278"/>
      <c r="L116" s="278"/>
    </row>
    <row r="117" spans="1:12" s="11" customFormat="1">
      <c r="A117" s="26"/>
      <c r="B117" s="284">
        <v>1</v>
      </c>
      <c r="C117" s="285" t="s">
        <v>364</v>
      </c>
      <c r="D117" s="274">
        <v>107.9</v>
      </c>
      <c r="E117" s="275">
        <v>10000</v>
      </c>
      <c r="F117" s="274">
        <v>107.8</v>
      </c>
      <c r="G117" s="274">
        <v>108</v>
      </c>
      <c r="H117" s="26"/>
      <c r="J117" s="280"/>
      <c r="K117" s="279"/>
      <c r="L117" s="281"/>
    </row>
    <row r="118" spans="1:12" s="11" customFormat="1">
      <c r="A118" s="26"/>
      <c r="B118" s="282">
        <v>2</v>
      </c>
      <c r="C118" s="283" t="s">
        <v>365</v>
      </c>
      <c r="D118" s="276">
        <v>64.8</v>
      </c>
      <c r="E118" s="277">
        <v>8500</v>
      </c>
      <c r="F118" s="276">
        <v>64.75</v>
      </c>
      <c r="G118" s="276">
        <v>64.8</v>
      </c>
      <c r="H118" s="26"/>
      <c r="J118" s="280"/>
      <c r="K118" s="279"/>
      <c r="L118" s="281"/>
    </row>
    <row r="119" spans="1:12" s="11" customFormat="1">
      <c r="A119" s="26"/>
      <c r="B119" s="282">
        <v>10</v>
      </c>
      <c r="C119" s="283" t="s">
        <v>373</v>
      </c>
      <c r="D119" s="276">
        <v>34.549999999999997</v>
      </c>
      <c r="E119" s="277">
        <v>7000</v>
      </c>
      <c r="F119" s="276">
        <v>34.5</v>
      </c>
      <c r="G119" s="276">
        <v>34.549999999999997</v>
      </c>
      <c r="H119" s="26"/>
      <c r="J119" s="280"/>
      <c r="K119" s="279"/>
      <c r="L119" s="281"/>
    </row>
    <row r="120" spans="1:12" s="11" customFormat="1">
      <c r="A120" s="26"/>
      <c r="B120" s="284">
        <v>11</v>
      </c>
      <c r="C120" s="285" t="s">
        <v>374</v>
      </c>
      <c r="D120" s="274">
        <v>147.4</v>
      </c>
      <c r="E120" s="275">
        <v>4500</v>
      </c>
      <c r="F120" s="274">
        <v>147.4</v>
      </c>
      <c r="G120" s="274">
        <v>147.5</v>
      </c>
      <c r="H120" s="26"/>
      <c r="J120" s="280"/>
      <c r="K120" s="279"/>
      <c r="L120" s="281"/>
    </row>
    <row r="121" spans="1:12" s="11" customFormat="1">
      <c r="A121" s="26"/>
      <c r="B121" s="282">
        <v>12</v>
      </c>
      <c r="C121" s="283" t="s">
        <v>375</v>
      </c>
      <c r="D121" s="276">
        <v>46.35</v>
      </c>
      <c r="E121" s="277">
        <v>3000</v>
      </c>
      <c r="F121" s="276">
        <v>46.2</v>
      </c>
      <c r="G121" s="276">
        <v>46.35</v>
      </c>
      <c r="H121" s="26"/>
      <c r="J121" s="280"/>
      <c r="K121" s="279"/>
      <c r="L121" s="281"/>
    </row>
    <row r="122" spans="1:12" s="11" customFormat="1">
      <c r="A122" s="26"/>
      <c r="B122" s="284">
        <v>3</v>
      </c>
      <c r="C122" s="285" t="s">
        <v>366</v>
      </c>
      <c r="D122" s="274">
        <v>17.88</v>
      </c>
      <c r="E122" s="275">
        <v>8000</v>
      </c>
      <c r="F122" s="274">
        <v>17.86</v>
      </c>
      <c r="G122" s="274">
        <v>17.88</v>
      </c>
      <c r="H122" s="26"/>
      <c r="J122" s="280"/>
      <c r="K122" s="279"/>
      <c r="L122" s="281"/>
    </row>
    <row r="123" spans="1:12" s="11" customFormat="1">
      <c r="A123" s="26"/>
      <c r="B123" s="282">
        <v>6</v>
      </c>
      <c r="C123" s="283" t="s">
        <v>369</v>
      </c>
      <c r="D123" s="276">
        <v>46.35</v>
      </c>
      <c r="E123" s="277">
        <v>10000</v>
      </c>
      <c r="F123" s="276">
        <v>46.2</v>
      </c>
      <c r="G123" s="276">
        <v>46.35</v>
      </c>
      <c r="H123" s="26"/>
      <c r="J123" s="280"/>
      <c r="K123" s="279"/>
      <c r="L123" s="281"/>
    </row>
    <row r="124" spans="1:12" s="11" customFormat="1">
      <c r="A124" s="26"/>
      <c r="B124" s="284">
        <v>5</v>
      </c>
      <c r="C124" s="285" t="s">
        <v>368</v>
      </c>
      <c r="D124" s="274">
        <v>117.8</v>
      </c>
      <c r="E124" s="275">
        <v>62400</v>
      </c>
      <c r="F124" s="274">
        <v>117.7</v>
      </c>
      <c r="G124" s="274">
        <v>117.8</v>
      </c>
      <c r="H124" s="26"/>
      <c r="J124" s="280"/>
      <c r="K124" s="279"/>
      <c r="L124" s="281"/>
    </row>
    <row r="125" spans="1:12" s="11" customFormat="1">
      <c r="A125" s="26"/>
      <c r="B125" s="284">
        <v>13</v>
      </c>
      <c r="C125" s="285" t="s">
        <v>376</v>
      </c>
      <c r="D125" s="274">
        <v>80.900000000000006</v>
      </c>
      <c r="E125" s="275">
        <v>28000</v>
      </c>
      <c r="F125" s="274">
        <v>80.849999999999994</v>
      </c>
      <c r="G125" s="274">
        <v>80.95</v>
      </c>
      <c r="H125" s="26"/>
      <c r="J125" s="280"/>
      <c r="K125" s="279"/>
      <c r="L125" s="281"/>
    </row>
    <row r="126" spans="1:12">
      <c r="A126" s="26"/>
      <c r="B126" s="282">
        <v>14</v>
      </c>
      <c r="C126" s="283" t="s">
        <v>377</v>
      </c>
      <c r="D126" s="276">
        <v>22.3</v>
      </c>
      <c r="E126" s="277">
        <v>17000</v>
      </c>
      <c r="F126" s="276">
        <v>22.25</v>
      </c>
      <c r="G126" s="276">
        <v>22.35</v>
      </c>
      <c r="H126" s="26"/>
      <c r="J126" s="280"/>
      <c r="K126" s="279"/>
      <c r="L126" s="281"/>
    </row>
    <row r="127" spans="1:12">
      <c r="A127" s="26"/>
      <c r="B127" s="284">
        <v>7</v>
      </c>
      <c r="C127" s="285" t="s">
        <v>370</v>
      </c>
      <c r="D127" s="274">
        <v>1.34</v>
      </c>
      <c r="E127" s="275">
        <v>20000</v>
      </c>
      <c r="F127" s="274">
        <v>1.29</v>
      </c>
      <c r="G127" s="274">
        <v>1.37</v>
      </c>
      <c r="H127" s="26"/>
      <c r="J127" s="280"/>
      <c r="K127" s="279"/>
      <c r="L127" s="281"/>
    </row>
    <row r="128" spans="1:12">
      <c r="A128" s="26"/>
      <c r="B128" s="284">
        <v>9</v>
      </c>
      <c r="C128" s="285" t="s">
        <v>372</v>
      </c>
      <c r="D128" s="274">
        <v>0.26500000000000001</v>
      </c>
      <c r="E128" s="275">
        <v>2000</v>
      </c>
      <c r="F128" s="274">
        <v>0.26500000000000001</v>
      </c>
      <c r="G128" s="274">
        <v>0.29499999999999998</v>
      </c>
      <c r="H128" s="26"/>
      <c r="J128" s="280"/>
      <c r="K128" s="279"/>
      <c r="L128" s="281"/>
    </row>
    <row r="129" spans="1:12">
      <c r="A129" s="26"/>
      <c r="B129" s="284">
        <v>17</v>
      </c>
      <c r="C129" s="285" t="s">
        <v>380</v>
      </c>
      <c r="D129" s="274">
        <v>15.24</v>
      </c>
      <c r="E129" s="275">
        <v>13000</v>
      </c>
      <c r="F129" s="274">
        <v>15.22</v>
      </c>
      <c r="G129" s="274">
        <v>15.24</v>
      </c>
      <c r="H129" s="26"/>
      <c r="J129" s="280"/>
      <c r="K129" s="279"/>
      <c r="L129" s="281"/>
    </row>
    <row r="130" spans="1:12">
      <c r="A130" s="26"/>
      <c r="B130" s="282">
        <v>18</v>
      </c>
      <c r="C130" s="283" t="s">
        <v>381</v>
      </c>
      <c r="D130" s="276">
        <v>1.2</v>
      </c>
      <c r="E130" s="277">
        <v>40000</v>
      </c>
      <c r="F130" s="276">
        <v>1.2</v>
      </c>
      <c r="G130" s="276">
        <v>1.21</v>
      </c>
      <c r="H130" s="26"/>
      <c r="J130" s="280"/>
      <c r="K130" s="279"/>
      <c r="L130" s="281"/>
    </row>
    <row r="131" spans="1:12">
      <c r="A131" s="26"/>
      <c r="B131" s="282">
        <v>8</v>
      </c>
      <c r="C131" s="283" t="s">
        <v>371</v>
      </c>
      <c r="D131" s="276">
        <v>4.8899999999999997</v>
      </c>
      <c r="E131" s="277">
        <v>7000</v>
      </c>
      <c r="F131" s="276">
        <v>4.8899999999999997</v>
      </c>
      <c r="G131" s="276">
        <v>4.9000000000000004</v>
      </c>
      <c r="H131" s="26"/>
      <c r="J131" s="280"/>
      <c r="K131" s="279"/>
      <c r="L131" s="281"/>
    </row>
    <row r="132" spans="1:12">
      <c r="A132" s="26"/>
      <c r="B132" s="282">
        <v>16</v>
      </c>
      <c r="C132" s="283" t="s">
        <v>379</v>
      </c>
      <c r="D132" s="276">
        <v>113.6</v>
      </c>
      <c r="E132" s="277">
        <v>2000</v>
      </c>
      <c r="F132" s="276">
        <v>113.6</v>
      </c>
      <c r="G132" s="276">
        <v>113.7</v>
      </c>
      <c r="H132" s="26"/>
      <c r="J132" s="280"/>
      <c r="K132" s="279"/>
      <c r="L132" s="281"/>
    </row>
    <row r="133" spans="1:12">
      <c r="A133" s="26"/>
      <c r="B133" s="284">
        <v>19</v>
      </c>
      <c r="C133" s="285" t="s">
        <v>382</v>
      </c>
      <c r="D133" s="274">
        <v>79.5</v>
      </c>
      <c r="E133" s="275">
        <v>6500</v>
      </c>
      <c r="F133" s="274">
        <v>79.45</v>
      </c>
      <c r="G133" s="274">
        <v>79.599999999999994</v>
      </c>
      <c r="H133" s="26"/>
      <c r="J133" s="280"/>
      <c r="K133" s="279"/>
      <c r="L133" s="281"/>
    </row>
    <row r="134" spans="1:12">
      <c r="A134" s="26"/>
      <c r="B134" s="284">
        <v>15</v>
      </c>
      <c r="C134" s="285" t="s">
        <v>378</v>
      </c>
      <c r="D134" s="274">
        <v>0.74</v>
      </c>
      <c r="E134" s="275">
        <v>36000</v>
      </c>
      <c r="F134" s="274">
        <v>0.7</v>
      </c>
      <c r="G134" s="274">
        <v>0.74</v>
      </c>
      <c r="H134" s="26"/>
      <c r="J134" s="280"/>
      <c r="K134" s="279"/>
      <c r="L134" s="281"/>
    </row>
    <row r="135" spans="1:12">
      <c r="A135" s="26"/>
      <c r="B135" s="282">
        <v>4</v>
      </c>
      <c r="C135" s="283" t="s">
        <v>367</v>
      </c>
      <c r="D135" s="276">
        <v>32.85</v>
      </c>
      <c r="E135" s="277">
        <v>3000</v>
      </c>
      <c r="F135" s="276">
        <v>32.75</v>
      </c>
      <c r="G135" s="276">
        <v>32.9</v>
      </c>
      <c r="H135" s="26"/>
      <c r="J135" s="280"/>
      <c r="K135" s="279"/>
      <c r="L135" s="281"/>
    </row>
    <row r="136" spans="1:12">
      <c r="A136" s="26"/>
      <c r="B136" s="282">
        <v>20</v>
      </c>
      <c r="C136" s="283" t="s">
        <v>383</v>
      </c>
      <c r="D136" s="276">
        <v>20.05</v>
      </c>
      <c r="E136" s="277">
        <v>2000</v>
      </c>
      <c r="F136" s="276">
        <v>19.920000000000002</v>
      </c>
      <c r="G136" s="276">
        <v>20.05</v>
      </c>
      <c r="H136" s="26"/>
      <c r="J136" s="280"/>
      <c r="K136" s="279"/>
      <c r="L136" s="281"/>
    </row>
    <row r="137" spans="1:12">
      <c r="A137" s="26"/>
      <c r="B137" s="26"/>
      <c r="C137" s="26"/>
      <c r="D137" s="26"/>
      <c r="E137" s="26"/>
      <c r="F137" s="26"/>
      <c r="G137" s="26"/>
      <c r="H137" s="26"/>
    </row>
    <row r="140" spans="1:12" ht="18">
      <c r="A140" s="224" t="s">
        <v>486</v>
      </c>
      <c r="B140" s="225"/>
      <c r="C140" s="225"/>
      <c r="D140" s="225"/>
      <c r="E140" s="225"/>
      <c r="F140" s="225"/>
      <c r="G140" s="225"/>
      <c r="H140" s="225"/>
    </row>
    <row r="141" spans="1:12">
      <c r="A141" s="26"/>
      <c r="B141" s="26"/>
      <c r="C141" s="26"/>
      <c r="D141" s="26"/>
      <c r="E141" s="26"/>
      <c r="F141" s="26"/>
      <c r="G141" s="26"/>
      <c r="H141" s="26"/>
    </row>
    <row r="142" spans="1:12" ht="15.75">
      <c r="A142" s="219" t="s">
        <v>487</v>
      </c>
      <c r="B142" s="26"/>
      <c r="C142" s="26"/>
      <c r="D142" s="26"/>
      <c r="E142" s="26"/>
      <c r="F142" s="26"/>
      <c r="G142" s="26"/>
      <c r="H142" s="26"/>
    </row>
    <row r="143" spans="1:12">
      <c r="A143" s="26"/>
      <c r="B143" s="26"/>
      <c r="C143" s="26"/>
      <c r="D143" s="26"/>
      <c r="E143" s="26"/>
      <c r="F143" s="26"/>
      <c r="G143" s="26"/>
      <c r="H143" s="26"/>
    </row>
    <row r="144" spans="1:12">
      <c r="A144" s="88">
        <f t="array" ref="A144:B144">MMULT(D144:E144,G144:H145)</f>
        <v>5</v>
      </c>
      <c r="B144" s="88">
        <v>11</v>
      </c>
      <c r="C144" s="448" t="s">
        <v>489</v>
      </c>
      <c r="D144" s="116">
        <v>1</v>
      </c>
      <c r="E144" s="116">
        <v>2</v>
      </c>
      <c r="F144" s="448" t="s">
        <v>488</v>
      </c>
      <c r="G144" s="116">
        <v>1</v>
      </c>
      <c r="H144" s="116">
        <v>3</v>
      </c>
    </row>
    <row r="145" spans="1:8">
      <c r="A145" s="26"/>
      <c r="B145" s="26"/>
      <c r="C145" s="448"/>
      <c r="D145" s="26"/>
      <c r="E145" s="26"/>
      <c r="F145" s="26"/>
      <c r="G145" s="116">
        <v>2</v>
      </c>
      <c r="H145" s="116">
        <v>4</v>
      </c>
    </row>
    <row r="146" spans="1:8">
      <c r="A146" s="26"/>
      <c r="B146" s="26"/>
      <c r="C146" s="26"/>
      <c r="D146" s="26"/>
      <c r="E146" s="26"/>
      <c r="F146" s="26"/>
      <c r="G146" s="26"/>
      <c r="H146" s="26"/>
    </row>
    <row r="147" spans="1:8" ht="15.75">
      <c r="A147" s="219" t="s">
        <v>490</v>
      </c>
      <c r="B147" s="26"/>
      <c r="C147" s="26"/>
      <c r="D147" s="26"/>
      <c r="E147" s="26"/>
      <c r="F147" s="26"/>
      <c r="G147" s="26"/>
      <c r="H147" s="26"/>
    </row>
    <row r="148" spans="1:8">
      <c r="A148" s="26"/>
      <c r="B148" s="26"/>
      <c r="C148" s="26"/>
      <c r="D148" s="26"/>
      <c r="E148" s="26"/>
      <c r="F148" s="26"/>
      <c r="G148" s="26"/>
      <c r="H148" s="26"/>
    </row>
    <row r="149" spans="1:8">
      <c r="A149" s="88">
        <f t="array" ref="A149:B150">MINVERSE(D149:E150)</f>
        <v>-1.9999999999999998</v>
      </c>
      <c r="B149" s="88">
        <v>0.99999999999999989</v>
      </c>
      <c r="C149" s="448" t="s">
        <v>489</v>
      </c>
      <c r="D149" s="116">
        <v>1</v>
      </c>
      <c r="E149" s="116">
        <v>2</v>
      </c>
      <c r="F149" s="448">
        <v>-1</v>
      </c>
      <c r="G149" s="26"/>
      <c r="H149" s="26"/>
    </row>
    <row r="150" spans="1:8">
      <c r="A150" s="88">
        <v>1.4999999999999998</v>
      </c>
      <c r="B150" s="88">
        <v>-0.49999999999999989</v>
      </c>
      <c r="C150" s="26"/>
      <c r="D150" s="116">
        <v>3</v>
      </c>
      <c r="E150" s="116">
        <v>4</v>
      </c>
      <c r="F150" s="449"/>
      <c r="G150" s="26"/>
      <c r="H150" s="26"/>
    </row>
    <row r="151" spans="1:8">
      <c r="A151" s="26"/>
      <c r="B151" s="26"/>
      <c r="C151" s="26"/>
      <c r="D151" s="26"/>
      <c r="E151" s="26"/>
      <c r="F151" s="26"/>
      <c r="G151" s="26"/>
      <c r="H151" s="26"/>
    </row>
    <row r="152" spans="1:8">
      <c r="A152" s="26"/>
      <c r="B152" s="26"/>
      <c r="C152" s="26"/>
      <c r="D152" s="26"/>
      <c r="E152" s="26"/>
      <c r="F152" s="26"/>
      <c r="G152" s="26"/>
      <c r="H152" s="26"/>
    </row>
    <row r="153" spans="1:8" ht="15.75">
      <c r="A153" s="219" t="s">
        <v>491</v>
      </c>
      <c r="B153" s="26"/>
      <c r="C153" s="26"/>
      <c r="D153" s="26"/>
      <c r="E153" s="26"/>
      <c r="F153" s="26"/>
      <c r="G153" s="26"/>
      <c r="H153" s="26"/>
    </row>
    <row r="154" spans="1:8">
      <c r="A154" s="26"/>
      <c r="B154" s="26"/>
      <c r="C154" s="26"/>
      <c r="D154" s="26"/>
      <c r="E154" s="26"/>
      <c r="F154" s="26"/>
      <c r="G154" s="26"/>
      <c r="H154" s="26"/>
    </row>
    <row r="155" spans="1:8">
      <c r="A155" s="88">
        <f t="array" ref="A155:B156">TRANSPOSE(D155:E156)</f>
        <v>1</v>
      </c>
      <c r="B155" s="88">
        <v>3</v>
      </c>
      <c r="C155" s="448" t="s">
        <v>489</v>
      </c>
      <c r="D155" s="116">
        <v>1</v>
      </c>
      <c r="E155" s="116">
        <v>2</v>
      </c>
      <c r="F155" s="448" t="s">
        <v>492</v>
      </c>
      <c r="G155" s="26"/>
      <c r="H155" s="26"/>
    </row>
    <row r="156" spans="1:8">
      <c r="A156" s="88">
        <v>2</v>
      </c>
      <c r="B156" s="88">
        <v>4</v>
      </c>
      <c r="C156" s="26"/>
      <c r="D156" s="116">
        <v>3</v>
      </c>
      <c r="E156" s="116">
        <v>4</v>
      </c>
      <c r="F156" s="449"/>
      <c r="G156" s="26"/>
      <c r="H156" s="26"/>
    </row>
    <row r="157" spans="1:8">
      <c r="A157" s="26"/>
      <c r="B157" s="26"/>
      <c r="C157" s="26"/>
      <c r="D157" s="26"/>
      <c r="E157" s="26"/>
      <c r="F157" s="26"/>
      <c r="G157" s="26"/>
      <c r="H157" s="26"/>
    </row>
    <row r="158" spans="1:8">
      <c r="A158" s="11"/>
      <c r="B158" s="11"/>
      <c r="C158" s="11"/>
      <c r="D158" s="11"/>
      <c r="E158" s="11"/>
      <c r="F158" s="11"/>
      <c r="G158" s="11"/>
      <c r="H158" s="11"/>
    </row>
    <row r="159" spans="1:8">
      <c r="A159" s="11"/>
      <c r="B159" s="11"/>
      <c r="C159" s="11"/>
      <c r="D159" s="11"/>
      <c r="E159" s="11"/>
      <c r="F159" s="11"/>
      <c r="G159" s="11"/>
      <c r="H159" s="11"/>
    </row>
    <row r="160" spans="1:8">
      <c r="A160" s="11"/>
      <c r="B160" s="11"/>
      <c r="C160" s="11"/>
      <c r="D160" s="11"/>
      <c r="E160" s="11"/>
      <c r="F160" s="11"/>
      <c r="G160" s="11"/>
      <c r="H160" s="11"/>
    </row>
    <row r="161" spans="1:8">
      <c r="A161" s="11"/>
      <c r="B161" s="11"/>
      <c r="C161" s="11"/>
      <c r="D161" s="11"/>
      <c r="E161" s="11"/>
      <c r="F161" s="11"/>
      <c r="G161" s="11"/>
      <c r="H161" s="11"/>
    </row>
    <row r="162" spans="1:8">
      <c r="A162" s="11"/>
      <c r="B162" s="11"/>
      <c r="C162" s="11"/>
      <c r="D162" s="11"/>
      <c r="E162" s="11"/>
      <c r="F162" s="11"/>
      <c r="G162" s="11"/>
      <c r="H162" s="11"/>
    </row>
    <row r="163" spans="1:8">
      <c r="A163" s="11"/>
      <c r="B163" s="11"/>
      <c r="C163" s="11"/>
      <c r="D163" s="11"/>
      <c r="E163" s="11"/>
      <c r="F163" s="11"/>
      <c r="G163" s="11"/>
      <c r="H163" s="11"/>
    </row>
    <row r="164" spans="1:8">
      <c r="A164" s="11"/>
      <c r="B164" s="11"/>
      <c r="C164" s="11"/>
      <c r="D164" s="11"/>
      <c r="E164" s="11"/>
      <c r="F164" s="11"/>
      <c r="G164" s="11"/>
      <c r="H164" s="11"/>
    </row>
    <row r="165" spans="1:8">
      <c r="A165" s="11"/>
      <c r="B165" s="11"/>
      <c r="C165" s="11"/>
      <c r="D165" s="11"/>
      <c r="E165" s="11"/>
      <c r="F165" s="11"/>
      <c r="G165" s="11"/>
      <c r="H165" s="11"/>
    </row>
    <row r="166" spans="1:8">
      <c r="A166" s="11"/>
      <c r="B166" s="11"/>
      <c r="C166" s="11"/>
      <c r="D166" s="11"/>
      <c r="E166" s="11"/>
      <c r="F166" s="11"/>
      <c r="G166" s="11"/>
      <c r="H166" s="11"/>
    </row>
    <row r="167" spans="1:8">
      <c r="A167" s="11"/>
      <c r="B167" s="11"/>
      <c r="C167" s="11"/>
      <c r="D167" s="11"/>
      <c r="E167" s="11"/>
      <c r="F167" s="11"/>
      <c r="G167" s="11"/>
      <c r="H167" s="11"/>
    </row>
    <row r="168" spans="1:8">
      <c r="A168" s="11"/>
      <c r="B168" s="11"/>
      <c r="C168" s="11"/>
      <c r="D168" s="11"/>
      <c r="E168" s="11"/>
      <c r="F168" s="11"/>
      <c r="G168" s="11"/>
      <c r="H168" s="11"/>
    </row>
    <row r="169" spans="1:8">
      <c r="A169" s="11"/>
      <c r="B169" s="11"/>
      <c r="C169" s="11"/>
      <c r="D169" s="11"/>
      <c r="E169" s="11"/>
      <c r="F169" s="11"/>
      <c r="G169" s="11"/>
      <c r="H169" s="11"/>
    </row>
    <row r="170" spans="1:8">
      <c r="A170" s="11"/>
      <c r="B170" s="11"/>
      <c r="C170" s="11"/>
      <c r="D170" s="11"/>
      <c r="E170" s="11"/>
      <c r="F170" s="11"/>
      <c r="G170" s="11"/>
      <c r="H170" s="11"/>
    </row>
    <row r="171" spans="1:8">
      <c r="A171" s="11"/>
      <c r="B171" s="11"/>
      <c r="C171" s="11"/>
      <c r="D171" s="11"/>
      <c r="E171" s="11"/>
      <c r="F171" s="11"/>
      <c r="G171" s="11"/>
      <c r="H171" s="11"/>
    </row>
    <row r="172" spans="1:8">
      <c r="A172" s="11"/>
      <c r="B172" s="11"/>
      <c r="C172" s="11"/>
      <c r="D172" s="11"/>
      <c r="E172" s="11"/>
      <c r="F172" s="11"/>
      <c r="G172" s="11"/>
      <c r="H172" s="11"/>
    </row>
    <row r="173" spans="1:8">
      <c r="A173" s="11"/>
      <c r="B173" s="11"/>
      <c r="C173" s="11"/>
      <c r="D173" s="11"/>
      <c r="E173" s="11"/>
      <c r="F173" s="11"/>
      <c r="G173" s="11"/>
      <c r="H173" s="11"/>
    </row>
    <row r="174" spans="1:8">
      <c r="A174" s="11"/>
      <c r="B174" s="11"/>
      <c r="C174" s="11"/>
      <c r="D174" s="11"/>
      <c r="E174" s="11"/>
      <c r="F174" s="11"/>
      <c r="G174" s="11"/>
      <c r="H174" s="11"/>
    </row>
    <row r="175" spans="1:8">
      <c r="A175" s="11"/>
      <c r="B175" s="11"/>
      <c r="C175" s="11"/>
      <c r="D175" s="11"/>
      <c r="E175" s="11"/>
      <c r="F175" s="11"/>
      <c r="G175" s="11"/>
      <c r="H175" s="11"/>
    </row>
    <row r="176" spans="1:8">
      <c r="A176" s="11"/>
      <c r="B176" s="11"/>
      <c r="C176" s="11"/>
      <c r="D176" s="11"/>
      <c r="E176" s="11"/>
      <c r="F176" s="11"/>
      <c r="G176" s="11"/>
      <c r="H176" s="11"/>
    </row>
    <row r="177" spans="1:8">
      <c r="A177" s="11"/>
      <c r="B177" s="11"/>
      <c r="C177" s="11"/>
      <c r="D177" s="11"/>
      <c r="E177" s="11"/>
      <c r="F177" s="11"/>
      <c r="G177" s="11"/>
      <c r="H177" s="11"/>
    </row>
    <row r="178" spans="1:8">
      <c r="A178" s="11"/>
      <c r="B178" s="11"/>
      <c r="C178" s="11"/>
      <c r="D178" s="11"/>
      <c r="E178" s="11"/>
      <c r="F178" s="11"/>
      <c r="G178" s="11"/>
      <c r="H178" s="11"/>
    </row>
    <row r="179" spans="1:8">
      <c r="A179" s="11"/>
      <c r="B179" s="11"/>
      <c r="C179" s="11"/>
      <c r="D179" s="11"/>
      <c r="E179" s="11"/>
      <c r="F179" s="11"/>
      <c r="G179" s="11"/>
      <c r="H179" s="11"/>
    </row>
    <row r="180" spans="1:8">
      <c r="A180" s="11"/>
      <c r="B180" s="11"/>
      <c r="C180" s="11"/>
      <c r="D180" s="11"/>
      <c r="E180" s="11"/>
      <c r="F180" s="11"/>
      <c r="G180" s="11"/>
      <c r="H180" s="11"/>
    </row>
    <row r="181" spans="1:8">
      <c r="A181" s="11"/>
      <c r="B181" s="11"/>
      <c r="C181" s="11"/>
      <c r="D181" s="11"/>
      <c r="E181" s="11"/>
      <c r="F181" s="11"/>
      <c r="G181" s="11"/>
      <c r="H181" s="11"/>
    </row>
    <row r="182" spans="1:8">
      <c r="A182" s="11"/>
      <c r="B182" s="11"/>
      <c r="C182" s="11"/>
      <c r="D182" s="11"/>
      <c r="E182" s="11"/>
      <c r="F182" s="11"/>
      <c r="G182" s="11"/>
      <c r="H182" s="11"/>
    </row>
    <row r="183" spans="1:8">
      <c r="A183" s="11"/>
      <c r="B183" s="11"/>
      <c r="C183" s="11"/>
      <c r="D183" s="11"/>
      <c r="E183" s="11"/>
      <c r="F183" s="11"/>
      <c r="G183" s="11"/>
      <c r="H183" s="11"/>
    </row>
    <row r="184" spans="1:8">
      <c r="A184" s="11"/>
      <c r="B184" s="11"/>
      <c r="C184" s="11"/>
      <c r="D184" s="11"/>
      <c r="E184" s="11"/>
      <c r="F184" s="11"/>
      <c r="G184" s="11"/>
      <c r="H184" s="11"/>
    </row>
    <row r="185" spans="1:8">
      <c r="A185" s="11"/>
      <c r="B185" s="11"/>
      <c r="C185" s="11"/>
      <c r="D185" s="11"/>
      <c r="E185" s="11"/>
      <c r="F185" s="11"/>
      <c r="G185" s="11"/>
      <c r="H185" s="11"/>
    </row>
    <row r="186" spans="1:8">
      <c r="A186" s="11"/>
      <c r="B186" s="11"/>
      <c r="C186" s="11"/>
      <c r="D186" s="11"/>
      <c r="E186" s="11"/>
      <c r="F186" s="11"/>
      <c r="G186" s="11"/>
      <c r="H186" s="11"/>
    </row>
    <row r="187" spans="1:8">
      <c r="A187" s="11"/>
      <c r="B187" s="11"/>
      <c r="C187" s="11"/>
      <c r="D187" s="11"/>
      <c r="E187" s="11"/>
      <c r="F187" s="11"/>
      <c r="G187" s="11"/>
      <c r="H187" s="11"/>
    </row>
    <row r="188" spans="1:8">
      <c r="A188" s="11"/>
      <c r="B188" s="11"/>
      <c r="C188" s="11"/>
      <c r="D188" s="11"/>
      <c r="E188" s="11"/>
      <c r="F188" s="11"/>
      <c r="G188" s="11"/>
      <c r="H188" s="11"/>
    </row>
  </sheetData>
  <mergeCells count="2">
    <mergeCell ref="A27:B27"/>
    <mergeCell ref="B76:C76"/>
  </mergeCells>
  <phoneticPr fontId="20" type="noConversion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ignoredErrors>
    <ignoredError sqref="G19" formula="1"/>
  </ignoredErrors>
  <legacyDrawing r:id="rId2"/>
  <controls>
    <control shapeId="5129" r:id="rId3" name="Control 9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L73"/>
  <sheetViews>
    <sheetView showGridLines="0" topLeftCell="A55" workbookViewId="0"/>
  </sheetViews>
  <sheetFormatPr defaultColWidth="9.7109375" defaultRowHeight="12.75"/>
  <cols>
    <col min="1" max="1" width="29.42578125" customWidth="1"/>
    <col min="2" max="2" width="18.42578125" customWidth="1"/>
    <col min="3" max="3" width="15.85546875" bestFit="1" customWidth="1"/>
    <col min="4" max="4" width="13.42578125" customWidth="1"/>
    <col min="5" max="5" width="13.5703125" bestFit="1" customWidth="1"/>
    <col min="6" max="8" width="12.85546875" bestFit="1" customWidth="1"/>
    <col min="9" max="9" width="10.7109375" customWidth="1"/>
    <col min="10" max="10" width="11.42578125" customWidth="1"/>
    <col min="11" max="11" width="12.5703125" customWidth="1"/>
  </cols>
  <sheetData>
    <row r="1" spans="1:12" ht="27.75">
      <c r="A1" s="59" t="s">
        <v>356</v>
      </c>
      <c r="B1" s="59"/>
      <c r="C1" s="216"/>
      <c r="D1" s="216"/>
      <c r="E1" s="216"/>
      <c r="F1" s="216"/>
      <c r="G1" s="216"/>
      <c r="H1" s="216"/>
      <c r="I1" s="216"/>
      <c r="J1" s="217"/>
      <c r="K1" s="217"/>
      <c r="L1" s="217"/>
    </row>
    <row r="2" spans="1:12" s="4" customFormat="1" ht="15"/>
    <row r="3" spans="1:12" s="4" customFormat="1" ht="18">
      <c r="A3" s="224" t="s">
        <v>264</v>
      </c>
      <c r="B3" s="254"/>
      <c r="C3" s="254"/>
      <c r="D3" s="254"/>
      <c r="E3" s="254"/>
      <c r="F3" s="254"/>
      <c r="G3" s="254"/>
      <c r="H3" s="254"/>
      <c r="I3" s="254"/>
    </row>
    <row r="4" spans="1:12" s="4" customFormat="1" ht="15">
      <c r="A4" s="228"/>
      <c r="B4" s="228"/>
      <c r="C4" s="228"/>
      <c r="D4" s="228"/>
      <c r="E4" s="228"/>
      <c r="F4" s="228"/>
      <c r="G4" s="228"/>
      <c r="H4" s="228"/>
      <c r="I4" s="228"/>
    </row>
    <row r="5" spans="1:12" s="4" customFormat="1" ht="15">
      <c r="A5" s="228" t="s">
        <v>266</v>
      </c>
      <c r="B5" s="228" t="s">
        <v>268</v>
      </c>
      <c r="C5" s="228"/>
      <c r="D5" s="228"/>
      <c r="E5" s="228"/>
      <c r="F5" s="228"/>
      <c r="G5" s="228"/>
      <c r="H5" s="228"/>
      <c r="I5" s="228"/>
    </row>
    <row r="6" spans="1:12" s="4" customFormat="1" ht="15">
      <c r="A6" s="228" t="s">
        <v>267</v>
      </c>
      <c r="B6" s="228" t="s">
        <v>269</v>
      </c>
      <c r="C6" s="228"/>
      <c r="D6" s="228"/>
      <c r="E6" s="228"/>
      <c r="F6" s="228"/>
      <c r="G6" s="228"/>
      <c r="H6" s="228"/>
      <c r="I6" s="228"/>
    </row>
    <row r="7" spans="1:12" s="4" customFormat="1" ht="15">
      <c r="A7" s="228" t="s">
        <v>270</v>
      </c>
      <c r="B7" s="228" t="s">
        <v>271</v>
      </c>
      <c r="C7" s="228"/>
      <c r="D7" s="228"/>
      <c r="E7" s="228"/>
      <c r="F7" s="228"/>
      <c r="G7" s="228"/>
      <c r="H7" s="228"/>
      <c r="I7" s="228"/>
    </row>
    <row r="8" spans="1:12" s="4" customFormat="1" ht="15">
      <c r="A8" s="228" t="s">
        <v>193</v>
      </c>
      <c r="B8" s="228" t="s">
        <v>272</v>
      </c>
      <c r="C8" s="228"/>
      <c r="D8" s="228"/>
      <c r="E8" s="228"/>
      <c r="F8" s="228"/>
      <c r="G8" s="228"/>
      <c r="H8" s="228"/>
      <c r="I8" s="228"/>
    </row>
    <row r="9" spans="1:12" s="4" customFormat="1" ht="15"/>
    <row r="10" spans="1:12" s="4" customFormat="1" ht="15">
      <c r="A10" s="255"/>
      <c r="B10" s="255"/>
      <c r="C10" s="255"/>
      <c r="D10" s="255"/>
      <c r="E10" s="255"/>
      <c r="F10" s="255"/>
      <c r="G10" s="255"/>
      <c r="H10" s="255"/>
      <c r="I10" s="255"/>
    </row>
    <row r="11" spans="1:12" s="4" customFormat="1" ht="15.75">
      <c r="A11" s="219" t="s">
        <v>265</v>
      </c>
      <c r="B11" s="228"/>
      <c r="C11" s="228"/>
      <c r="D11" s="228"/>
      <c r="E11" s="228"/>
      <c r="F11" s="228"/>
      <c r="G11" s="228"/>
      <c r="H11" s="228"/>
      <c r="I11" s="256"/>
    </row>
    <row r="12" spans="1:12" s="4" customFormat="1" ht="15.75">
      <c r="A12" s="228"/>
      <c r="B12" s="228"/>
      <c r="C12" s="472" t="s">
        <v>207</v>
      </c>
      <c r="D12" s="472"/>
      <c r="E12" s="472"/>
      <c r="F12" s="472"/>
      <c r="G12" s="472"/>
      <c r="H12" s="472"/>
      <c r="I12" s="85"/>
    </row>
    <row r="13" spans="1:12" s="4" customFormat="1" ht="15">
      <c r="A13" s="222" t="str">
        <f>cellformula(B13)</f>
        <v>=PV(3%,5,5000,,0)</v>
      </c>
      <c r="B13" s="257">
        <f>PV(3%,5,5000,,0)</f>
        <v>-22898.535935972654</v>
      </c>
      <c r="C13" s="258">
        <f ca="1">TODAY()</f>
        <v>40592</v>
      </c>
      <c r="D13" s="258">
        <f ca="1">DATE(YEAR(C13)+1,MONTH(C13),DAY(C13))</f>
        <v>40957</v>
      </c>
      <c r="E13" s="258">
        <f ca="1">DATE(YEAR(D13)+1,MONTH(D13),DAY(D13))</f>
        <v>41323</v>
      </c>
      <c r="F13" s="258">
        <f ca="1">DATE(YEAR(E13)+1,MONTH(E13),DAY(E13))</f>
        <v>41688</v>
      </c>
      <c r="G13" s="258">
        <f ca="1">DATE(YEAR(F13)+1,MONTH(F13),DAY(F13))</f>
        <v>42053</v>
      </c>
      <c r="H13" s="258">
        <f ca="1">DATE(YEAR(G13)+1,MONTH(G13),DAY(G13))</f>
        <v>42418</v>
      </c>
      <c r="I13" s="85"/>
    </row>
    <row r="14" spans="1:12" s="4" customFormat="1" ht="15">
      <c r="A14" s="228"/>
      <c r="B14" s="259"/>
      <c r="C14" s="260"/>
      <c r="D14" s="261">
        <v>-5000</v>
      </c>
      <c r="E14" s="261">
        <v>-5000</v>
      </c>
      <c r="F14" s="261">
        <v>-5000</v>
      </c>
      <c r="G14" s="261">
        <v>-5000</v>
      </c>
      <c r="H14" s="261">
        <v>-5000</v>
      </c>
      <c r="I14" s="85"/>
    </row>
    <row r="15" spans="1:12" s="4" customFormat="1" ht="15">
      <c r="A15" s="228"/>
      <c r="B15" s="228"/>
      <c r="C15" s="228"/>
      <c r="D15" s="228"/>
      <c r="E15" s="228"/>
      <c r="F15" s="228"/>
      <c r="G15" s="228"/>
      <c r="H15" s="228"/>
      <c r="I15" s="85"/>
    </row>
    <row r="16" spans="1:12" s="4" customFormat="1" ht="15.75">
      <c r="A16" s="221" t="s">
        <v>276</v>
      </c>
      <c r="B16" s="228"/>
      <c r="C16" s="228"/>
      <c r="D16" s="228"/>
      <c r="E16" s="228"/>
      <c r="F16" s="228"/>
      <c r="G16" s="228"/>
      <c r="H16" s="228"/>
      <c r="I16" s="85"/>
    </row>
    <row r="17" spans="1:9" s="4" customFormat="1" ht="15">
      <c r="A17" s="78"/>
      <c r="B17" s="78"/>
      <c r="C17" s="78"/>
      <c r="D17" s="78"/>
      <c r="E17" s="78"/>
      <c r="F17" s="78"/>
      <c r="G17" s="78"/>
      <c r="H17" s="78"/>
      <c r="I17" s="86"/>
    </row>
    <row r="18" spans="1:9" s="4" customFormat="1" ht="15">
      <c r="A18" s="262"/>
      <c r="B18" s="262"/>
      <c r="C18" s="262"/>
      <c r="D18" s="262"/>
      <c r="E18" s="262"/>
      <c r="F18" s="262"/>
      <c r="G18" s="262"/>
      <c r="H18" s="262"/>
      <c r="I18" s="262"/>
    </row>
    <row r="19" spans="1:9" s="4" customFormat="1" ht="15.75">
      <c r="A19" s="219" t="s">
        <v>277</v>
      </c>
      <c r="B19" s="228"/>
      <c r="C19" s="228"/>
      <c r="D19" s="228"/>
      <c r="E19" s="228"/>
      <c r="F19" s="228"/>
      <c r="G19" s="228"/>
      <c r="H19" s="228"/>
      <c r="I19" s="256"/>
    </row>
    <row r="20" spans="1:9" s="4" customFormat="1" ht="15.75">
      <c r="A20" s="228"/>
      <c r="B20" s="228"/>
      <c r="C20" s="472" t="s">
        <v>207</v>
      </c>
      <c r="D20" s="472"/>
      <c r="E20" s="472"/>
      <c r="F20" s="472"/>
      <c r="G20" s="472"/>
      <c r="H20" s="472"/>
      <c r="I20" s="85"/>
    </row>
    <row r="21" spans="1:9" ht="15">
      <c r="A21" s="222" t="str">
        <f>cellformula(B21)</f>
        <v>=FV(3%,5,5000,,0)</v>
      </c>
      <c r="B21" s="257">
        <f>FV(3%,5,5000,,0)</f>
        <v>-26545.679049999977</v>
      </c>
      <c r="C21" s="258">
        <f ca="1">TODAY()</f>
        <v>40592</v>
      </c>
      <c r="D21" s="258">
        <f ca="1">DATE(YEAR(C21)+1,MONTH(C21),DAY(C21))</f>
        <v>40957</v>
      </c>
      <c r="E21" s="258">
        <f ca="1">DATE(YEAR(D21)+1,MONTH(D21),DAY(D21))</f>
        <v>41323</v>
      </c>
      <c r="F21" s="258">
        <f ca="1">DATE(YEAR(E21)+1,MONTH(E21),DAY(E21))</f>
        <v>41688</v>
      </c>
      <c r="G21" s="258">
        <f ca="1">DATE(YEAR(F21)+1,MONTH(F21),DAY(F21))</f>
        <v>42053</v>
      </c>
      <c r="H21" s="258">
        <f ca="1">DATE(YEAR(G21)+1,MONTH(G21),DAY(G21))</f>
        <v>42418</v>
      </c>
      <c r="I21" s="19"/>
    </row>
    <row r="22" spans="1:9" ht="15">
      <c r="A22" s="228"/>
      <c r="B22" s="259"/>
      <c r="C22" s="260"/>
      <c r="D22" s="261">
        <v>-5000</v>
      </c>
      <c r="E22" s="261">
        <v>-5000</v>
      </c>
      <c r="F22" s="261">
        <v>-5000</v>
      </c>
      <c r="G22" s="261">
        <v>-5000</v>
      </c>
      <c r="H22" s="261">
        <v>-5000</v>
      </c>
      <c r="I22" s="19"/>
    </row>
    <row r="23" spans="1:9" ht="15">
      <c r="A23" s="228"/>
      <c r="B23" s="228"/>
      <c r="C23" s="228"/>
      <c r="D23" s="228"/>
      <c r="E23" s="228"/>
      <c r="F23" s="228"/>
      <c r="G23" s="228"/>
      <c r="H23" s="228"/>
      <c r="I23" s="19"/>
    </row>
    <row r="24" spans="1:9" ht="15.75">
      <c r="A24" s="221" t="s">
        <v>275</v>
      </c>
      <c r="B24" s="228"/>
      <c r="C24" s="228"/>
      <c r="D24" s="228"/>
      <c r="E24" s="228"/>
      <c r="F24" s="228"/>
      <c r="G24" s="228"/>
      <c r="H24" s="228"/>
      <c r="I24" s="19"/>
    </row>
    <row r="25" spans="1:9">
      <c r="A25" s="21"/>
      <c r="B25" s="21"/>
      <c r="C25" s="21"/>
      <c r="D25" s="21"/>
      <c r="E25" s="21"/>
      <c r="F25" s="21"/>
      <c r="G25" s="21"/>
      <c r="H25" s="21"/>
      <c r="I25" s="22"/>
    </row>
    <row r="26" spans="1:9">
      <c r="A26" s="223"/>
      <c r="B26" s="223"/>
      <c r="C26" s="223"/>
      <c r="D26" s="223"/>
      <c r="E26" s="223"/>
      <c r="F26" s="223"/>
      <c r="G26" s="223"/>
      <c r="H26" s="223"/>
    </row>
    <row r="27" spans="1:9" ht="15.75">
      <c r="A27" s="219" t="s">
        <v>278</v>
      </c>
      <c r="B27" s="228"/>
      <c r="C27" s="228"/>
      <c r="D27" s="228"/>
      <c r="E27" s="228"/>
      <c r="F27" s="228"/>
      <c r="G27" s="228"/>
      <c r="H27" s="228"/>
      <c r="I27" s="256"/>
    </row>
    <row r="28" spans="1:9" ht="15.75">
      <c r="A28" s="228"/>
      <c r="B28" s="228"/>
      <c r="C28" s="472" t="s">
        <v>207</v>
      </c>
      <c r="D28" s="472"/>
      <c r="E28" s="472"/>
      <c r="F28" s="472"/>
      <c r="G28" s="472"/>
      <c r="H28" s="472"/>
      <c r="I28" s="85"/>
    </row>
    <row r="29" spans="1:9" ht="15">
      <c r="A29" s="222" t="str">
        <f>cellformula(B29)</f>
        <v>=PMT(3%,5,10000,,0)</v>
      </c>
      <c r="B29" s="257">
        <f>PMT(3%,5,10000,,0)</f>
        <v>-2183.545714005762</v>
      </c>
      <c r="C29" s="258">
        <f ca="1">TODAY()</f>
        <v>40592</v>
      </c>
      <c r="D29" s="258">
        <f ca="1">DATE(YEAR(C29)+1,MONTH(C29),DAY(C29))</f>
        <v>40957</v>
      </c>
      <c r="E29" s="258">
        <f ca="1">DATE(YEAR(D29)+1,MONTH(D29),DAY(D29))</f>
        <v>41323</v>
      </c>
      <c r="F29" s="258">
        <f ca="1">DATE(YEAR(E29)+1,MONTH(E29),DAY(E29))</f>
        <v>41688</v>
      </c>
      <c r="G29" s="258">
        <f ca="1">DATE(YEAR(F29)+1,MONTH(F29),DAY(F29))</f>
        <v>42053</v>
      </c>
      <c r="H29" s="258">
        <f ca="1">DATE(YEAR(G29)+1,MONTH(G29),DAY(G29))</f>
        <v>42418</v>
      </c>
      <c r="I29" s="19"/>
    </row>
    <row r="30" spans="1:9" ht="15">
      <c r="A30" s="228"/>
      <c r="B30" s="259"/>
      <c r="C30" s="260"/>
      <c r="D30" s="261">
        <f>B29</f>
        <v>-2183.545714005762</v>
      </c>
      <c r="E30" s="261">
        <v>-2183.545714005762</v>
      </c>
      <c r="F30" s="261">
        <v>-2183.545714005762</v>
      </c>
      <c r="G30" s="261">
        <v>-2183.545714005762</v>
      </c>
      <c r="H30" s="261">
        <v>-2183.545714005762</v>
      </c>
      <c r="I30" s="19"/>
    </row>
    <row r="31" spans="1:9" ht="15">
      <c r="A31" s="228"/>
      <c r="B31" s="228"/>
      <c r="C31" s="228"/>
      <c r="D31" s="228"/>
      <c r="E31" s="228"/>
      <c r="F31" s="228"/>
      <c r="G31" s="228"/>
      <c r="H31" s="228"/>
      <c r="I31" s="19"/>
    </row>
    <row r="32" spans="1:9" ht="15.75">
      <c r="A32" s="221" t="s">
        <v>281</v>
      </c>
      <c r="B32" s="228"/>
      <c r="C32" s="228"/>
      <c r="D32" s="228"/>
      <c r="E32" s="228"/>
      <c r="F32" s="228"/>
      <c r="G32" s="228"/>
      <c r="H32" s="228"/>
      <c r="I32" s="19"/>
    </row>
    <row r="33" spans="1:9">
      <c r="A33" s="21"/>
      <c r="B33" s="21"/>
      <c r="C33" s="21"/>
      <c r="D33" s="21"/>
      <c r="E33" s="21"/>
      <c r="F33" s="21"/>
      <c r="G33" s="21"/>
      <c r="H33" s="21"/>
      <c r="I33" s="22"/>
    </row>
    <row r="34" spans="1:9">
      <c r="A34" s="223"/>
      <c r="B34" s="223"/>
      <c r="C34" s="223"/>
      <c r="D34" s="223"/>
      <c r="E34" s="223"/>
      <c r="F34" s="223"/>
      <c r="G34" s="223"/>
      <c r="H34" s="223"/>
    </row>
    <row r="35" spans="1:9" ht="15.75">
      <c r="A35" s="219" t="s">
        <v>279</v>
      </c>
      <c r="B35" s="228"/>
      <c r="C35" s="228"/>
      <c r="D35" s="228"/>
      <c r="E35" s="228"/>
      <c r="F35" s="228"/>
      <c r="G35" s="228"/>
      <c r="H35" s="228"/>
      <c r="I35" s="256"/>
    </row>
    <row r="36" spans="1:9" ht="15.75">
      <c r="A36" s="228"/>
      <c r="B36" s="228"/>
      <c r="C36" s="473" t="s">
        <v>207</v>
      </c>
      <c r="D36" s="474"/>
      <c r="E36" s="474"/>
      <c r="F36" s="474"/>
      <c r="G36" s="474"/>
      <c r="H36" s="475"/>
      <c r="I36" s="85"/>
    </row>
    <row r="37" spans="1:9" ht="15">
      <c r="A37" s="222" t="str">
        <f>cellformula(B37)</f>
        <v>=RATE(5, B29, 10000)</v>
      </c>
      <c r="B37" s="263">
        <f>RATE(5, B29, 10000)</f>
        <v>3.0000000000000117E-2</v>
      </c>
      <c r="C37" s="258">
        <f ca="1">TODAY()</f>
        <v>40592</v>
      </c>
      <c r="D37" s="258">
        <f ca="1">DATE(YEAR(C37)+1,MONTH(C37),DAY(C37))</f>
        <v>40957</v>
      </c>
      <c r="E37" s="258">
        <f ca="1">DATE(YEAR(D37)+1,MONTH(D37),DAY(D37))</f>
        <v>41323</v>
      </c>
      <c r="F37" s="258">
        <f ca="1">DATE(YEAR(E37)+1,MONTH(E37),DAY(E37))</f>
        <v>41688</v>
      </c>
      <c r="G37" s="258">
        <f ca="1">DATE(YEAR(F37)+1,MONTH(F37),DAY(F37))</f>
        <v>42053</v>
      </c>
      <c r="H37" s="258">
        <f ca="1">DATE(YEAR(G37)+1,MONTH(G37),DAY(G37))</f>
        <v>42418</v>
      </c>
      <c r="I37" s="19"/>
    </row>
    <row r="38" spans="1:9" ht="15">
      <c r="A38" s="228"/>
      <c r="B38" s="259"/>
      <c r="C38" s="260"/>
      <c r="D38" s="261">
        <v>-2183.545714005762</v>
      </c>
      <c r="E38" s="261">
        <v>-2183.545714005762</v>
      </c>
      <c r="F38" s="261">
        <v>-2183.545714005762</v>
      </c>
      <c r="G38" s="261">
        <v>-2183.545714005762</v>
      </c>
      <c r="H38" s="261">
        <v>-2183.545714005762</v>
      </c>
      <c r="I38" s="19"/>
    </row>
    <row r="39" spans="1:9" ht="15">
      <c r="A39" s="228"/>
      <c r="B39" s="228"/>
      <c r="C39" s="228"/>
      <c r="D39" s="228"/>
      <c r="E39" s="228"/>
      <c r="F39" s="228"/>
      <c r="G39" s="228"/>
      <c r="H39" s="228"/>
      <c r="I39" s="19"/>
    </row>
    <row r="40" spans="1:9" ht="15.75">
      <c r="A40" s="221" t="s">
        <v>282</v>
      </c>
      <c r="B40" s="228"/>
      <c r="C40" s="228"/>
      <c r="D40" s="228"/>
      <c r="E40" s="228"/>
      <c r="F40" s="228"/>
      <c r="G40" s="228"/>
      <c r="H40" s="228"/>
      <c r="I40" s="19"/>
    </row>
    <row r="41" spans="1:9">
      <c r="A41" s="21"/>
      <c r="B41" s="21"/>
      <c r="C41" s="21"/>
      <c r="D41" s="21"/>
      <c r="E41" s="21"/>
      <c r="F41" s="21"/>
      <c r="G41" s="21"/>
      <c r="H41" s="21"/>
      <c r="I41" s="22"/>
    </row>
    <row r="42" spans="1:9">
      <c r="A42" s="223"/>
      <c r="B42" s="223"/>
      <c r="C42" s="223"/>
      <c r="D42" s="223"/>
      <c r="E42" s="223"/>
      <c r="F42" s="223"/>
      <c r="G42" s="223"/>
      <c r="H42" s="223"/>
    </row>
    <row r="43" spans="1:9" ht="15.75">
      <c r="A43" s="219" t="s">
        <v>280</v>
      </c>
      <c r="B43" s="228"/>
      <c r="C43" s="228"/>
      <c r="D43" s="228"/>
      <c r="E43" s="228"/>
      <c r="F43" s="228"/>
      <c r="G43" s="228"/>
      <c r="H43" s="228"/>
      <c r="I43" s="256"/>
    </row>
    <row r="44" spans="1:9" ht="15.75">
      <c r="A44" s="228"/>
      <c r="B44" s="228"/>
      <c r="C44" s="473" t="s">
        <v>207</v>
      </c>
      <c r="D44" s="474"/>
      <c r="E44" s="474"/>
      <c r="F44" s="474"/>
      <c r="G44" s="474"/>
      <c r="H44" s="475"/>
      <c r="I44" s="85"/>
    </row>
    <row r="45" spans="1:9" ht="15">
      <c r="A45" s="222" t="str">
        <f>cellformula(B45)</f>
        <v>=NPER(3%, -5000,, -B21,0)</v>
      </c>
      <c r="B45" s="264">
        <f>NPER(3%, -5000,, -B21,0)</f>
        <v>4.9999999999999911</v>
      </c>
      <c r="C45" s="258">
        <f ca="1">TODAY()</f>
        <v>40592</v>
      </c>
      <c r="D45" s="258">
        <f ca="1">DATE(YEAR(C45)+1,MONTH(C45),DAY(C45))</f>
        <v>40957</v>
      </c>
      <c r="E45" s="258">
        <f ca="1">DATE(YEAR(D45)+1,MONTH(D45),DAY(D45))</f>
        <v>41323</v>
      </c>
      <c r="F45" s="258">
        <f ca="1">DATE(YEAR(E45)+1,MONTH(E45),DAY(E45))</f>
        <v>41688</v>
      </c>
      <c r="G45" s="258">
        <f ca="1">DATE(YEAR(F45)+1,MONTH(F45),DAY(F45))</f>
        <v>42053</v>
      </c>
      <c r="H45" s="258">
        <f ca="1">DATE(YEAR(G45)+1,MONTH(G45),DAY(G45))</f>
        <v>42418</v>
      </c>
      <c r="I45" s="19"/>
    </row>
    <row r="46" spans="1:9" ht="15">
      <c r="A46" s="228"/>
      <c r="B46" s="259"/>
      <c r="C46" s="260"/>
      <c r="D46" s="261">
        <v>-5000</v>
      </c>
      <c r="E46" s="261">
        <v>-5000</v>
      </c>
      <c r="F46" s="261">
        <v>-5000</v>
      </c>
      <c r="G46" s="261">
        <v>-5000</v>
      </c>
      <c r="H46" s="261">
        <v>-5000</v>
      </c>
      <c r="I46" s="19"/>
    </row>
    <row r="47" spans="1:9" ht="15">
      <c r="A47" s="228"/>
      <c r="B47" s="228"/>
      <c r="C47" s="228"/>
      <c r="D47" s="228"/>
      <c r="E47" s="228"/>
      <c r="F47" s="228"/>
      <c r="G47" s="228"/>
      <c r="H47" s="228"/>
      <c r="I47" s="19"/>
    </row>
    <row r="48" spans="1:9" ht="15.75">
      <c r="A48" s="221" t="s">
        <v>283</v>
      </c>
      <c r="B48" s="228"/>
      <c r="C48" s="228"/>
      <c r="D48" s="228"/>
      <c r="E48" s="228"/>
      <c r="F48" s="228"/>
      <c r="G48" s="228"/>
      <c r="H48" s="228"/>
      <c r="I48" s="19"/>
    </row>
    <row r="49" spans="1:9">
      <c r="A49" s="21"/>
      <c r="B49" s="21"/>
      <c r="C49" s="21"/>
      <c r="D49" s="21"/>
      <c r="E49" s="21"/>
      <c r="F49" s="21"/>
      <c r="G49" s="21"/>
      <c r="H49" s="21"/>
      <c r="I49" s="22"/>
    </row>
    <row r="53" spans="1:9" ht="18">
      <c r="A53" s="224" t="s">
        <v>357</v>
      </c>
      <c r="B53" s="226"/>
      <c r="C53" s="226"/>
      <c r="D53" s="226"/>
      <c r="E53" s="226"/>
      <c r="F53" s="226"/>
      <c r="G53" s="226"/>
      <c r="H53" s="226"/>
      <c r="I53" s="226"/>
    </row>
    <row r="55" spans="1:9" ht="15">
      <c r="A55" s="255"/>
      <c r="B55" s="255"/>
      <c r="C55" s="255"/>
      <c r="D55" s="255"/>
      <c r="E55" s="255"/>
      <c r="F55" s="255"/>
      <c r="G55" s="255"/>
      <c r="H55" s="255"/>
      <c r="I55" s="255"/>
    </row>
    <row r="56" spans="1:9" ht="15.75">
      <c r="A56" s="219" t="s">
        <v>284</v>
      </c>
      <c r="B56" s="228"/>
      <c r="C56" s="228"/>
      <c r="D56" s="228"/>
      <c r="E56" s="228"/>
      <c r="F56" s="228"/>
      <c r="G56" s="228"/>
      <c r="H56" s="228"/>
      <c r="I56" s="256"/>
    </row>
    <row r="57" spans="1:9" ht="15.75">
      <c r="A57" s="228"/>
      <c r="B57" s="228"/>
      <c r="C57" s="472" t="s">
        <v>207</v>
      </c>
      <c r="D57" s="472"/>
      <c r="E57" s="472"/>
      <c r="F57" s="472"/>
      <c r="G57" s="472"/>
      <c r="H57" s="472"/>
      <c r="I57" s="85"/>
    </row>
    <row r="58" spans="1:9" ht="15">
      <c r="A58" s="222" t="str">
        <f>cellformula(B58)</f>
        <v>=NPV(3%, D59:H59)</v>
      </c>
      <c r="B58" s="257">
        <f>NPV(3%, D59:H59)</f>
        <v>31787.311445096464</v>
      </c>
      <c r="C58" s="258">
        <f ca="1">TODAY()</f>
        <v>40592</v>
      </c>
      <c r="D58" s="258">
        <f ca="1">DATE(YEAR(C58)+1,MONTH(C58),DAY(C58))</f>
        <v>40957</v>
      </c>
      <c r="E58" s="258">
        <f ca="1">DATE(YEAR(D58)+1,MONTH(D58),DAY(D58))</f>
        <v>41323</v>
      </c>
      <c r="F58" s="258">
        <f ca="1">DATE(YEAR(E58)+1,MONTH(E58),DAY(E58))</f>
        <v>41688</v>
      </c>
      <c r="G58" s="258">
        <f ca="1">DATE(YEAR(F58)+1,MONTH(F58),DAY(F58))</f>
        <v>42053</v>
      </c>
      <c r="H58" s="258">
        <f ca="1">DATE(YEAR(G58)+1,MONTH(G58),DAY(G58))</f>
        <v>42418</v>
      </c>
      <c r="I58" s="85"/>
    </row>
    <row r="59" spans="1:9" ht="15">
      <c r="A59" s="228"/>
      <c r="B59" s="259"/>
      <c r="C59" s="260"/>
      <c r="D59" s="261">
        <v>5000</v>
      </c>
      <c r="E59" s="261">
        <v>6000</v>
      </c>
      <c r="F59" s="261">
        <v>7000</v>
      </c>
      <c r="G59" s="261">
        <v>8000</v>
      </c>
      <c r="H59" s="261">
        <v>9000</v>
      </c>
      <c r="I59" s="85"/>
    </row>
    <row r="60" spans="1:9" ht="15">
      <c r="A60" s="228"/>
      <c r="B60" s="228"/>
      <c r="C60" s="228"/>
      <c r="D60" s="228"/>
      <c r="E60" s="228"/>
      <c r="F60" s="228"/>
      <c r="G60" s="228"/>
      <c r="H60" s="228"/>
      <c r="I60" s="85"/>
    </row>
    <row r="61" spans="1:9" ht="15.75">
      <c r="A61" s="221" t="s">
        <v>276</v>
      </c>
      <c r="B61" s="228"/>
      <c r="C61" s="228"/>
      <c r="D61" s="228"/>
      <c r="E61" s="228"/>
      <c r="F61" s="228"/>
      <c r="G61" s="228"/>
      <c r="H61" s="228"/>
      <c r="I61" s="85"/>
    </row>
    <row r="62" spans="1:9" ht="15">
      <c r="A62" s="84"/>
      <c r="B62" s="84"/>
      <c r="C62" s="84"/>
      <c r="D62" s="84"/>
      <c r="E62" s="84"/>
      <c r="F62" s="84"/>
      <c r="G62" s="84"/>
      <c r="H62" s="84"/>
      <c r="I62" s="86"/>
    </row>
    <row r="63" spans="1:9">
      <c r="A63" s="223"/>
      <c r="B63" s="223"/>
      <c r="C63" s="223"/>
      <c r="D63" s="223"/>
      <c r="E63" s="223"/>
      <c r="F63" s="223"/>
      <c r="G63" s="223"/>
      <c r="H63" s="223"/>
    </row>
    <row r="64" spans="1:9" ht="15.75">
      <c r="A64" s="219" t="s">
        <v>285</v>
      </c>
      <c r="B64" s="228"/>
      <c r="C64" s="228"/>
      <c r="D64" s="228"/>
      <c r="E64" s="228"/>
      <c r="F64" s="228"/>
      <c r="G64" s="228"/>
      <c r="H64" s="228"/>
      <c r="I64" s="256"/>
    </row>
    <row r="65" spans="1:9" ht="15.75">
      <c r="A65" s="228"/>
      <c r="B65" s="228"/>
      <c r="C65" s="472" t="s">
        <v>207</v>
      </c>
      <c r="D65" s="472"/>
      <c r="E65" s="472"/>
      <c r="F65" s="472"/>
      <c r="G65" s="472"/>
      <c r="H65" s="472"/>
      <c r="I65" s="85"/>
    </row>
    <row r="66" spans="1:9" ht="15">
      <c r="A66" s="222" t="str">
        <f>cellformula(B66)</f>
        <v>=IRR(C67:H67)</v>
      </c>
      <c r="B66" s="263">
        <f>IRR(C67:H67)</f>
        <v>0.19711108390008206</v>
      </c>
      <c r="C66" s="258">
        <f ca="1">TODAY()</f>
        <v>40592</v>
      </c>
      <c r="D66" s="258">
        <f ca="1">DATE(YEAR(C66)+1,MONTH(C66),DAY(C66))</f>
        <v>40957</v>
      </c>
      <c r="E66" s="258">
        <f ca="1">DATE(YEAR(D66)+1,MONTH(D66),DAY(D66))</f>
        <v>41323</v>
      </c>
      <c r="F66" s="258">
        <f ca="1">DATE(YEAR(E66)+1,MONTH(E66),DAY(E66))</f>
        <v>41688</v>
      </c>
      <c r="G66" s="258">
        <f ca="1">DATE(YEAR(F66)+1,MONTH(F66),DAY(F66))</f>
        <v>42053</v>
      </c>
      <c r="H66" s="258">
        <f ca="1">DATE(YEAR(G66)+1,MONTH(G66),DAY(G66))</f>
        <v>42418</v>
      </c>
      <c r="I66" s="85"/>
    </row>
    <row r="67" spans="1:9" ht="15">
      <c r="A67" s="228"/>
      <c r="B67" s="259"/>
      <c r="C67" s="261">
        <v>-20000</v>
      </c>
      <c r="D67" s="261">
        <v>5000</v>
      </c>
      <c r="E67" s="261">
        <v>6000</v>
      </c>
      <c r="F67" s="261">
        <v>7000</v>
      </c>
      <c r="G67" s="261">
        <v>8000</v>
      </c>
      <c r="H67" s="261">
        <v>9000</v>
      </c>
      <c r="I67" s="85"/>
    </row>
    <row r="68" spans="1:9" ht="15">
      <c r="A68" s="228"/>
      <c r="B68" s="228"/>
      <c r="C68" s="228"/>
      <c r="D68" s="228"/>
      <c r="E68" s="228"/>
      <c r="F68" s="228"/>
      <c r="G68" s="228"/>
      <c r="H68" s="228"/>
      <c r="I68" s="85"/>
    </row>
    <row r="69" spans="1:9" ht="15.75">
      <c r="A69" s="221" t="s">
        <v>286</v>
      </c>
      <c r="B69" s="228"/>
      <c r="C69" s="228"/>
      <c r="D69" s="228"/>
      <c r="E69" s="228"/>
      <c r="F69" s="228"/>
      <c r="G69" s="228"/>
      <c r="H69" s="228"/>
      <c r="I69" s="85"/>
    </row>
    <row r="70" spans="1:9" ht="15">
      <c r="A70" s="78"/>
      <c r="B70" s="78"/>
      <c r="C70" s="78"/>
      <c r="D70" s="78"/>
      <c r="E70" s="78"/>
      <c r="F70" s="78"/>
      <c r="G70" s="78"/>
      <c r="H70" s="78"/>
      <c r="I70" s="86"/>
    </row>
    <row r="73" spans="1:9" ht="18">
      <c r="A73" s="265" t="s">
        <v>485</v>
      </c>
    </row>
  </sheetData>
  <mergeCells count="7">
    <mergeCell ref="C65:H65"/>
    <mergeCell ref="C12:H12"/>
    <mergeCell ref="C20:H20"/>
    <mergeCell ref="C28:H28"/>
    <mergeCell ref="C36:H36"/>
    <mergeCell ref="C44:H44"/>
    <mergeCell ref="C57:H57"/>
  </mergeCells>
  <phoneticPr fontId="20" type="noConversion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L68"/>
  <sheetViews>
    <sheetView tabSelected="1" topLeftCell="A28" workbookViewId="0">
      <selection activeCell="A41" sqref="A41"/>
    </sheetView>
  </sheetViews>
  <sheetFormatPr defaultColWidth="9.7109375" defaultRowHeight="12.75"/>
  <cols>
    <col min="1" max="1" width="29.42578125" customWidth="1"/>
    <col min="2" max="2" width="18.42578125" customWidth="1"/>
    <col min="3" max="3" width="16.42578125" customWidth="1"/>
    <col min="4" max="4" width="13.42578125" customWidth="1"/>
    <col min="5" max="5" width="13.5703125" bestFit="1" customWidth="1"/>
    <col min="6" max="8" width="12.85546875" bestFit="1" customWidth="1"/>
    <col min="9" max="9" width="10.7109375" customWidth="1"/>
    <col min="10" max="10" width="11.42578125" customWidth="1"/>
    <col min="11" max="11" width="12.5703125" customWidth="1"/>
  </cols>
  <sheetData>
    <row r="1" spans="1:12" ht="27.75">
      <c r="A1" s="59" t="s">
        <v>393</v>
      </c>
      <c r="B1" s="59"/>
      <c r="C1" s="216"/>
      <c r="D1" s="216"/>
      <c r="E1" s="216"/>
      <c r="F1" s="216"/>
      <c r="G1" s="216"/>
      <c r="H1" s="216"/>
      <c r="I1" s="216"/>
      <c r="J1" s="217"/>
      <c r="K1" s="217"/>
      <c r="L1" s="217"/>
    </row>
    <row r="3" spans="1:12" s="4" customFormat="1" ht="18">
      <c r="A3" s="224" t="s">
        <v>392</v>
      </c>
      <c r="B3" s="254"/>
      <c r="C3" s="254"/>
      <c r="D3" s="254"/>
      <c r="E3" s="254"/>
      <c r="F3" s="254"/>
      <c r="G3" s="254"/>
      <c r="H3" s="254"/>
      <c r="I3" s="254"/>
    </row>
    <row r="4" spans="1:12">
      <c r="A4" s="293" t="s">
        <v>394</v>
      </c>
      <c r="B4" s="26"/>
      <c r="C4" s="297" t="str">
        <f>cellformula(F4)</f>
        <v>=RAND()</v>
      </c>
      <c r="D4" s="88"/>
      <c r="E4" s="88"/>
      <c r="F4" s="116">
        <f ca="1">RAND()</f>
        <v>0.62651278876390304</v>
      </c>
      <c r="G4" s="26"/>
      <c r="H4" s="26"/>
      <c r="I4" s="26"/>
    </row>
    <row r="5" spans="1:12">
      <c r="A5" s="292" t="s">
        <v>395</v>
      </c>
      <c r="B5" s="26"/>
      <c r="C5" s="26"/>
      <c r="D5" s="26"/>
      <c r="E5" s="26"/>
      <c r="F5" s="26"/>
      <c r="G5" s="26"/>
      <c r="H5" s="26"/>
      <c r="I5" s="26"/>
    </row>
    <row r="6" spans="1:12">
      <c r="A6" s="292" t="s">
        <v>396</v>
      </c>
      <c r="B6" s="26"/>
      <c r="C6" s="26"/>
      <c r="D6" s="26"/>
      <c r="E6" s="26"/>
      <c r="F6" s="26"/>
      <c r="G6" s="26"/>
      <c r="H6" s="26"/>
      <c r="I6" s="26"/>
    </row>
    <row r="7" spans="1:12">
      <c r="A7" s="26"/>
      <c r="B7" s="26"/>
      <c r="C7" s="26"/>
      <c r="D7" s="26"/>
      <c r="E7" s="26"/>
      <c r="F7" s="26"/>
      <c r="G7" s="26"/>
      <c r="H7" s="26"/>
      <c r="I7" s="26"/>
    </row>
    <row r="8" spans="1:12" ht="15.75">
      <c r="A8" s="221" t="s">
        <v>400</v>
      </c>
      <c r="B8" s="26"/>
      <c r="C8" s="26"/>
      <c r="D8" s="26"/>
      <c r="E8" s="26"/>
      <c r="F8" s="26"/>
      <c r="G8" s="26"/>
      <c r="H8" s="26"/>
      <c r="I8" s="26"/>
    </row>
    <row r="9" spans="1:12" ht="15.75">
      <c r="A9" s="221"/>
      <c r="B9" s="26"/>
      <c r="C9" s="26"/>
      <c r="D9" s="26"/>
      <c r="E9" s="26"/>
      <c r="F9" s="26"/>
      <c r="G9" s="26"/>
      <c r="H9" s="26"/>
      <c r="I9" s="26"/>
    </row>
    <row r="10" spans="1:12" s="11" customFormat="1" ht="15.75">
      <c r="A10" s="300"/>
    </row>
    <row r="11" spans="1:12" s="11" customFormat="1" ht="15.75">
      <c r="A11" s="300"/>
    </row>
    <row r="12" spans="1:12" s="4" customFormat="1" ht="18">
      <c r="A12" s="224" t="s">
        <v>409</v>
      </c>
      <c r="B12" s="254"/>
      <c r="C12" s="254"/>
      <c r="D12" s="254"/>
      <c r="E12" s="254"/>
      <c r="F12" s="254"/>
      <c r="G12" s="254"/>
      <c r="H12" s="254"/>
      <c r="I12" s="254"/>
    </row>
    <row r="13" spans="1:12" ht="15.75">
      <c r="A13" s="221"/>
      <c r="B13" s="26"/>
      <c r="C13" s="26"/>
      <c r="D13" s="26"/>
      <c r="E13" s="26"/>
      <c r="F13" s="26"/>
      <c r="G13" s="26"/>
      <c r="H13" s="26"/>
      <c r="I13" s="26"/>
    </row>
    <row r="14" spans="1:12">
      <c r="A14" s="26"/>
      <c r="B14" s="189">
        <v>2</v>
      </c>
      <c r="C14" s="189">
        <v>1</v>
      </c>
      <c r="D14" s="189">
        <v>5</v>
      </c>
      <c r="E14" s="189">
        <v>4</v>
      </c>
      <c r="F14" s="189">
        <v>3</v>
      </c>
      <c r="G14" s="26"/>
      <c r="H14" s="26"/>
      <c r="I14" s="26"/>
    </row>
    <row r="15" spans="1:12">
      <c r="A15" s="26"/>
      <c r="B15" s="18"/>
      <c r="C15" s="18"/>
      <c r="D15" s="18"/>
      <c r="E15" s="18"/>
      <c r="F15" s="18"/>
      <c r="G15" s="26"/>
      <c r="H15" s="26"/>
      <c r="I15" s="26"/>
    </row>
    <row r="16" spans="1:12">
      <c r="A16" s="293" t="s">
        <v>401</v>
      </c>
      <c r="B16" s="26"/>
      <c r="C16" s="297" t="str">
        <f>cellformula(F16)</f>
        <v>=AVERAGE(B14,C14,D14,E14,F14)</v>
      </c>
      <c r="D16" s="88"/>
      <c r="E16" s="88"/>
      <c r="F16" s="116">
        <f>AVERAGE(B14,C14,D14,E14,F14)</f>
        <v>3</v>
      </c>
      <c r="G16" s="26"/>
      <c r="H16" s="26"/>
      <c r="I16" s="26"/>
    </row>
    <row r="17" spans="1:9">
      <c r="A17" s="293" t="s">
        <v>402</v>
      </c>
      <c r="B17" s="26"/>
      <c r="C17" s="297" t="str">
        <f>cellformula(F17)</f>
        <v>=MEDIAN(B14:F14)</v>
      </c>
      <c r="D17" s="88"/>
      <c r="E17" s="88"/>
      <c r="F17" s="116">
        <f>MEDIAN(B14:F14)</f>
        <v>3</v>
      </c>
      <c r="G17" s="26"/>
      <c r="H17" s="26"/>
      <c r="I17" s="26"/>
    </row>
    <row r="18" spans="1:9">
      <c r="A18" s="293" t="s">
        <v>403</v>
      </c>
      <c r="B18" s="26"/>
      <c r="C18" s="297" t="str">
        <f>cellformula(F18)</f>
        <v>=STDEV(B14:F14)</v>
      </c>
      <c r="D18" s="88"/>
      <c r="E18" s="88"/>
      <c r="F18" s="116">
        <f>STDEV(B14:F14)</f>
        <v>1.5811388300841898</v>
      </c>
      <c r="G18" s="26"/>
      <c r="H18" s="26"/>
      <c r="I18" s="26"/>
    </row>
    <row r="19" spans="1:9">
      <c r="A19" s="292" t="str">
        <f>cellformula(F19)</f>
        <v>=SQRT(((B14-F16)^2+(C14-F16)^2+(D14-F16)^2+(E14-F16)^2+(F14-F16)^2)/4)</v>
      </c>
      <c r="B19" s="298"/>
      <c r="C19" s="26"/>
      <c r="D19" s="26"/>
      <c r="E19" s="26"/>
      <c r="F19" s="292">
        <f>SQRT(((B14-F16)^2+(C14-F16)^2+(D14-F16)^2+(E14-F16)^2+(F14-F16)^2)/4)</f>
        <v>1.5811388300841898</v>
      </c>
      <c r="G19" s="26"/>
      <c r="H19" s="26"/>
      <c r="I19" s="26"/>
    </row>
    <row r="20" spans="1:9">
      <c r="A20" s="293" t="s">
        <v>404</v>
      </c>
      <c r="B20" s="298"/>
      <c r="C20" s="297" t="str">
        <f>cellformula(F20)</f>
        <v>=STDEVP(B14:F14)</v>
      </c>
      <c r="D20" s="88"/>
      <c r="E20" s="88"/>
      <c r="F20" s="299">
        <f>STDEVP(B14:F14)</f>
        <v>1.4142135623730951</v>
      </c>
      <c r="G20" s="26"/>
      <c r="H20" s="26"/>
      <c r="I20" s="26"/>
    </row>
    <row r="21" spans="1:9">
      <c r="A21" s="292" t="str">
        <f>cellformula(F21)</f>
        <v>=SQRT(((B14-F16)^2+(C14-F16)^2+(D14-F16)^2+(E14-F16)^2+(F14-F16)^2)/5)</v>
      </c>
      <c r="B21" s="298"/>
      <c r="C21" s="26"/>
      <c r="D21" s="26"/>
      <c r="E21" s="26"/>
      <c r="F21" s="292">
        <f>SQRT(((B14-F16)^2+(C14-F16)^2+(D14-F16)^2+(E14-F16)^2+(F14-F16)^2)/5)</f>
        <v>1.4142135623730951</v>
      </c>
      <c r="G21" s="26"/>
      <c r="H21" s="26"/>
      <c r="I21" s="26"/>
    </row>
    <row r="22" spans="1:9">
      <c r="A22" s="293" t="s">
        <v>405</v>
      </c>
      <c r="B22" s="298"/>
      <c r="C22" s="297" t="str">
        <f>cellformula(F22)</f>
        <v>=VAR(B14:F14)</v>
      </c>
      <c r="D22" s="88"/>
      <c r="E22" s="88"/>
      <c r="F22" s="299">
        <f>VAR(B14:F14)</f>
        <v>2.5</v>
      </c>
      <c r="G22" s="26"/>
      <c r="H22" s="26"/>
      <c r="I22" s="26"/>
    </row>
    <row r="23" spans="1:9">
      <c r="A23" s="292" t="str">
        <f>cellformula(F23)</f>
        <v>=((B14-F16)^2+(C14-F16)^2+(D14-F16)^2+(E14-F16)^2+(F14-F16)^2)/4</v>
      </c>
      <c r="B23" s="298"/>
      <c r="C23" s="26"/>
      <c r="D23" s="26"/>
      <c r="E23" s="26"/>
      <c r="F23" s="292">
        <f>((B14-F16)^2+(C14-F16)^2+(D14-F16)^2+(E14-F16)^2+(F14-F16)^2)/4</f>
        <v>2.5</v>
      </c>
      <c r="G23" s="26"/>
      <c r="H23" s="26"/>
      <c r="I23" s="26"/>
    </row>
    <row r="24" spans="1:9">
      <c r="A24" s="293" t="s">
        <v>406</v>
      </c>
      <c r="B24" s="298"/>
      <c r="C24" s="297" t="str">
        <f>cellformula(F24)</f>
        <v>=VARP(B14:F14)</v>
      </c>
      <c r="D24" s="88"/>
      <c r="E24" s="88"/>
      <c r="F24" s="299">
        <f>VARP(B14:F14)</f>
        <v>2</v>
      </c>
      <c r="G24" s="26"/>
      <c r="H24" s="26"/>
      <c r="I24" s="26"/>
    </row>
    <row r="25" spans="1:9">
      <c r="A25" s="292" t="str">
        <f>cellformula(F25)</f>
        <v>=((B14-F16)^2+(C14-F16)^2+(D14-F16)^2+(E14-F16)^2+(F14-F16)^2)/5</v>
      </c>
      <c r="B25" s="26"/>
      <c r="C25" s="26"/>
      <c r="D25" s="26"/>
      <c r="E25" s="26"/>
      <c r="F25" s="292">
        <f>((B14-F16)^2+(C14-F16)^2+(D14-F16)^2+(E14-F16)^2+(F14-F16)^2)/5</f>
        <v>2</v>
      </c>
      <c r="G25" s="26"/>
      <c r="H25" s="26"/>
      <c r="I25" s="26"/>
    </row>
    <row r="26" spans="1:9">
      <c r="A26" s="26"/>
      <c r="B26" s="26"/>
      <c r="C26" s="26"/>
      <c r="D26" s="26"/>
      <c r="E26" s="26"/>
      <c r="F26" s="26"/>
      <c r="G26" s="26"/>
      <c r="H26" s="26"/>
      <c r="I26" s="26"/>
    </row>
    <row r="27" spans="1:9">
      <c r="A27" s="26"/>
      <c r="B27" s="26"/>
      <c r="C27" s="26"/>
      <c r="D27" s="26"/>
      <c r="E27" s="26"/>
      <c r="F27" s="26"/>
      <c r="G27" s="26"/>
      <c r="H27" s="26"/>
      <c r="I27" s="26"/>
    </row>
    <row r="28" spans="1:9">
      <c r="A28" s="26"/>
      <c r="B28" s="189">
        <v>2</v>
      </c>
      <c r="C28" s="189">
        <v>1</v>
      </c>
      <c r="D28" s="189">
        <v>5</v>
      </c>
      <c r="E28" s="189">
        <v>4</v>
      </c>
      <c r="F28" s="189">
        <v>3</v>
      </c>
      <c r="G28" s="26"/>
      <c r="H28" s="26"/>
      <c r="I28" s="26"/>
    </row>
    <row r="29" spans="1:9">
      <c r="A29" s="26"/>
      <c r="B29" s="189">
        <v>2</v>
      </c>
      <c r="C29" s="189">
        <v>1</v>
      </c>
      <c r="D29" s="189">
        <v>5</v>
      </c>
      <c r="E29" s="189">
        <v>4</v>
      </c>
      <c r="F29" s="189">
        <v>3</v>
      </c>
      <c r="G29" s="26"/>
      <c r="H29" s="26"/>
      <c r="I29" s="26"/>
    </row>
    <row r="30" spans="1:9">
      <c r="A30" s="26"/>
      <c r="B30" s="26"/>
      <c r="C30" s="26"/>
      <c r="D30" s="26"/>
      <c r="E30" s="26"/>
      <c r="F30" s="26"/>
      <c r="G30" s="26"/>
      <c r="H30" s="26"/>
      <c r="I30" s="26"/>
    </row>
    <row r="31" spans="1:9">
      <c r="A31" s="293" t="s">
        <v>407</v>
      </c>
      <c r="B31" s="26"/>
      <c r="C31" s="297" t="str">
        <f>cellformula(F31)</f>
        <v>=COVAR($B$28:$F$28,$B$29:$F$29)</v>
      </c>
      <c r="D31" s="88"/>
      <c r="E31" s="88"/>
      <c r="F31" s="116">
        <f>COVAR($B$28:$F$28,$B$29:$F$29)</f>
        <v>2</v>
      </c>
      <c r="G31" s="26"/>
      <c r="H31" s="26"/>
      <c r="I31" s="26"/>
    </row>
    <row r="32" spans="1:9">
      <c r="A32" s="293" t="s">
        <v>408</v>
      </c>
      <c r="B32" s="26"/>
      <c r="C32" s="297" t="str">
        <f>cellformula(F32)</f>
        <v>=CORREL($B$28:$F$28,$B$29:$F$29)</v>
      </c>
      <c r="D32" s="88"/>
      <c r="E32" s="88"/>
      <c r="F32" s="116">
        <f>CORREL($B$28:$F$28,$B$29:$F$29)</f>
        <v>0.99999999999999978</v>
      </c>
      <c r="G32" s="26"/>
      <c r="H32" s="26"/>
      <c r="I32" s="26"/>
    </row>
    <row r="33" spans="1:9">
      <c r="A33" s="292" t="str">
        <f>cellformula(F33)</f>
        <v>=COVAR($B$28:$F$28,$B$29:$F$29)/(STDEVP($B$28:$F$28)*STDEVP($B$29:$F$29))</v>
      </c>
      <c r="B33" s="26"/>
      <c r="C33" s="26"/>
      <c r="D33" s="26"/>
      <c r="E33" s="26"/>
      <c r="F33" s="292">
        <f>COVAR($B$28:$F$28,$B$29:$F$29)/(STDEVP($B$28:$F$28)*STDEVP($B$29:$F$29))</f>
        <v>0.99999999999999978</v>
      </c>
      <c r="G33" s="26"/>
      <c r="H33" s="26"/>
      <c r="I33" s="26"/>
    </row>
    <row r="34" spans="1:9">
      <c r="A34" s="26"/>
      <c r="B34" s="26"/>
      <c r="C34" s="26"/>
      <c r="D34" s="26"/>
      <c r="E34" s="26"/>
      <c r="F34" s="26"/>
      <c r="G34" s="26"/>
      <c r="H34" s="26"/>
      <c r="I34" s="26"/>
    </row>
    <row r="35" spans="1:9" ht="15.75">
      <c r="A35" s="221"/>
      <c r="B35" s="26"/>
      <c r="C35" s="26"/>
      <c r="D35" s="26"/>
      <c r="E35" s="26"/>
      <c r="F35" s="26"/>
      <c r="G35" s="26"/>
      <c r="H35" s="26"/>
      <c r="I35" s="26"/>
    </row>
    <row r="38" spans="1:9" ht="18">
      <c r="A38" s="224" t="s">
        <v>52</v>
      </c>
      <c r="B38" s="254"/>
      <c r="C38" s="254"/>
      <c r="D38" s="254"/>
      <c r="E38" s="254"/>
      <c r="F38" s="254"/>
      <c r="G38" s="254"/>
      <c r="H38" s="254"/>
      <c r="I38" s="254"/>
    </row>
    <row r="39" spans="1:9">
      <c r="A39" s="26"/>
      <c r="B39" s="26"/>
      <c r="C39" s="26"/>
      <c r="D39" s="26"/>
      <c r="E39" s="26"/>
      <c r="F39" s="26"/>
      <c r="G39" s="26"/>
      <c r="H39" s="26"/>
      <c r="I39" s="26"/>
    </row>
    <row r="40" spans="1:9">
      <c r="A40" s="293" t="s">
        <v>528</v>
      </c>
      <c r="B40" s="26"/>
      <c r="C40" s="26"/>
      <c r="D40" s="26"/>
      <c r="E40" s="26"/>
      <c r="F40" s="26"/>
      <c r="G40" s="26"/>
      <c r="H40" s="26"/>
      <c r="I40" s="26"/>
    </row>
    <row r="41" spans="1:9">
      <c r="A41" s="293" t="s">
        <v>12</v>
      </c>
      <c r="B41" s="26"/>
      <c r="C41" s="26"/>
      <c r="D41" s="26"/>
      <c r="E41" s="26"/>
      <c r="F41" s="26"/>
      <c r="G41" s="26"/>
      <c r="H41" s="26"/>
      <c r="I41" s="26"/>
    </row>
    <row r="42" spans="1:9">
      <c r="A42" s="26"/>
      <c r="B42" s="26"/>
      <c r="C42" s="26"/>
      <c r="D42" s="26"/>
      <c r="E42" s="26"/>
      <c r="F42" s="26"/>
      <c r="G42" s="26"/>
      <c r="H42" s="26"/>
      <c r="I42" s="26"/>
    </row>
    <row r="43" spans="1:9">
      <c r="A43" s="44"/>
      <c r="B43" s="44" t="s">
        <v>410</v>
      </c>
      <c r="C43" s="44" t="s">
        <v>411</v>
      </c>
      <c r="D43" s="48" t="s">
        <v>53</v>
      </c>
      <c r="E43" s="26"/>
      <c r="F43" s="26"/>
      <c r="G43" s="26"/>
      <c r="H43" s="26"/>
      <c r="I43" s="26"/>
    </row>
    <row r="44" spans="1:9">
      <c r="A44" s="45">
        <v>-4</v>
      </c>
      <c r="B44" s="46">
        <f>NORMDIST(A44,0,1,0)</f>
        <v>1.3383022576488534E-4</v>
      </c>
      <c r="C44" s="47">
        <f>NORMDIST(A44,0,1,1)</f>
        <v>3.1671241836783715E-5</v>
      </c>
      <c r="D44" s="49">
        <f>NORMINV(C44,0,1)</f>
        <v>-3.9999999999673186</v>
      </c>
      <c r="E44" s="26"/>
      <c r="F44" s="26"/>
      <c r="G44" s="26"/>
      <c r="H44" s="26"/>
      <c r="I44" s="26"/>
    </row>
    <row r="45" spans="1:9">
      <c r="A45" s="45">
        <f>A44+0.5</f>
        <v>-3.5</v>
      </c>
      <c r="B45" s="46">
        <f t="shared" ref="B45:B60" si="0">NORMDIST(A45,0,1,0)</f>
        <v>8.7268269504575994E-4</v>
      </c>
      <c r="C45" s="47">
        <f t="shared" ref="C45:C60" si="1">NORMDIST(A45,0,1,1)</f>
        <v>2.3262907903420782E-4</v>
      </c>
      <c r="D45" s="49">
        <f t="shared" ref="D45:D60" si="2">NORMINV(C45,0,1)</f>
        <v>-3.5000000000014104</v>
      </c>
      <c r="E45" s="26"/>
      <c r="F45" s="26"/>
      <c r="G45" s="26"/>
      <c r="H45" s="26"/>
      <c r="I45" s="26"/>
    </row>
    <row r="46" spans="1:9">
      <c r="A46" s="45">
        <f t="shared" ref="A46:A60" si="3">A45+0.5</f>
        <v>-3</v>
      </c>
      <c r="B46" s="46">
        <f t="shared" si="0"/>
        <v>4.4318484119380067E-3</v>
      </c>
      <c r="C46" s="47">
        <f t="shared" si="1"/>
        <v>1.3498980316301035E-3</v>
      </c>
      <c r="D46" s="49">
        <f t="shared" si="2"/>
        <v>-2.999999999999952</v>
      </c>
      <c r="E46" s="26"/>
      <c r="F46" s="26"/>
      <c r="G46" s="26"/>
      <c r="H46" s="26"/>
      <c r="I46" s="26"/>
    </row>
    <row r="47" spans="1:9">
      <c r="A47" s="45">
        <f t="shared" si="3"/>
        <v>-2.5</v>
      </c>
      <c r="B47" s="46">
        <f t="shared" si="0"/>
        <v>1.7528300493568537E-2</v>
      </c>
      <c r="C47" s="47">
        <f t="shared" si="1"/>
        <v>6.2096653257759371E-3</v>
      </c>
      <c r="D47" s="49">
        <f>NORMINV(C47,0,1)</f>
        <v>-2.5000000000000187</v>
      </c>
      <c r="E47" s="26"/>
      <c r="F47" s="26"/>
      <c r="G47" s="26"/>
      <c r="H47" s="26"/>
      <c r="I47" s="26"/>
    </row>
    <row r="48" spans="1:9">
      <c r="A48" s="45">
        <f t="shared" si="3"/>
        <v>-2</v>
      </c>
      <c r="B48" s="46">
        <f t="shared" si="0"/>
        <v>5.3990966513188049E-2</v>
      </c>
      <c r="C48" s="47">
        <f t="shared" si="1"/>
        <v>2.275013194817932E-2</v>
      </c>
      <c r="D48" s="49">
        <f>NORMINV(C48,0,1)</f>
        <v>-1.9999999999999996</v>
      </c>
      <c r="E48" s="26"/>
      <c r="F48" s="26"/>
      <c r="G48" s="26"/>
      <c r="H48" s="26"/>
      <c r="I48" s="26"/>
    </row>
    <row r="49" spans="1:9">
      <c r="A49" s="45">
        <f t="shared" si="3"/>
        <v>-1.5</v>
      </c>
      <c r="B49" s="46">
        <f t="shared" si="0"/>
        <v>0.12951759566589172</v>
      </c>
      <c r="C49" s="47">
        <f t="shared" si="1"/>
        <v>6.6807201268858085E-2</v>
      </c>
      <c r="D49" s="49">
        <f t="shared" si="2"/>
        <v>-1.5000000000000004</v>
      </c>
      <c r="E49" s="26"/>
      <c r="F49" s="26"/>
      <c r="G49" s="26"/>
      <c r="H49" s="26"/>
      <c r="I49" s="26"/>
    </row>
    <row r="50" spans="1:9">
      <c r="A50" s="45">
        <f t="shared" si="3"/>
        <v>-1</v>
      </c>
      <c r="B50" s="46">
        <f t="shared" si="0"/>
        <v>0.24197072451914334</v>
      </c>
      <c r="C50" s="47">
        <f t="shared" si="1"/>
        <v>0.15865525393145707</v>
      </c>
      <c r="D50" s="49">
        <f>NORMINV(C50,0,1)</f>
        <v>-1</v>
      </c>
      <c r="E50" s="26"/>
      <c r="F50" s="26"/>
      <c r="G50" s="26"/>
      <c r="H50" s="26"/>
      <c r="I50" s="26"/>
    </row>
    <row r="51" spans="1:9">
      <c r="A51" s="45">
        <f t="shared" si="3"/>
        <v>-0.5</v>
      </c>
      <c r="B51" s="46">
        <f t="shared" si="0"/>
        <v>0.35206532676429947</v>
      </c>
      <c r="C51" s="47">
        <f t="shared" si="1"/>
        <v>0.30853753872598688</v>
      </c>
      <c r="D51" s="49">
        <f t="shared" si="2"/>
        <v>-0.50000000000000022</v>
      </c>
      <c r="E51" s="26"/>
      <c r="F51" s="26"/>
      <c r="G51" s="26"/>
      <c r="H51" s="26"/>
      <c r="I51" s="26"/>
    </row>
    <row r="52" spans="1:9">
      <c r="A52" s="45">
        <f t="shared" si="3"/>
        <v>0</v>
      </c>
      <c r="B52" s="46">
        <f t="shared" si="0"/>
        <v>0.39894228040143265</v>
      </c>
      <c r="C52" s="47">
        <f t="shared" si="1"/>
        <v>0.5</v>
      </c>
      <c r="D52" s="49">
        <f t="shared" si="2"/>
        <v>-1.392137635291833E-16</v>
      </c>
      <c r="E52" s="26"/>
      <c r="F52" s="26"/>
      <c r="G52" s="26"/>
      <c r="H52" s="26"/>
      <c r="I52" s="26"/>
    </row>
    <row r="53" spans="1:9">
      <c r="A53" s="45">
        <f t="shared" si="3"/>
        <v>0.5</v>
      </c>
      <c r="B53" s="46">
        <f t="shared" si="0"/>
        <v>0.35206532676429947</v>
      </c>
      <c r="C53" s="47">
        <f t="shared" si="1"/>
        <v>0.69146246127401312</v>
      </c>
      <c r="D53" s="49">
        <f t="shared" si="2"/>
        <v>0.5</v>
      </c>
      <c r="E53" s="26"/>
      <c r="F53" s="26"/>
      <c r="G53" s="26"/>
      <c r="H53" s="26"/>
      <c r="I53" s="26"/>
    </row>
    <row r="54" spans="1:9">
      <c r="A54" s="45">
        <f t="shared" si="3"/>
        <v>1</v>
      </c>
      <c r="B54" s="46">
        <f t="shared" si="0"/>
        <v>0.24197072451914334</v>
      </c>
      <c r="C54" s="47">
        <f t="shared" si="1"/>
        <v>0.84134474606854293</v>
      </c>
      <c r="D54" s="49">
        <f t="shared" si="2"/>
        <v>0.99999999999999978</v>
      </c>
      <c r="E54" s="26"/>
      <c r="F54" s="26"/>
      <c r="G54" s="26"/>
      <c r="H54" s="26"/>
      <c r="I54" s="26"/>
    </row>
    <row r="55" spans="1:9">
      <c r="A55" s="45">
        <f t="shared" si="3"/>
        <v>1.5</v>
      </c>
      <c r="B55" s="46">
        <f t="shared" si="0"/>
        <v>0.12951759566589172</v>
      </c>
      <c r="C55" s="47">
        <f t="shared" si="1"/>
        <v>0.93319279873114191</v>
      </c>
      <c r="D55" s="49">
        <f t="shared" si="2"/>
        <v>1.4999999999999996</v>
      </c>
      <c r="E55" s="26"/>
      <c r="F55" s="26"/>
      <c r="G55" s="26"/>
      <c r="H55" s="26"/>
      <c r="I55" s="26"/>
    </row>
    <row r="56" spans="1:9">
      <c r="A56" s="45">
        <f t="shared" si="3"/>
        <v>2</v>
      </c>
      <c r="B56" s="46">
        <f t="shared" si="0"/>
        <v>5.3990966513188049E-2</v>
      </c>
      <c r="C56" s="47">
        <f t="shared" si="1"/>
        <v>0.97724986805182068</v>
      </c>
      <c r="D56" s="49">
        <f t="shared" si="2"/>
        <v>1.999999999999996</v>
      </c>
      <c r="E56" s="26"/>
      <c r="F56" s="26"/>
      <c r="G56" s="26"/>
      <c r="H56" s="26"/>
      <c r="I56" s="26"/>
    </row>
    <row r="57" spans="1:9">
      <c r="A57" s="45">
        <f t="shared" si="3"/>
        <v>2.5</v>
      </c>
      <c r="B57" s="46">
        <f t="shared" si="0"/>
        <v>1.7528300493568537E-2</v>
      </c>
      <c r="C57" s="47">
        <f t="shared" si="1"/>
        <v>0.99379033467422406</v>
      </c>
      <c r="D57" s="49">
        <f t="shared" si="2"/>
        <v>2.5000000000000036</v>
      </c>
      <c r="E57" s="26"/>
      <c r="F57" s="26"/>
      <c r="G57" s="26"/>
      <c r="H57" s="26"/>
      <c r="I57" s="26"/>
    </row>
    <row r="58" spans="1:9">
      <c r="A58" s="45">
        <f t="shared" si="3"/>
        <v>3</v>
      </c>
      <c r="B58" s="46">
        <f t="shared" si="0"/>
        <v>4.4318484119380067E-3</v>
      </c>
      <c r="C58" s="47">
        <f t="shared" si="1"/>
        <v>0.9986501019683699</v>
      </c>
      <c r="D58" s="49">
        <f t="shared" si="2"/>
        <v>2.999999999999952</v>
      </c>
      <c r="E58" s="26"/>
      <c r="F58" s="26"/>
      <c r="G58" s="26"/>
      <c r="H58" s="26"/>
      <c r="I58" s="26"/>
    </row>
    <row r="59" spans="1:9">
      <c r="A59" s="45">
        <f t="shared" si="3"/>
        <v>3.5</v>
      </c>
      <c r="B59" s="46">
        <f t="shared" si="0"/>
        <v>8.7268269504575994E-4</v>
      </c>
      <c r="C59" s="47">
        <f t="shared" si="1"/>
        <v>0.99976737092096579</v>
      </c>
      <c r="D59" s="49">
        <f t="shared" si="2"/>
        <v>3.5000000000014104</v>
      </c>
      <c r="E59" s="26"/>
      <c r="F59" s="26"/>
      <c r="G59" s="26"/>
      <c r="H59" s="26"/>
      <c r="I59" s="26"/>
    </row>
    <row r="60" spans="1:9">
      <c r="A60" s="45">
        <f t="shared" si="3"/>
        <v>4</v>
      </c>
      <c r="B60" s="46">
        <f t="shared" si="0"/>
        <v>1.3383022576488534E-4</v>
      </c>
      <c r="C60" s="47">
        <f t="shared" si="1"/>
        <v>0.99996832875816322</v>
      </c>
      <c r="D60" s="49">
        <f t="shared" si="2"/>
        <v>3.9999999999673186</v>
      </c>
      <c r="E60" s="26"/>
      <c r="F60" s="26"/>
      <c r="G60" s="26"/>
      <c r="H60" s="26"/>
      <c r="I60" s="26"/>
    </row>
    <row r="61" spans="1:9">
      <c r="A61" s="26"/>
      <c r="B61" s="26"/>
      <c r="C61" s="26"/>
      <c r="D61" s="26"/>
      <c r="E61" s="26"/>
      <c r="F61" s="26"/>
      <c r="G61" s="26"/>
      <c r="H61" s="26"/>
      <c r="I61" s="26"/>
    </row>
    <row r="62" spans="1:9">
      <c r="A62" s="26"/>
      <c r="B62" s="26"/>
      <c r="C62" s="26"/>
      <c r="D62" s="26"/>
      <c r="E62" s="26"/>
      <c r="F62" s="26"/>
      <c r="G62" s="26"/>
      <c r="H62" s="26"/>
      <c r="I62" s="26"/>
    </row>
    <row r="63" spans="1:9">
      <c r="A63" s="26"/>
      <c r="B63" s="26"/>
      <c r="C63" s="26"/>
      <c r="D63" s="26"/>
      <c r="E63" s="26"/>
      <c r="F63" s="26"/>
      <c r="G63" s="26"/>
      <c r="H63" s="26"/>
      <c r="I63" s="26"/>
    </row>
    <row r="64" spans="1:9">
      <c r="A64" s="26"/>
      <c r="B64" s="26"/>
      <c r="C64" s="26"/>
      <c r="D64" s="26"/>
      <c r="E64" s="26"/>
      <c r="F64" s="26"/>
      <c r="G64" s="26"/>
      <c r="H64" s="26"/>
      <c r="I64" s="26"/>
    </row>
    <row r="65" spans="1:9">
      <c r="A65" s="26"/>
      <c r="B65" s="26"/>
      <c r="C65" s="26"/>
      <c r="D65" s="26"/>
      <c r="E65" s="26"/>
      <c r="F65" s="26"/>
      <c r="G65" s="26"/>
      <c r="H65" s="26"/>
      <c r="I65" s="26"/>
    </row>
    <row r="66" spans="1:9">
      <c r="A66" s="26"/>
      <c r="B66" s="26"/>
      <c r="C66" s="26"/>
      <c r="D66" s="26"/>
      <c r="E66" s="26"/>
      <c r="F66" s="26"/>
      <c r="G66" s="26"/>
      <c r="H66" s="26"/>
      <c r="I66" s="26"/>
    </row>
    <row r="67" spans="1:9">
      <c r="A67" s="26"/>
      <c r="B67" s="26"/>
      <c r="C67" s="26"/>
      <c r="D67" s="26"/>
      <c r="E67" s="26"/>
      <c r="F67" s="26"/>
      <c r="G67" s="26"/>
      <c r="H67" s="26"/>
      <c r="I67" s="26"/>
    </row>
    <row r="68" spans="1:9" ht="15.75">
      <c r="A68" s="221" t="s">
        <v>468</v>
      </c>
      <c r="B68" s="26"/>
      <c r="C68" s="26"/>
      <c r="D68" s="26"/>
      <c r="E68" s="26"/>
      <c r="F68" s="26"/>
      <c r="G68" s="26"/>
      <c r="H68" s="26"/>
      <c r="I68" s="26"/>
    </row>
  </sheetData>
  <phoneticPr fontId="19" type="noConversion"/>
  <pageMargins left="0.75" right="0.75" top="1" bottom="1" header="0.5" footer="0.5"/>
  <pageSetup orientation="portrait" verticalDpi="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L130"/>
  <sheetViews>
    <sheetView workbookViewId="0">
      <selection activeCell="L15" sqref="L15"/>
    </sheetView>
  </sheetViews>
  <sheetFormatPr defaultRowHeight="12.75"/>
  <cols>
    <col min="1" max="1" width="12" bestFit="1" customWidth="1"/>
    <col min="6" max="6" width="12" bestFit="1" customWidth="1"/>
    <col min="11" max="11" width="12" bestFit="1" customWidth="1"/>
  </cols>
  <sheetData>
    <row r="1" spans="1:12" ht="18">
      <c r="A1" s="265" t="s">
        <v>526</v>
      </c>
    </row>
    <row r="4" spans="1:12" s="117" customFormat="1">
      <c r="A4" s="294" t="s">
        <v>398</v>
      </c>
      <c r="B4" s="294" t="s">
        <v>399</v>
      </c>
      <c r="F4" s="294" t="s">
        <v>398</v>
      </c>
      <c r="G4" s="294" t="s">
        <v>399</v>
      </c>
      <c r="K4" s="294" t="s">
        <v>398</v>
      </c>
      <c r="L4" s="294" t="s">
        <v>399</v>
      </c>
    </row>
    <row r="5" spans="1:12">
      <c r="A5" s="189">
        <v>0.1</v>
      </c>
      <c r="B5" s="189">
        <f t="array" aca="1" ref="B5:B14" ca="1">FREQUENCY(A31:A40,A5:A14)</f>
        <v>0</v>
      </c>
      <c r="F5" s="189">
        <v>0.1</v>
      </c>
      <c r="G5" s="189">
        <f t="array" aca="1" ref="G5:G14" ca="1">FREQUENCY(F31:F130,F5:F14)</f>
        <v>11</v>
      </c>
      <c r="K5" s="189">
        <v>0.1</v>
      </c>
      <c r="L5" s="189"/>
    </row>
    <row r="6" spans="1:12">
      <c r="A6" s="189">
        <v>0.2</v>
      </c>
      <c r="B6" s="189">
        <f ca="1"/>
        <v>0</v>
      </c>
      <c r="F6" s="189">
        <v>0.2</v>
      </c>
      <c r="G6" s="189">
        <f ca="1"/>
        <v>6</v>
      </c>
      <c r="K6" s="189">
        <v>0.2</v>
      </c>
      <c r="L6" s="189"/>
    </row>
    <row r="7" spans="1:12">
      <c r="A7" s="189">
        <v>0.3</v>
      </c>
      <c r="B7" s="189">
        <f ca="1"/>
        <v>2</v>
      </c>
      <c r="F7" s="189">
        <v>0.3</v>
      </c>
      <c r="G7" s="189">
        <f ca="1"/>
        <v>8</v>
      </c>
      <c r="K7" s="189">
        <v>0.3</v>
      </c>
      <c r="L7" s="189"/>
    </row>
    <row r="8" spans="1:12">
      <c r="A8" s="189">
        <v>0.4</v>
      </c>
      <c r="B8" s="189">
        <f ca="1"/>
        <v>1</v>
      </c>
      <c r="F8" s="189">
        <v>0.4</v>
      </c>
      <c r="G8" s="189">
        <f ca="1"/>
        <v>13</v>
      </c>
      <c r="K8" s="189">
        <v>0.4</v>
      </c>
      <c r="L8" s="189"/>
    </row>
    <row r="9" spans="1:12">
      <c r="A9" s="189">
        <v>0.5</v>
      </c>
      <c r="B9" s="189">
        <f ca="1"/>
        <v>0</v>
      </c>
      <c r="F9" s="189">
        <v>0.5</v>
      </c>
      <c r="G9" s="189">
        <f ca="1"/>
        <v>8</v>
      </c>
      <c r="K9" s="189">
        <v>0.5</v>
      </c>
      <c r="L9" s="189"/>
    </row>
    <row r="10" spans="1:12">
      <c r="A10" s="189">
        <v>0.6</v>
      </c>
      <c r="B10" s="189">
        <f ca="1"/>
        <v>2</v>
      </c>
      <c r="F10" s="189">
        <v>0.6</v>
      </c>
      <c r="G10" s="189">
        <f ca="1"/>
        <v>9</v>
      </c>
      <c r="K10" s="189">
        <v>0.6</v>
      </c>
      <c r="L10" s="189"/>
    </row>
    <row r="11" spans="1:12">
      <c r="A11" s="189">
        <v>0.7</v>
      </c>
      <c r="B11" s="189">
        <f ca="1"/>
        <v>0</v>
      </c>
      <c r="F11" s="189">
        <v>0.7</v>
      </c>
      <c r="G11" s="189">
        <f ca="1"/>
        <v>11</v>
      </c>
      <c r="K11" s="189">
        <v>0.7</v>
      </c>
      <c r="L11" s="189"/>
    </row>
    <row r="12" spans="1:12">
      <c r="A12" s="189">
        <v>0.8</v>
      </c>
      <c r="B12" s="189">
        <f ca="1"/>
        <v>4</v>
      </c>
      <c r="F12" s="189">
        <v>0.8</v>
      </c>
      <c r="G12" s="189">
        <f ca="1"/>
        <v>13</v>
      </c>
      <c r="K12" s="189">
        <v>0.8</v>
      </c>
      <c r="L12" s="189"/>
    </row>
    <row r="13" spans="1:12">
      <c r="A13" s="189">
        <v>0.9</v>
      </c>
      <c r="B13" s="189">
        <f ca="1"/>
        <v>1</v>
      </c>
      <c r="F13" s="189">
        <v>0.9</v>
      </c>
      <c r="G13" s="189">
        <f ca="1"/>
        <v>11</v>
      </c>
      <c r="K13" s="189">
        <v>0.9</v>
      </c>
      <c r="L13" s="189"/>
    </row>
    <row r="14" spans="1:12">
      <c r="A14" s="189">
        <v>1</v>
      </c>
      <c r="B14" s="189">
        <f ca="1"/>
        <v>0</v>
      </c>
      <c r="F14" s="189">
        <v>1</v>
      </c>
      <c r="G14" s="189">
        <f ca="1"/>
        <v>10</v>
      </c>
      <c r="K14" s="189">
        <v>1</v>
      </c>
      <c r="L14" s="189"/>
    </row>
    <row r="15" spans="1:12">
      <c r="A15" s="295" t="s">
        <v>397</v>
      </c>
      <c r="B15" s="296">
        <f ca="1">SUM(B5:B14)</f>
        <v>10</v>
      </c>
      <c r="F15" s="295" t="s">
        <v>397</v>
      </c>
      <c r="G15" s="296">
        <f ca="1">SUM(G5:G14)</f>
        <v>100</v>
      </c>
      <c r="K15" s="295" t="s">
        <v>397</v>
      </c>
      <c r="L15" s="296">
        <f>SUM(L5:L14)</f>
        <v>0</v>
      </c>
    </row>
    <row r="31" spans="1:6">
      <c r="A31">
        <f ca="1">RAND()</f>
        <v>0.59836751519456333</v>
      </c>
      <c r="F31">
        <f ca="1">RAND()</f>
        <v>9.910607797431803E-2</v>
      </c>
    </row>
    <row r="32" spans="1:6">
      <c r="A32">
        <f t="shared" ref="A32:A40" ca="1" si="0">RAND()</f>
        <v>0.77601019034213881</v>
      </c>
      <c r="F32">
        <f t="shared" ref="F32:F95" ca="1" si="1">RAND()</f>
        <v>0.49038591241102747</v>
      </c>
    </row>
    <row r="33" spans="1:6">
      <c r="A33">
        <f t="shared" ca="1" si="0"/>
        <v>0.74641766164894197</v>
      </c>
      <c r="F33">
        <f t="shared" ca="1" si="1"/>
        <v>0.75420871714619842</v>
      </c>
    </row>
    <row r="34" spans="1:6">
      <c r="A34">
        <f t="shared" ca="1" si="0"/>
        <v>0.26821707702623954</v>
      </c>
      <c r="F34">
        <f t="shared" ca="1" si="1"/>
        <v>0.19984756186933894</v>
      </c>
    </row>
    <row r="35" spans="1:6">
      <c r="A35">
        <f t="shared" ca="1" si="0"/>
        <v>0.85796064899133029</v>
      </c>
      <c r="F35">
        <f t="shared" ca="1" si="1"/>
        <v>0.52450181740398349</v>
      </c>
    </row>
    <row r="36" spans="1:6">
      <c r="A36">
        <f t="shared" ca="1" si="0"/>
        <v>0.55870456290001069</v>
      </c>
      <c r="F36">
        <f t="shared" ca="1" si="1"/>
        <v>1.2213720731246269E-2</v>
      </c>
    </row>
    <row r="37" spans="1:6">
      <c r="A37">
        <f t="shared" ca="1" si="0"/>
        <v>0.33214394197296859</v>
      </c>
      <c r="F37">
        <f t="shared" ca="1" si="1"/>
        <v>0.38518432463767649</v>
      </c>
    </row>
    <row r="38" spans="1:6">
      <c r="A38">
        <f t="shared" ca="1" si="0"/>
        <v>0.27653462860686595</v>
      </c>
      <c r="F38">
        <f t="shared" ca="1" si="1"/>
        <v>0.73172870978990123</v>
      </c>
    </row>
    <row r="39" spans="1:6">
      <c r="A39">
        <f t="shared" ca="1" si="0"/>
        <v>0.75728447674831889</v>
      </c>
      <c r="F39">
        <f t="shared" ca="1" si="1"/>
        <v>0.34597729904763774</v>
      </c>
    </row>
    <row r="40" spans="1:6">
      <c r="A40">
        <f t="shared" ca="1" si="0"/>
        <v>0.70717843662799251</v>
      </c>
      <c r="F40">
        <f t="shared" ca="1" si="1"/>
        <v>0.4181027501634782</v>
      </c>
    </row>
    <row r="41" spans="1:6">
      <c r="F41">
        <f ca="1">RAND()</f>
        <v>0.66832550713965699</v>
      </c>
    </row>
    <row r="42" spans="1:6">
      <c r="F42">
        <f t="shared" ca="1" si="1"/>
        <v>0.32266541116246827</v>
      </c>
    </row>
    <row r="43" spans="1:6">
      <c r="F43">
        <f t="shared" ca="1" si="1"/>
        <v>0.61183727064233207</v>
      </c>
    </row>
    <row r="44" spans="1:6">
      <c r="F44">
        <f t="shared" ca="1" si="1"/>
        <v>0.37461470123980245</v>
      </c>
    </row>
    <row r="45" spans="1:6">
      <c r="F45">
        <f t="shared" ca="1" si="1"/>
        <v>0.81423384461709092</v>
      </c>
    </row>
    <row r="46" spans="1:6">
      <c r="F46">
        <f t="shared" ca="1" si="1"/>
        <v>0.67574011445327842</v>
      </c>
    </row>
    <row r="47" spans="1:6">
      <c r="F47">
        <f t="shared" ca="1" si="1"/>
        <v>0.70830001877264692</v>
      </c>
    </row>
    <row r="48" spans="1:6">
      <c r="F48">
        <f t="shared" ca="1" si="1"/>
        <v>0.36770369117749513</v>
      </c>
    </row>
    <row r="49" spans="6:6">
      <c r="F49">
        <f t="shared" ca="1" si="1"/>
        <v>0.86793188842608804</v>
      </c>
    </row>
    <row r="50" spans="6:6">
      <c r="F50">
        <f t="shared" ca="1" si="1"/>
        <v>0.94325319761227799</v>
      </c>
    </row>
    <row r="51" spans="6:6">
      <c r="F51">
        <f ca="1">RAND()</f>
        <v>0.67894413117155827</v>
      </c>
    </row>
    <row r="52" spans="6:6">
      <c r="F52">
        <f t="shared" ca="1" si="1"/>
        <v>0.28001140997698415</v>
      </c>
    </row>
    <row r="53" spans="6:6">
      <c r="F53">
        <f t="shared" ca="1" si="1"/>
        <v>0.71057428326188443</v>
      </c>
    </row>
    <row r="54" spans="6:6">
      <c r="F54">
        <f t="shared" ca="1" si="1"/>
        <v>0.10630628411448884</v>
      </c>
    </row>
    <row r="55" spans="6:6">
      <c r="F55">
        <f t="shared" ca="1" si="1"/>
        <v>0.3787278877968232</v>
      </c>
    </row>
    <row r="56" spans="6:6">
      <c r="F56">
        <f t="shared" ca="1" si="1"/>
        <v>0.86469705960457488</v>
      </c>
    </row>
    <row r="57" spans="6:6">
      <c r="F57">
        <f t="shared" ca="1" si="1"/>
        <v>0.75487730102167294</v>
      </c>
    </row>
    <row r="58" spans="6:6">
      <c r="F58">
        <f t="shared" ca="1" si="1"/>
        <v>0.6495490516551552</v>
      </c>
    </row>
    <row r="59" spans="6:6">
      <c r="F59">
        <f t="shared" ca="1" si="1"/>
        <v>0.51460750352578799</v>
      </c>
    </row>
    <row r="60" spans="6:6">
      <c r="F60">
        <f t="shared" ca="1" si="1"/>
        <v>0.76706641088792882</v>
      </c>
    </row>
    <row r="61" spans="6:6">
      <c r="F61">
        <f ca="1">RAND()</f>
        <v>0.40262822267106468</v>
      </c>
    </row>
    <row r="62" spans="6:6">
      <c r="F62">
        <f t="shared" ca="1" si="1"/>
        <v>0.84325288879592364</v>
      </c>
    </row>
    <row r="63" spans="6:6">
      <c r="F63">
        <f t="shared" ca="1" si="1"/>
        <v>0.50519273697335798</v>
      </c>
    </row>
    <row r="64" spans="6:6">
      <c r="F64">
        <f t="shared" ca="1" si="1"/>
        <v>0.22735635542386046</v>
      </c>
    </row>
    <row r="65" spans="6:6">
      <c r="F65">
        <f t="shared" ca="1" si="1"/>
        <v>0.61498240575896279</v>
      </c>
    </row>
    <row r="66" spans="6:6">
      <c r="F66">
        <f t="shared" ca="1" si="1"/>
        <v>0.62330022412381769</v>
      </c>
    </row>
    <row r="67" spans="6:6">
      <c r="F67">
        <f t="shared" ca="1" si="1"/>
        <v>0.87048874435897616</v>
      </c>
    </row>
    <row r="68" spans="6:6">
      <c r="F68">
        <f t="shared" ca="1" si="1"/>
        <v>0.66191775920041374</v>
      </c>
    </row>
    <row r="69" spans="6:6">
      <c r="F69">
        <f t="shared" ca="1" si="1"/>
        <v>0.19529471196408021</v>
      </c>
    </row>
    <row r="70" spans="6:6">
      <c r="F70">
        <f t="shared" ca="1" si="1"/>
        <v>0.11128107892391093</v>
      </c>
    </row>
    <row r="71" spans="6:6">
      <c r="F71">
        <f ca="1">RAND()</f>
        <v>0.56516555865228901</v>
      </c>
    </row>
    <row r="72" spans="6:6">
      <c r="F72">
        <f t="shared" ca="1" si="1"/>
        <v>0.92260861462073951</v>
      </c>
    </row>
    <row r="73" spans="6:6">
      <c r="F73">
        <f t="shared" ca="1" si="1"/>
        <v>0.5204894537625826</v>
      </c>
    </row>
    <row r="74" spans="6:6">
      <c r="F74">
        <f t="shared" ca="1" si="1"/>
        <v>0.3507633386860185</v>
      </c>
    </row>
    <row r="75" spans="6:6">
      <c r="F75">
        <f t="shared" ca="1" si="1"/>
        <v>0.32093445755861372</v>
      </c>
    </row>
    <row r="76" spans="6:6">
      <c r="F76">
        <f t="shared" ca="1" si="1"/>
        <v>0.99580552584140403</v>
      </c>
    </row>
    <row r="77" spans="6:6">
      <c r="F77">
        <f t="shared" ca="1" si="1"/>
        <v>0.77239167953851995</v>
      </c>
    </row>
    <row r="78" spans="6:6">
      <c r="F78">
        <f t="shared" ca="1" si="1"/>
        <v>0.80603883086566519</v>
      </c>
    </row>
    <row r="79" spans="6:6">
      <c r="F79">
        <f t="shared" ca="1" si="1"/>
        <v>0.22217378112388775</v>
      </c>
    </row>
    <row r="80" spans="6:6">
      <c r="F80">
        <f t="shared" ca="1" si="1"/>
        <v>0.67938494295118912</v>
      </c>
    </row>
    <row r="81" spans="6:6">
      <c r="F81">
        <f ca="1">RAND()</f>
        <v>6.9665475581021319E-2</v>
      </c>
    </row>
    <row r="82" spans="6:6">
      <c r="F82">
        <f t="shared" ca="1" si="1"/>
        <v>0.91972506053954062</v>
      </c>
    </row>
    <row r="83" spans="6:6">
      <c r="F83">
        <f t="shared" ca="1" si="1"/>
        <v>0.45440105680260423</v>
      </c>
    </row>
    <row r="84" spans="6:6">
      <c r="F84">
        <f t="shared" ca="1" si="1"/>
        <v>4.4665163697428012E-2</v>
      </c>
    </row>
    <row r="85" spans="6:6">
      <c r="F85">
        <f t="shared" ca="1" si="1"/>
        <v>0.27540430145514438</v>
      </c>
    </row>
    <row r="86" spans="6:6">
      <c r="F86">
        <f t="shared" ca="1" si="1"/>
        <v>0.47027838936566457</v>
      </c>
    </row>
    <row r="87" spans="6:6">
      <c r="F87">
        <f t="shared" ca="1" si="1"/>
        <v>0.65683982298479648</v>
      </c>
    </row>
    <row r="88" spans="6:6">
      <c r="F88">
        <f t="shared" ca="1" si="1"/>
        <v>9.4499723879412301E-2</v>
      </c>
    </row>
    <row r="89" spans="6:6">
      <c r="F89">
        <f t="shared" ca="1" si="1"/>
        <v>0.39095426911222053</v>
      </c>
    </row>
    <row r="90" spans="6:6">
      <c r="F90">
        <f t="shared" ca="1" si="1"/>
        <v>0.27589600407671977</v>
      </c>
    </row>
    <row r="91" spans="6:6">
      <c r="F91">
        <f ca="1">RAND()</f>
        <v>0.84776444434865983</v>
      </c>
    </row>
    <row r="92" spans="6:6">
      <c r="F92">
        <f t="shared" ca="1" si="1"/>
        <v>0.26341633152270405</v>
      </c>
    </row>
    <row r="93" spans="6:6">
      <c r="F93">
        <f t="shared" ca="1" si="1"/>
        <v>0.74463409231316646</v>
      </c>
    </row>
    <row r="94" spans="6:6">
      <c r="F94">
        <f t="shared" ca="1" si="1"/>
        <v>0.86843229642754238</v>
      </c>
    </row>
    <row r="95" spans="6:6">
      <c r="F95">
        <f t="shared" ca="1" si="1"/>
        <v>0.90245378710745361</v>
      </c>
    </row>
    <row r="96" spans="6:6">
      <c r="F96">
        <f t="shared" ref="F96:F101" ca="1" si="2">RAND()</f>
        <v>0.5312076518463329</v>
      </c>
    </row>
    <row r="97" spans="6:6">
      <c r="F97">
        <f t="shared" ca="1" si="2"/>
        <v>9.6576423662355637E-3</v>
      </c>
    </row>
    <row r="98" spans="6:6">
      <c r="F98">
        <f t="shared" ca="1" si="2"/>
        <v>0.37278584662664205</v>
      </c>
    </row>
    <row r="99" spans="6:6">
      <c r="F99">
        <f t="shared" ca="1" si="2"/>
        <v>0.72306343932394768</v>
      </c>
    </row>
    <row r="100" spans="6:6">
      <c r="F100">
        <f t="shared" ca="1" si="2"/>
        <v>0.50215030724000109</v>
      </c>
    </row>
    <row r="101" spans="6:6">
      <c r="F101">
        <f t="shared" ca="1" si="2"/>
        <v>0.13618824202875057</v>
      </c>
    </row>
    <row r="102" spans="6:6">
      <c r="F102">
        <f t="shared" ref="F102:F110" ca="1" si="3">RAND()</f>
        <v>0.72289706990422964</v>
      </c>
    </row>
    <row r="103" spans="6:6">
      <c r="F103">
        <f t="shared" ca="1" si="3"/>
        <v>0.77811813195237378</v>
      </c>
    </row>
    <row r="104" spans="6:6">
      <c r="F104">
        <f t="shared" ca="1" si="3"/>
        <v>1.4939979178739016E-2</v>
      </c>
    </row>
    <row r="105" spans="6:6">
      <c r="F105">
        <f t="shared" ca="1" si="3"/>
        <v>0.94833599466115248</v>
      </c>
    </row>
    <row r="106" spans="6:6">
      <c r="F106">
        <f t="shared" ca="1" si="3"/>
        <v>0.4673356574910239</v>
      </c>
    </row>
    <row r="107" spans="6:6">
      <c r="F107">
        <f t="shared" ca="1" si="3"/>
        <v>0.15530574069956327</v>
      </c>
    </row>
    <row r="108" spans="6:6">
      <c r="F108">
        <f t="shared" ca="1" si="3"/>
        <v>0.48977947231435159</v>
      </c>
    </row>
    <row r="109" spans="6:6">
      <c r="F109">
        <f t="shared" ca="1" si="3"/>
        <v>0.87474676089568448</v>
      </c>
    </row>
    <row r="110" spans="6:6">
      <c r="F110">
        <f t="shared" ca="1" si="3"/>
        <v>0.81739106326582434</v>
      </c>
    </row>
    <row r="111" spans="6:6">
      <c r="F111">
        <f ca="1">RAND()</f>
        <v>0.77420547834004738</v>
      </c>
    </row>
    <row r="112" spans="6:6">
      <c r="F112">
        <f t="shared" ref="F112:F120" ca="1" si="4">RAND()</f>
        <v>9.1355396869382099E-2</v>
      </c>
    </row>
    <row r="113" spans="6:6">
      <c r="F113">
        <f t="shared" ca="1" si="4"/>
        <v>0.37804429400662576</v>
      </c>
    </row>
    <row r="114" spans="6:6">
      <c r="F114">
        <f t="shared" ca="1" si="4"/>
        <v>1.5991833647819309E-2</v>
      </c>
    </row>
    <row r="115" spans="6:6">
      <c r="F115">
        <f t="shared" ca="1" si="4"/>
        <v>0.21877039130965659</v>
      </c>
    </row>
    <row r="116" spans="6:6">
      <c r="F116">
        <f t="shared" ca="1" si="4"/>
        <v>0.92103724814095767</v>
      </c>
    </row>
    <row r="117" spans="6:6">
      <c r="F117">
        <f t="shared" ca="1" si="4"/>
        <v>0.93168411899562908</v>
      </c>
    </row>
    <row r="118" spans="6:6">
      <c r="F118">
        <f t="shared" ca="1" si="4"/>
        <v>7.133740009679812E-3</v>
      </c>
    </row>
    <row r="119" spans="6:6">
      <c r="F119">
        <f t="shared" ca="1" si="4"/>
        <v>0.42762512319245793</v>
      </c>
    </row>
    <row r="120" spans="6:6">
      <c r="F120">
        <f t="shared" ca="1" si="4"/>
        <v>0.70734981355797988</v>
      </c>
    </row>
    <row r="121" spans="6:6">
      <c r="F121">
        <f ca="1">RAND()</f>
        <v>0.97859918835497428</v>
      </c>
    </row>
    <row r="122" spans="6:6">
      <c r="F122">
        <f t="shared" ref="F122:F130" ca="1" si="5">RAND()</f>
        <v>6.081721620983771E-2</v>
      </c>
    </row>
    <row r="123" spans="6:6">
      <c r="F123">
        <f t="shared" ca="1" si="5"/>
        <v>0.32197432904684931</v>
      </c>
    </row>
    <row r="124" spans="6:6">
      <c r="F124">
        <f t="shared" ca="1" si="5"/>
        <v>0.58778790516188817</v>
      </c>
    </row>
    <row r="125" spans="6:6">
      <c r="F125">
        <f t="shared" ca="1" si="5"/>
        <v>0.31582106099902707</v>
      </c>
    </row>
    <row r="126" spans="6:6">
      <c r="F126">
        <f t="shared" ca="1" si="5"/>
        <v>0.85302480384020463</v>
      </c>
    </row>
    <row r="127" spans="6:6">
      <c r="F127">
        <f t="shared" ca="1" si="5"/>
        <v>0.23558343326965048</v>
      </c>
    </row>
    <row r="128" spans="6:6">
      <c r="F128">
        <f t="shared" ca="1" si="5"/>
        <v>0.54492093533839725</v>
      </c>
    </row>
    <row r="129" spans="6:6">
      <c r="F129">
        <f t="shared" ca="1" si="5"/>
        <v>0.60766042711849977</v>
      </c>
    </row>
    <row r="130" spans="6:6">
      <c r="F130">
        <f t="shared" ca="1" si="5"/>
        <v>0.95733305422317039</v>
      </c>
    </row>
  </sheetData>
  <phoneticPr fontId="19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R76"/>
  <sheetViews>
    <sheetView showGridLines="0" topLeftCell="A13" workbookViewId="0">
      <selection activeCell="N21" sqref="N21"/>
    </sheetView>
  </sheetViews>
  <sheetFormatPr defaultRowHeight="12.75"/>
  <cols>
    <col min="3" max="3" width="4.140625" customWidth="1"/>
    <col min="4" max="4" width="9.5703125" bestFit="1" customWidth="1"/>
    <col min="5" max="5" width="10.85546875" bestFit="1" customWidth="1"/>
    <col min="6" max="6" width="4.140625" customWidth="1"/>
    <col min="7" max="8" width="7.5703125" customWidth="1"/>
    <col min="9" max="9" width="8.42578125" customWidth="1"/>
    <col min="10" max="10" width="10.28515625" customWidth="1"/>
    <col min="11" max="11" width="9.28515625" customWidth="1"/>
    <col min="14" max="14" width="16.140625" customWidth="1"/>
    <col min="18" max="18" width="10" customWidth="1"/>
  </cols>
  <sheetData>
    <row r="1" spans="1:18" ht="18">
      <c r="A1" s="265" t="s">
        <v>413</v>
      </c>
      <c r="B1" s="25"/>
      <c r="C1" s="25"/>
      <c r="D1" s="25"/>
      <c r="E1" s="25"/>
      <c r="F1" s="25"/>
    </row>
    <row r="2" spans="1:18" ht="18">
      <c r="A2" s="265" t="s">
        <v>414</v>
      </c>
      <c r="B2" s="25"/>
      <c r="C2" s="25"/>
      <c r="D2" s="25"/>
      <c r="E2" s="25"/>
      <c r="F2" s="25"/>
    </row>
    <row r="3" spans="1:18" ht="18">
      <c r="A3" s="265" t="s">
        <v>415</v>
      </c>
      <c r="B3" s="25"/>
      <c r="C3" s="25"/>
      <c r="D3" s="25"/>
      <c r="E3" s="25"/>
      <c r="F3" s="25"/>
    </row>
    <row r="4" spans="1:18" ht="18">
      <c r="A4" s="265" t="s">
        <v>416</v>
      </c>
      <c r="B4" s="25"/>
      <c r="C4" s="25"/>
      <c r="D4" s="25"/>
      <c r="E4" s="25"/>
      <c r="F4" s="25"/>
    </row>
    <row r="5" spans="1:18" ht="18">
      <c r="A5" s="265" t="s">
        <v>417</v>
      </c>
      <c r="B5" s="25"/>
      <c r="C5" s="25"/>
      <c r="D5" s="25"/>
      <c r="E5" s="25"/>
      <c r="F5" s="25"/>
    </row>
    <row r="7" spans="1:18">
      <c r="A7" s="28"/>
      <c r="N7" s="1"/>
      <c r="O7" s="1"/>
      <c r="P7" s="1"/>
      <c r="Q7" s="1"/>
      <c r="R7" s="1"/>
    </row>
    <row r="8" spans="1:18" ht="15.75">
      <c r="A8" s="307" t="s">
        <v>35</v>
      </c>
      <c r="B8" s="39"/>
      <c r="C8" s="39"/>
      <c r="D8" s="309" t="s">
        <v>36</v>
      </c>
      <c r="E8" s="309" t="s">
        <v>37</v>
      </c>
      <c r="G8" s="310" t="s">
        <v>38</v>
      </c>
      <c r="H8" s="42"/>
      <c r="I8" s="42"/>
      <c r="J8" s="42"/>
      <c r="K8" s="43"/>
      <c r="N8" s="303"/>
      <c r="O8" s="25"/>
      <c r="P8" s="25"/>
      <c r="Q8" s="25"/>
      <c r="R8" s="25"/>
    </row>
    <row r="9" spans="1:18" ht="15.75">
      <c r="A9" s="308"/>
      <c r="B9" s="307" t="s">
        <v>39</v>
      </c>
      <c r="C9" s="308"/>
      <c r="D9" s="306"/>
      <c r="E9" s="306"/>
      <c r="G9" s="311" t="s">
        <v>40</v>
      </c>
      <c r="H9" s="315" t="s">
        <v>41</v>
      </c>
      <c r="I9" s="315" t="s">
        <v>42</v>
      </c>
      <c r="J9" s="315" t="s">
        <v>43</v>
      </c>
      <c r="K9" s="316" t="s">
        <v>412</v>
      </c>
      <c r="N9" s="304"/>
      <c r="O9" s="25"/>
      <c r="P9" s="25"/>
      <c r="Q9" s="25"/>
      <c r="R9" s="25"/>
    </row>
    <row r="10" spans="1:18" ht="15.75">
      <c r="A10" s="308"/>
      <c r="B10" s="307" t="s">
        <v>44</v>
      </c>
      <c r="C10" s="308"/>
      <c r="D10" s="306"/>
      <c r="E10" s="306"/>
      <c r="G10" s="312">
        <v>-0.2</v>
      </c>
      <c r="H10" s="318"/>
      <c r="I10" s="319"/>
      <c r="J10" s="319"/>
      <c r="K10" s="320"/>
      <c r="N10" s="304"/>
      <c r="O10" s="25"/>
      <c r="P10" s="25"/>
      <c r="Q10" s="25"/>
      <c r="R10" s="25"/>
    </row>
    <row r="11" spans="1:18">
      <c r="A11" s="308"/>
      <c r="B11" s="307" t="s">
        <v>45</v>
      </c>
      <c r="C11" s="308"/>
      <c r="D11" s="306"/>
      <c r="E11" s="306"/>
      <c r="G11" s="313">
        <f>G10+4%</f>
        <v>-0.16</v>
      </c>
      <c r="H11" s="318"/>
      <c r="I11" s="319"/>
      <c r="J11" s="319"/>
      <c r="K11" s="320"/>
      <c r="N11" s="25"/>
      <c r="O11" s="25"/>
      <c r="P11" s="25"/>
      <c r="Q11" s="25"/>
      <c r="R11" s="25"/>
    </row>
    <row r="12" spans="1:18" ht="15.75">
      <c r="A12" s="308"/>
      <c r="B12" s="307" t="s">
        <v>46</v>
      </c>
      <c r="C12" s="308"/>
      <c r="D12" s="306"/>
      <c r="E12" s="306"/>
      <c r="G12" s="313">
        <f t="shared" ref="G12:G20" si="0">G11+4%</f>
        <v>-0.12</v>
      </c>
      <c r="H12" s="318"/>
      <c r="I12" s="319"/>
      <c r="J12" s="319"/>
      <c r="K12" s="320"/>
      <c r="N12" s="303"/>
      <c r="O12" s="25"/>
      <c r="P12" s="25"/>
      <c r="Q12" s="25"/>
      <c r="R12" s="25"/>
    </row>
    <row r="13" spans="1:18" ht="15.75">
      <c r="A13" t="s">
        <v>49</v>
      </c>
      <c r="G13" s="313">
        <f t="shared" si="0"/>
        <v>-7.9999999999999988E-2</v>
      </c>
      <c r="H13" s="318"/>
      <c r="I13" s="319"/>
      <c r="J13" s="319"/>
      <c r="K13" s="320"/>
      <c r="N13" s="304"/>
      <c r="O13" s="25"/>
      <c r="P13" s="25"/>
      <c r="Q13" s="25"/>
      <c r="R13" s="25"/>
    </row>
    <row r="14" spans="1:18" ht="15.75">
      <c r="A14" s="425" t="s">
        <v>47</v>
      </c>
      <c r="B14" s="12"/>
      <c r="C14" s="12"/>
      <c r="D14" s="12" t="s">
        <v>50</v>
      </c>
      <c r="E14" s="13" t="s">
        <v>51</v>
      </c>
      <c r="G14" s="313">
        <f t="shared" si="0"/>
        <v>-3.9999999999999987E-2</v>
      </c>
      <c r="H14" s="318"/>
      <c r="I14" s="319"/>
      <c r="J14" s="319"/>
      <c r="K14" s="320"/>
      <c r="N14" s="304"/>
      <c r="O14" s="25"/>
      <c r="P14" s="25"/>
      <c r="Q14" s="25"/>
      <c r="R14" s="25"/>
    </row>
    <row r="15" spans="1:18">
      <c r="A15" s="33">
        <v>33662</v>
      </c>
      <c r="B15" s="34">
        <v>1</v>
      </c>
      <c r="C15" s="34"/>
      <c r="D15" s="35">
        <v>7.0599999999999996E-2</v>
      </c>
      <c r="E15" s="40">
        <f t="shared" ref="E15:E76" si="1">LN(1+D15)</f>
        <v>6.8219238977143853E-2</v>
      </c>
      <c r="G15" s="313">
        <f t="shared" si="0"/>
        <v>0</v>
      </c>
      <c r="H15" s="318"/>
      <c r="I15" s="319"/>
      <c r="J15" s="319"/>
      <c r="K15" s="320"/>
      <c r="N15" s="25"/>
      <c r="O15" s="25"/>
      <c r="P15" s="25"/>
      <c r="Q15" s="25"/>
      <c r="R15" s="25"/>
    </row>
    <row r="16" spans="1:18">
      <c r="A16" s="33">
        <v>33694</v>
      </c>
      <c r="B16" s="34">
        <v>2</v>
      </c>
      <c r="C16" s="34"/>
      <c r="D16" s="35">
        <v>-0.1154</v>
      </c>
      <c r="E16" s="40">
        <f t="shared" si="1"/>
        <v>-0.12261971354791061</v>
      </c>
      <c r="G16" s="313">
        <f t="shared" si="0"/>
        <v>0.04</v>
      </c>
      <c r="H16" s="318"/>
      <c r="I16" s="319"/>
      <c r="J16" s="319"/>
      <c r="K16" s="320"/>
      <c r="N16" s="25"/>
      <c r="O16" s="25"/>
      <c r="P16" s="25"/>
      <c r="Q16" s="25"/>
      <c r="R16" s="25"/>
    </row>
    <row r="17" spans="1:18" ht="15.75">
      <c r="A17" s="33">
        <v>33724</v>
      </c>
      <c r="B17" s="34">
        <v>3</v>
      </c>
      <c r="C17" s="34"/>
      <c r="D17" s="35">
        <v>7.7700000000000005E-2</v>
      </c>
      <c r="E17" s="40">
        <f t="shared" si="1"/>
        <v>7.4829140620649076E-2</v>
      </c>
      <c r="G17" s="313">
        <f t="shared" si="0"/>
        <v>0.08</v>
      </c>
      <c r="H17" s="318"/>
      <c r="I17" s="319"/>
      <c r="J17" s="319"/>
      <c r="K17" s="320"/>
      <c r="N17" s="303"/>
      <c r="O17" s="25"/>
      <c r="P17" s="25"/>
      <c r="Q17" s="25"/>
      <c r="R17" s="25"/>
    </row>
    <row r="18" spans="1:18" ht="15.75">
      <c r="A18" s="33">
        <v>33753</v>
      </c>
      <c r="B18" s="34">
        <v>4</v>
      </c>
      <c r="C18" s="34"/>
      <c r="D18" s="35">
        <v>0.1066</v>
      </c>
      <c r="E18" s="40">
        <f t="shared" si="1"/>
        <v>0.10129225148187235</v>
      </c>
      <c r="G18" s="313">
        <f t="shared" si="0"/>
        <v>0.12</v>
      </c>
      <c r="H18" s="318"/>
      <c r="I18" s="319"/>
      <c r="J18" s="319"/>
      <c r="K18" s="320"/>
      <c r="N18" s="304"/>
      <c r="O18" s="25"/>
      <c r="P18" s="25"/>
      <c r="Q18" s="25"/>
      <c r="R18" s="25"/>
    </row>
    <row r="19" spans="1:18" ht="15.75">
      <c r="A19" s="33">
        <v>33785</v>
      </c>
      <c r="B19" s="34">
        <v>5</v>
      </c>
      <c r="C19" s="34"/>
      <c r="D19" s="35">
        <v>-0.1172</v>
      </c>
      <c r="E19" s="40">
        <f t="shared" si="1"/>
        <v>-0.12465660459955569</v>
      </c>
      <c r="G19" s="313">
        <f t="shared" si="0"/>
        <v>0.16</v>
      </c>
      <c r="H19" s="318"/>
      <c r="I19" s="319"/>
      <c r="J19" s="319"/>
      <c r="K19" s="320"/>
      <c r="N19" s="304"/>
      <c r="O19" s="25"/>
      <c r="P19" s="25"/>
      <c r="Q19" s="25"/>
      <c r="R19" s="25"/>
    </row>
    <row r="20" spans="1:18">
      <c r="A20" s="33">
        <v>33816</v>
      </c>
      <c r="B20" s="34">
        <v>6</v>
      </c>
      <c r="C20" s="34"/>
      <c r="D20" s="35">
        <v>-8.2600000000000007E-2</v>
      </c>
      <c r="E20" s="40">
        <f t="shared" si="1"/>
        <v>-8.6211696819065445E-2</v>
      </c>
      <c r="G20" s="314">
        <f t="shared" si="0"/>
        <v>0.2</v>
      </c>
      <c r="H20" s="318"/>
      <c r="I20" s="319"/>
      <c r="J20" s="319"/>
      <c r="K20" s="320"/>
      <c r="N20" s="25"/>
      <c r="O20" s="25"/>
      <c r="P20" s="25"/>
      <c r="Q20" s="25"/>
      <c r="R20" s="25"/>
    </row>
    <row r="21" spans="1:18" ht="13.5" thickBot="1">
      <c r="A21" s="33">
        <v>33847</v>
      </c>
      <c r="B21" s="34">
        <v>7</v>
      </c>
      <c r="C21" s="34"/>
      <c r="D21" s="35">
        <v>-2.8899999999999999E-2</v>
      </c>
      <c r="E21" s="40">
        <f t="shared" si="1"/>
        <v>-2.9325829381828733E-2</v>
      </c>
      <c r="G21" s="321" t="s">
        <v>48</v>
      </c>
      <c r="H21" s="317">
        <f>SUM(H10:H20)</f>
        <v>0</v>
      </c>
      <c r="I21" s="30"/>
      <c r="J21" s="30"/>
      <c r="K21" s="31"/>
      <c r="N21" s="25"/>
      <c r="O21" s="25"/>
      <c r="P21" s="25"/>
      <c r="Q21" s="25"/>
      <c r="R21" s="25"/>
    </row>
    <row r="22" spans="1:18" ht="15.75">
      <c r="A22" s="33">
        <v>33877</v>
      </c>
      <c r="B22" s="34">
        <v>8</v>
      </c>
      <c r="C22" s="34"/>
      <c r="D22" s="35">
        <v>9.9299999999999999E-2</v>
      </c>
      <c r="E22" s="40">
        <f t="shared" si="1"/>
        <v>9.4673613602680992E-2</v>
      </c>
      <c r="I22" s="30"/>
      <c r="J22" s="30"/>
      <c r="N22" s="303"/>
      <c r="O22" s="25"/>
      <c r="P22" s="25"/>
      <c r="Q22" s="25"/>
      <c r="R22" s="25"/>
    </row>
    <row r="23" spans="1:18" ht="15.75">
      <c r="A23" s="33">
        <v>33907</v>
      </c>
      <c r="B23" s="34">
        <v>9</v>
      </c>
      <c r="C23" s="34"/>
      <c r="D23" s="35">
        <v>0.1265</v>
      </c>
      <c r="E23" s="40">
        <f t="shared" si="1"/>
        <v>0.11911548089016212</v>
      </c>
      <c r="G23" s="28"/>
      <c r="H23" s="32"/>
      <c r="I23" s="30"/>
      <c r="N23" s="304"/>
      <c r="O23" s="25"/>
      <c r="P23" s="25"/>
      <c r="Q23" s="25"/>
      <c r="R23" s="25"/>
    </row>
    <row r="24" spans="1:18" ht="15.75">
      <c r="A24" s="33">
        <v>33938</v>
      </c>
      <c r="B24" s="34">
        <v>10</v>
      </c>
      <c r="C24" s="34"/>
      <c r="D24" s="35">
        <v>7.7499999999999999E-2</v>
      </c>
      <c r="E24" s="40">
        <f t="shared" si="1"/>
        <v>7.4643542995765713E-2</v>
      </c>
      <c r="G24" s="8"/>
      <c r="H24" s="8"/>
      <c r="I24" s="8"/>
      <c r="N24" s="304"/>
      <c r="O24" s="25"/>
      <c r="P24" s="25"/>
      <c r="Q24" s="25"/>
      <c r="R24" s="25"/>
    </row>
    <row r="25" spans="1:18">
      <c r="A25" s="33">
        <v>33969</v>
      </c>
      <c r="B25" s="34">
        <v>11</v>
      </c>
      <c r="C25" s="34"/>
      <c r="D25" s="35">
        <v>5.96E-2</v>
      </c>
      <c r="E25" s="40">
        <f t="shared" si="1"/>
        <v>5.7891478415777679E-2</v>
      </c>
      <c r="H25" s="29"/>
      <c r="I25" s="30"/>
      <c r="N25" s="1"/>
      <c r="O25" s="1"/>
      <c r="P25" s="1"/>
      <c r="Q25" s="1"/>
      <c r="R25" s="1"/>
    </row>
    <row r="26" spans="1:18">
      <c r="A26" s="33">
        <v>33998</v>
      </c>
      <c r="B26" s="34">
        <v>12</v>
      </c>
      <c r="C26" s="34"/>
      <c r="D26" s="35">
        <v>-0.1171</v>
      </c>
      <c r="E26" s="40">
        <f t="shared" si="1"/>
        <v>-0.12454333507460025</v>
      </c>
      <c r="H26" s="29"/>
      <c r="I26" s="30"/>
    </row>
    <row r="27" spans="1:18">
      <c r="A27" s="33">
        <v>34026</v>
      </c>
      <c r="B27" s="34">
        <v>13</v>
      </c>
      <c r="C27" s="34"/>
      <c r="D27" s="35">
        <v>4.4999999999999998E-2</v>
      </c>
      <c r="E27" s="40">
        <f t="shared" si="1"/>
        <v>4.401688541677426E-2</v>
      </c>
      <c r="H27" s="29"/>
      <c r="I27" s="30"/>
    </row>
    <row r="28" spans="1:18">
      <c r="A28" s="33">
        <v>34059</v>
      </c>
      <c r="B28" s="34">
        <v>14</v>
      </c>
      <c r="C28" s="34"/>
      <c r="D28" s="35">
        <v>-3.0499999999999999E-2</v>
      </c>
      <c r="E28" s="40">
        <f t="shared" si="1"/>
        <v>-3.0974804299430527E-2</v>
      </c>
      <c r="H28" s="29"/>
      <c r="I28" s="30"/>
    </row>
    <row r="29" spans="1:18">
      <c r="A29" s="33">
        <v>34089</v>
      </c>
      <c r="B29" s="34">
        <v>15</v>
      </c>
      <c r="C29" s="34"/>
      <c r="D29" s="35">
        <v>-1.2999999999999999E-2</v>
      </c>
      <c r="E29" s="40">
        <f t="shared" si="1"/>
        <v>-1.3085239548655481E-2</v>
      </c>
      <c r="H29" s="29"/>
      <c r="I29" s="30"/>
    </row>
    <row r="30" spans="1:18">
      <c r="A30" s="33">
        <v>34120</v>
      </c>
      <c r="B30" s="34">
        <v>16</v>
      </c>
      <c r="C30" s="34"/>
      <c r="D30" s="35">
        <v>0.13789999999999999</v>
      </c>
      <c r="E30" s="40">
        <f t="shared" si="1"/>
        <v>0.12918445838082582</v>
      </c>
    </row>
    <row r="31" spans="1:18">
      <c r="A31" s="33">
        <v>34150</v>
      </c>
      <c r="B31" s="34">
        <v>17</v>
      </c>
      <c r="C31" s="34"/>
      <c r="D31" s="35">
        <v>5.1299999999999998E-2</v>
      </c>
      <c r="E31" s="40">
        <f t="shared" si="1"/>
        <v>5.0027493599648067E-2</v>
      </c>
    </row>
    <row r="32" spans="1:18">
      <c r="A32" s="33">
        <v>34180</v>
      </c>
      <c r="B32" s="34">
        <v>18</v>
      </c>
      <c r="C32" s="34"/>
      <c r="D32" s="35">
        <v>4.4400000000000002E-2</v>
      </c>
      <c r="E32" s="40">
        <f t="shared" si="1"/>
        <v>4.3442557842836724E-2</v>
      </c>
    </row>
    <row r="33" spans="1:5">
      <c r="A33" s="33">
        <v>34212</v>
      </c>
      <c r="B33" s="34">
        <v>19</v>
      </c>
      <c r="C33" s="34"/>
      <c r="D33" s="35">
        <v>0.21229999999999999</v>
      </c>
      <c r="E33" s="40">
        <f t="shared" si="1"/>
        <v>0.19251938177040057</v>
      </c>
    </row>
    <row r="34" spans="1:5">
      <c r="A34" s="33">
        <v>34242</v>
      </c>
      <c r="B34" s="34">
        <v>20</v>
      </c>
      <c r="C34" s="34"/>
      <c r="D34" s="35">
        <v>-0.1191</v>
      </c>
      <c r="E34" s="40">
        <f t="shared" si="1"/>
        <v>-0.12681116686638705</v>
      </c>
    </row>
    <row r="35" spans="1:5">
      <c r="A35" s="33">
        <v>34271</v>
      </c>
      <c r="B35" s="34">
        <v>21</v>
      </c>
      <c r="C35" s="34"/>
      <c r="D35" s="35">
        <v>9.9400000000000002E-2</v>
      </c>
      <c r="E35" s="40">
        <f t="shared" si="1"/>
        <v>9.4764576444422877E-2</v>
      </c>
    </row>
    <row r="36" spans="1:5">
      <c r="A36" s="33">
        <v>34303</v>
      </c>
      <c r="B36" s="34">
        <v>22</v>
      </c>
      <c r="C36" s="34"/>
      <c r="D36" s="35">
        <v>-4.3400000000000001E-2</v>
      </c>
      <c r="E36" s="40">
        <f t="shared" si="1"/>
        <v>-4.4369947735940531E-2</v>
      </c>
    </row>
    <row r="37" spans="1:5">
      <c r="A37" s="33">
        <v>34334</v>
      </c>
      <c r="B37" s="34">
        <v>23</v>
      </c>
      <c r="C37" s="34"/>
      <c r="D37" s="35">
        <v>0.1229</v>
      </c>
      <c r="E37" s="40">
        <f t="shared" si="1"/>
        <v>0.11591462459635593</v>
      </c>
    </row>
    <row r="38" spans="1:5">
      <c r="A38" s="33">
        <v>34365</v>
      </c>
      <c r="B38" s="34">
        <v>24</v>
      </c>
      <c r="C38" s="34"/>
      <c r="D38" s="35">
        <v>-1.43E-2</v>
      </c>
      <c r="E38" s="40">
        <f t="shared" si="1"/>
        <v>-1.4403230310743743E-2</v>
      </c>
    </row>
    <row r="39" spans="1:5">
      <c r="A39" s="33">
        <v>34393</v>
      </c>
      <c r="B39" s="34">
        <v>25</v>
      </c>
      <c r="C39" s="34"/>
      <c r="D39" s="35">
        <v>2.7300000000000001E-2</v>
      </c>
      <c r="E39" s="40">
        <f t="shared" si="1"/>
        <v>2.6934001240081041E-2</v>
      </c>
    </row>
    <row r="40" spans="1:5">
      <c r="A40" s="33">
        <v>34424</v>
      </c>
      <c r="B40" s="34">
        <v>26</v>
      </c>
      <c r="C40" s="34"/>
      <c r="D40" s="35">
        <v>-0.1421</v>
      </c>
      <c r="E40" s="40">
        <f t="shared" si="1"/>
        <v>-0.1532677364032175</v>
      </c>
    </row>
    <row r="41" spans="1:5">
      <c r="A41" s="33">
        <v>34453</v>
      </c>
      <c r="B41" s="34">
        <v>27</v>
      </c>
      <c r="C41" s="34"/>
      <c r="D41" s="35">
        <v>5.4199999999999998E-2</v>
      </c>
      <c r="E41" s="40">
        <f t="shared" si="1"/>
        <v>5.2782185438969481E-2</v>
      </c>
    </row>
    <row r="42" spans="1:5">
      <c r="A42" s="33">
        <v>34485</v>
      </c>
      <c r="B42" s="34">
        <v>28</v>
      </c>
      <c r="C42" s="34"/>
      <c r="D42" s="35">
        <v>-2.3900000000000001E-2</v>
      </c>
      <c r="E42" s="40">
        <f t="shared" si="1"/>
        <v>-2.4190238801217671E-2</v>
      </c>
    </row>
    <row r="43" spans="1:5">
      <c r="A43" s="33">
        <v>34515</v>
      </c>
      <c r="B43" s="34">
        <v>29</v>
      </c>
      <c r="C43" s="34"/>
      <c r="D43" s="35">
        <v>-7.7200000000000005E-2</v>
      </c>
      <c r="E43" s="40">
        <f t="shared" si="1"/>
        <v>-8.0342752682538501E-2</v>
      </c>
    </row>
    <row r="44" spans="1:5">
      <c r="A44" s="33">
        <v>34544</v>
      </c>
      <c r="B44" s="34">
        <v>30</v>
      </c>
      <c r="C44" s="34"/>
      <c r="D44" s="35">
        <v>0.12959999999999999</v>
      </c>
      <c r="E44" s="40">
        <f t="shared" si="1"/>
        <v>0.12186358775684052</v>
      </c>
    </row>
    <row r="45" spans="1:5">
      <c r="A45" s="33">
        <v>34577</v>
      </c>
      <c r="B45" s="34">
        <v>31</v>
      </c>
      <c r="C45" s="34"/>
      <c r="D45" s="35">
        <v>0.13550000000000001</v>
      </c>
      <c r="E45" s="40">
        <f t="shared" si="1"/>
        <v>0.12707308256347608</v>
      </c>
    </row>
    <row r="46" spans="1:5">
      <c r="A46" s="33">
        <v>34607</v>
      </c>
      <c r="B46" s="34">
        <v>32</v>
      </c>
      <c r="C46" s="34"/>
      <c r="D46" s="35">
        <v>-5.7299999999999997E-2</v>
      </c>
      <c r="E46" s="40">
        <f t="shared" si="1"/>
        <v>-5.9007180580032424E-2</v>
      </c>
    </row>
    <row r="47" spans="1:5">
      <c r="A47" s="33">
        <v>34638</v>
      </c>
      <c r="B47" s="34">
        <v>33</v>
      </c>
      <c r="C47" s="34"/>
      <c r="D47" s="35">
        <v>7.0900000000000005E-2</v>
      </c>
      <c r="E47" s="40">
        <f t="shared" si="1"/>
        <v>6.8499416424692261E-2</v>
      </c>
    </row>
    <row r="48" spans="1:5">
      <c r="A48" s="33">
        <v>34668</v>
      </c>
      <c r="B48" s="34">
        <v>34</v>
      </c>
      <c r="C48" s="34"/>
      <c r="D48" s="35">
        <v>-4.2599999999999999E-2</v>
      </c>
      <c r="E48" s="40">
        <f t="shared" si="1"/>
        <v>-4.3534002023728369E-2</v>
      </c>
    </row>
    <row r="49" spans="1:5">
      <c r="A49" s="33">
        <v>34698</v>
      </c>
      <c r="B49" s="34">
        <v>35</v>
      </c>
      <c r="C49" s="34"/>
      <c r="D49" s="35">
        <v>4.6899999999999997E-2</v>
      </c>
      <c r="E49" s="40">
        <f t="shared" si="1"/>
        <v>4.5833416343172152E-2</v>
      </c>
    </row>
    <row r="50" spans="1:5">
      <c r="A50" s="33">
        <v>34730</v>
      </c>
      <c r="B50" s="34">
        <v>36</v>
      </c>
      <c r="C50" s="34"/>
      <c r="D50" s="35">
        <v>-0.1132</v>
      </c>
      <c r="E50" s="40">
        <f t="shared" si="1"/>
        <v>-0.12013580123998062</v>
      </c>
    </row>
    <row r="51" spans="1:5">
      <c r="A51" s="33">
        <v>34758</v>
      </c>
      <c r="B51" s="34">
        <v>37</v>
      </c>
      <c r="C51" s="34"/>
      <c r="D51" s="35">
        <v>5.3E-3</v>
      </c>
      <c r="E51" s="40">
        <f t="shared" si="1"/>
        <v>5.2860044292374377E-3</v>
      </c>
    </row>
    <row r="52" spans="1:5">
      <c r="A52" s="33">
        <v>34789</v>
      </c>
      <c r="B52" s="34">
        <v>38</v>
      </c>
      <c r="C52" s="34"/>
      <c r="D52" s="35">
        <v>5.0299999999999997E-2</v>
      </c>
      <c r="E52" s="40">
        <f t="shared" si="1"/>
        <v>4.9075837646592645E-2</v>
      </c>
    </row>
    <row r="53" spans="1:5">
      <c r="A53" s="33">
        <v>34817</v>
      </c>
      <c r="B53" s="34">
        <v>39</v>
      </c>
      <c r="C53" s="34"/>
      <c r="D53" s="35">
        <v>-2.0199999999999999E-2</v>
      </c>
      <c r="E53" s="40">
        <f t="shared" si="1"/>
        <v>-2.040680977766262E-2</v>
      </c>
    </row>
    <row r="54" spans="1:5">
      <c r="A54" s="33">
        <v>34850</v>
      </c>
      <c r="B54" s="34">
        <v>40</v>
      </c>
      <c r="C54" s="34"/>
      <c r="D54" s="35">
        <v>6.4299999999999996E-2</v>
      </c>
      <c r="E54" s="40">
        <f t="shared" si="1"/>
        <v>6.2317306064861584E-2</v>
      </c>
    </row>
    <row r="55" spans="1:5">
      <c r="A55" s="33">
        <v>34880</v>
      </c>
      <c r="B55" s="34">
        <v>41</v>
      </c>
      <c r="C55" s="34"/>
      <c r="D55" s="35">
        <v>0.128</v>
      </c>
      <c r="E55" s="40">
        <f t="shared" si="1"/>
        <v>0.12044615307586726</v>
      </c>
    </row>
    <row r="56" spans="1:5">
      <c r="A56" s="33">
        <v>34911</v>
      </c>
      <c r="B56" s="34">
        <v>42</v>
      </c>
      <c r="C56" s="34"/>
      <c r="D56" s="35">
        <v>2.5700000000000001E-2</v>
      </c>
      <c r="E56" s="40">
        <f t="shared" si="1"/>
        <v>2.5375306331228299E-2</v>
      </c>
    </row>
    <row r="57" spans="1:5">
      <c r="A57" s="33">
        <v>34942</v>
      </c>
      <c r="B57" s="34">
        <v>43</v>
      </c>
      <c r="C57" s="34"/>
      <c r="D57" s="35">
        <v>0.1065</v>
      </c>
      <c r="E57" s="40">
        <f t="shared" si="1"/>
        <v>0.10120188050896733</v>
      </c>
    </row>
    <row r="58" spans="1:5">
      <c r="A58" s="33">
        <v>34971</v>
      </c>
      <c r="B58" s="34">
        <v>44</v>
      </c>
      <c r="C58" s="34"/>
      <c r="D58" s="35">
        <v>1.9E-3</v>
      </c>
      <c r="E58" s="40">
        <f t="shared" si="1"/>
        <v>1.8981972830802655E-3</v>
      </c>
    </row>
    <row r="59" spans="1:5">
      <c r="A59" s="33">
        <v>35003</v>
      </c>
      <c r="B59" s="34">
        <v>45</v>
      </c>
      <c r="C59" s="34"/>
      <c r="D59" s="35">
        <v>-1.6899999999999998E-2</v>
      </c>
      <c r="E59" s="40">
        <f t="shared" si="1"/>
        <v>-1.7044434609258474E-2</v>
      </c>
    </row>
    <row r="60" spans="1:5">
      <c r="A60" s="33">
        <v>35033</v>
      </c>
      <c r="B60" s="34">
        <v>46</v>
      </c>
      <c r="C60" s="34"/>
      <c r="D60" s="35">
        <v>-0.10340000000000001</v>
      </c>
      <c r="E60" s="40">
        <f t="shared" si="1"/>
        <v>-0.10914544726079799</v>
      </c>
    </row>
    <row r="61" spans="1:5">
      <c r="A61" s="33">
        <v>35062</v>
      </c>
      <c r="B61" s="34">
        <v>47</v>
      </c>
      <c r="C61" s="34"/>
      <c r="D61" s="35">
        <v>-1.4999999999999999E-2</v>
      </c>
      <c r="E61" s="40">
        <f t="shared" si="1"/>
        <v>-1.5113637810048184E-2</v>
      </c>
    </row>
    <row r="62" spans="1:5">
      <c r="A62" s="33">
        <v>35095</v>
      </c>
      <c r="B62" s="34">
        <v>48</v>
      </c>
      <c r="C62" s="34"/>
      <c r="D62" s="35">
        <v>3.04E-2</v>
      </c>
      <c r="E62" s="40">
        <f t="shared" si="1"/>
        <v>2.9947076367952099E-2</v>
      </c>
    </row>
    <row r="63" spans="1:5">
      <c r="A63" s="33">
        <v>35124</v>
      </c>
      <c r="B63" s="34">
        <v>49</v>
      </c>
      <c r="C63" s="34"/>
      <c r="D63" s="35">
        <v>-2.53E-2</v>
      </c>
      <c r="E63" s="40">
        <f t="shared" si="1"/>
        <v>-2.5625547638972731E-2</v>
      </c>
    </row>
    <row r="64" spans="1:5">
      <c r="A64" s="33">
        <v>35153</v>
      </c>
      <c r="B64" s="34">
        <v>50</v>
      </c>
      <c r="C64" s="34"/>
      <c r="D64" s="35">
        <v>4.7500000000000001E-2</v>
      </c>
      <c r="E64" s="40">
        <f t="shared" si="1"/>
        <v>4.6406372814155834E-2</v>
      </c>
    </row>
    <row r="65" spans="1:5">
      <c r="A65" s="33">
        <v>35185</v>
      </c>
      <c r="B65" s="34">
        <v>51</v>
      </c>
      <c r="C65" s="34"/>
      <c r="D65" s="35">
        <v>9.4799999999999995E-2</v>
      </c>
      <c r="E65" s="40">
        <f t="shared" si="1"/>
        <v>9.0571698184386956E-2</v>
      </c>
    </row>
    <row r="66" spans="1:5">
      <c r="A66" s="33">
        <v>35216</v>
      </c>
      <c r="B66" s="34">
        <v>52</v>
      </c>
      <c r="C66" s="34"/>
      <c r="D66" s="35">
        <v>-3.7699999999999997E-2</v>
      </c>
      <c r="E66" s="40">
        <f t="shared" si="1"/>
        <v>-3.8429026619781856E-2</v>
      </c>
    </row>
    <row r="67" spans="1:5">
      <c r="A67" s="33">
        <v>35244</v>
      </c>
      <c r="B67" s="34">
        <v>53</v>
      </c>
      <c r="C67" s="34"/>
      <c r="D67" s="35">
        <v>-6.2600000000000003E-2</v>
      </c>
      <c r="E67" s="40">
        <f t="shared" si="1"/>
        <v>-6.4645193493531289E-2</v>
      </c>
    </row>
    <row r="68" spans="1:5">
      <c r="A68" s="33">
        <v>35277</v>
      </c>
      <c r="B68" s="34">
        <v>54</v>
      </c>
      <c r="C68" s="34"/>
      <c r="D68" s="35">
        <v>-4.1799999999999997E-2</v>
      </c>
      <c r="E68" s="40">
        <f t="shared" si="1"/>
        <v>-4.2698754533115245E-2</v>
      </c>
    </row>
    <row r="69" spans="1:5">
      <c r="A69" s="33">
        <v>35307</v>
      </c>
      <c r="B69" s="34">
        <v>55</v>
      </c>
      <c r="C69" s="34"/>
      <c r="D69" s="35">
        <v>5.6599999999999998E-2</v>
      </c>
      <c r="E69" s="40">
        <f t="shared" si="1"/>
        <v>5.5056205748078388E-2</v>
      </c>
    </row>
    <row r="70" spans="1:5">
      <c r="A70" s="33">
        <v>35338</v>
      </c>
      <c r="B70" s="34">
        <v>56</v>
      </c>
      <c r="C70" s="34"/>
      <c r="D70" s="35">
        <v>-8.6599999999999996E-2</v>
      </c>
      <c r="E70" s="40">
        <f t="shared" si="1"/>
        <v>-9.0581378231238477E-2</v>
      </c>
    </row>
    <row r="71" spans="1:5">
      <c r="A71" s="33">
        <v>35369</v>
      </c>
      <c r="B71" s="34">
        <v>57</v>
      </c>
      <c r="C71" s="34"/>
      <c r="D71" s="35">
        <v>7.22E-2</v>
      </c>
      <c r="E71" s="40">
        <f t="shared" si="1"/>
        <v>6.9712612411300348E-2</v>
      </c>
    </row>
    <row r="72" spans="1:5">
      <c r="A72" s="33">
        <v>35398</v>
      </c>
      <c r="B72" s="34">
        <v>58</v>
      </c>
      <c r="C72" s="34"/>
      <c r="D72" s="35">
        <v>8.4199999999999997E-2</v>
      </c>
      <c r="E72" s="40">
        <f t="shared" si="1"/>
        <v>8.0842387844100805E-2</v>
      </c>
    </row>
    <row r="73" spans="1:5">
      <c r="A73" s="33">
        <v>35430</v>
      </c>
      <c r="B73" s="34">
        <v>59</v>
      </c>
      <c r="C73" s="34"/>
      <c r="D73" s="35">
        <v>-4.2700000000000002E-2</v>
      </c>
      <c r="E73" s="40">
        <f t="shared" si="1"/>
        <v>-4.3638457029829492E-2</v>
      </c>
    </row>
    <row r="74" spans="1:5">
      <c r="A74" s="33">
        <v>35461</v>
      </c>
      <c r="B74" s="34">
        <v>60</v>
      </c>
      <c r="C74" s="34"/>
      <c r="D74" s="35">
        <v>9.5299999999999996E-2</v>
      </c>
      <c r="E74" s="40">
        <f t="shared" si="1"/>
        <v>9.1028298347563763E-2</v>
      </c>
    </row>
    <row r="75" spans="1:5">
      <c r="A75" s="33">
        <v>35489</v>
      </c>
      <c r="B75" s="34">
        <v>61</v>
      </c>
      <c r="C75" s="34"/>
      <c r="D75" s="35">
        <v>7.9600000000000004E-2</v>
      </c>
      <c r="E75" s="40">
        <f t="shared" si="1"/>
        <v>7.6590602161712637E-2</v>
      </c>
    </row>
    <row r="76" spans="1:5">
      <c r="A76" s="36">
        <v>35520</v>
      </c>
      <c r="B76" s="37">
        <v>62</v>
      </c>
      <c r="C76" s="37"/>
      <c r="D76" s="38">
        <v>-4.4600000000000001E-2</v>
      </c>
      <c r="E76" s="41">
        <f t="shared" si="1"/>
        <v>-4.5625178026275554E-2</v>
      </c>
    </row>
  </sheetData>
  <phoneticPr fontId="20" type="noConversion"/>
  <pageMargins left="0.75" right="0.75" top="1" bottom="1" header="0.5" footer="0.5"/>
  <pageSetup orientation="portrait" horizontalDpi="4294967295" r:id="rId1"/>
  <headerFooter alignWithMargins="0"/>
  <legacyDrawing r:id="rId2"/>
  <oleObjects>
    <oleObject progId="Equation.3" shapeId="10242" r:id="rId3"/>
  </oleObjec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5"/>
  <dimension ref="A1:P47"/>
  <sheetViews>
    <sheetView showGridLines="0" topLeftCell="A7" workbookViewId="0">
      <selection activeCell="E15" sqref="E15"/>
    </sheetView>
  </sheetViews>
  <sheetFormatPr defaultRowHeight="12.75"/>
  <cols>
    <col min="1" max="1" width="13.85546875" style="51" customWidth="1"/>
    <col min="2" max="2" width="9.7109375" style="51" customWidth="1"/>
    <col min="3" max="3" width="9.5703125" style="51" bestFit="1" customWidth="1"/>
    <col min="4" max="6" width="8.7109375" style="51" customWidth="1"/>
    <col min="7" max="11" width="9.140625" style="51"/>
    <col min="12" max="12" width="13.140625" style="51" customWidth="1"/>
    <col min="13" max="16384" width="9.140625" style="51"/>
  </cols>
  <sheetData>
    <row r="1" spans="1:16" ht="27.75">
      <c r="A1" s="59" t="s">
        <v>424</v>
      </c>
      <c r="B1" s="59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</row>
    <row r="2" spans="1:16">
      <c r="A2" s="50"/>
    </row>
    <row r="3" spans="1:16" ht="18.75">
      <c r="A3" s="458" t="s">
        <v>516</v>
      </c>
    </row>
    <row r="4" spans="1:16">
      <c r="A4" s="50"/>
    </row>
    <row r="5" spans="1:16" s="323" customFormat="1" ht="15.75">
      <c r="A5" s="322" t="s">
        <v>54</v>
      </c>
    </row>
    <row r="6" spans="1:16" s="323" customFormat="1">
      <c r="A6" s="476" t="s">
        <v>418</v>
      </c>
      <c r="B6" s="476"/>
      <c r="C6" s="476"/>
      <c r="D6" s="363">
        <v>1</v>
      </c>
    </row>
    <row r="7" spans="1:16" s="323" customFormat="1">
      <c r="A7" s="359" t="s">
        <v>479</v>
      </c>
      <c r="B7" s="362"/>
      <c r="C7" s="359"/>
      <c r="D7" s="364">
        <v>0.04</v>
      </c>
      <c r="E7" s="324"/>
    </row>
    <row r="8" spans="1:16" s="323" customFormat="1" ht="16.5">
      <c r="A8" s="476" t="s">
        <v>480</v>
      </c>
      <c r="B8" s="476"/>
      <c r="C8" s="476"/>
      <c r="D8" s="365">
        <f>EXP(D7)-1</f>
        <v>4.0810774192388211E-2</v>
      </c>
      <c r="E8" s="366" t="s">
        <v>423</v>
      </c>
      <c r="F8" s="325"/>
      <c r="G8" s="325"/>
      <c r="H8" s="325"/>
      <c r="I8" s="325"/>
      <c r="J8" s="325"/>
      <c r="K8" s="325"/>
      <c r="L8" s="305"/>
      <c r="M8" s="326"/>
      <c r="N8" s="326"/>
      <c r="O8" s="326"/>
      <c r="P8" s="326"/>
    </row>
    <row r="9" spans="1:16" s="323" customFormat="1" ht="15">
      <c r="A9" s="476" t="s">
        <v>419</v>
      </c>
      <c r="B9" s="476"/>
      <c r="C9" s="476"/>
      <c r="D9" s="363">
        <v>1</v>
      </c>
      <c r="J9" s="441"/>
      <c r="L9" s="328"/>
      <c r="M9" s="326"/>
      <c r="N9" s="326"/>
      <c r="O9" s="326"/>
      <c r="P9" s="326"/>
    </row>
    <row r="10" spans="1:16" s="323" customFormat="1" ht="15">
      <c r="J10" s="327"/>
      <c r="L10" s="328"/>
      <c r="M10" s="326"/>
      <c r="N10" s="326"/>
      <c r="O10" s="326"/>
      <c r="P10" s="326"/>
    </row>
    <row r="11" spans="1:16" s="323" customFormat="1" ht="15.75">
      <c r="A11" s="322" t="s">
        <v>420</v>
      </c>
      <c r="E11" s="329"/>
      <c r="J11" s="327"/>
    </row>
    <row r="12" spans="1:16" s="325" customFormat="1">
      <c r="A12" s="359" t="s">
        <v>55</v>
      </c>
      <c r="B12" s="359"/>
      <c r="C12" s="360">
        <f>$D$6*EXP($D$7*$D$9)</f>
        <v>1.0408107741923882</v>
      </c>
      <c r="J12" s="330"/>
    </row>
    <row r="13" spans="1:16" s="325" customFormat="1">
      <c r="A13" s="361" t="s">
        <v>421</v>
      </c>
      <c r="B13" s="361"/>
      <c r="C13" s="360">
        <f>$D$6*EXP(-$D$7*$D$9)</f>
        <v>0.96078943915232318</v>
      </c>
      <c r="E13" s="331"/>
    </row>
    <row r="14" spans="1:16" s="325" customFormat="1">
      <c r="C14" s="331"/>
      <c r="E14" s="331"/>
    </row>
    <row r="15" spans="1:16" s="325" customFormat="1">
      <c r="E15" s="331"/>
    </row>
    <row r="16" spans="1:16" s="325" customFormat="1">
      <c r="B16" s="332" t="s">
        <v>56</v>
      </c>
    </row>
    <row r="17" spans="1:9" s="325" customFormat="1" ht="13.5" thickBot="1">
      <c r="B17" s="333"/>
      <c r="C17" s="334" t="s">
        <v>422</v>
      </c>
      <c r="D17" s="335" t="s">
        <v>57</v>
      </c>
      <c r="I17" s="325" t="s">
        <v>58</v>
      </c>
    </row>
    <row r="18" spans="1:9" s="325" customFormat="1" ht="13.5" thickBot="1">
      <c r="B18" s="336"/>
      <c r="C18" s="337">
        <f>C12</f>
        <v>1.0408107741923882</v>
      </c>
      <c r="D18" s="338">
        <f>C13</f>
        <v>0.96078943915232318</v>
      </c>
      <c r="I18" s="325" t="str">
        <f>I17&amp;D7</f>
        <v>Rate = 0.04</v>
      </c>
    </row>
    <row r="19" spans="1:9" s="325" customFormat="1">
      <c r="B19" s="339">
        <v>1</v>
      </c>
      <c r="C19" s="340">
        <f t="dataTable" ref="C19:D28" dt2D="0" dtr="0" r1="D9" ca="1"/>
        <v>1.0408107741923882</v>
      </c>
      <c r="D19" s="341">
        <v>0.96078943915232318</v>
      </c>
    </row>
    <row r="20" spans="1:9" s="325" customFormat="1">
      <c r="B20" s="339">
        <v>2</v>
      </c>
      <c r="C20" s="340">
        <v>1.0832870676749586</v>
      </c>
      <c r="D20" s="341">
        <v>0.92311634638663576</v>
      </c>
    </row>
    <row r="21" spans="1:9" s="325" customFormat="1">
      <c r="B21" s="339">
        <v>3</v>
      </c>
      <c r="C21" s="340">
        <v>1.1274968515793757</v>
      </c>
      <c r="D21" s="341">
        <v>0.88692043671715748</v>
      </c>
    </row>
    <row r="22" spans="1:9" s="325" customFormat="1">
      <c r="B22" s="339">
        <v>4</v>
      </c>
      <c r="C22" s="340">
        <v>1.1735108709918103</v>
      </c>
      <c r="D22" s="341">
        <v>0.85214378896621135</v>
      </c>
    </row>
    <row r="23" spans="1:9" s="325" customFormat="1">
      <c r="B23" s="339">
        <v>5</v>
      </c>
      <c r="C23" s="340">
        <v>1.2214027581601699</v>
      </c>
      <c r="D23" s="341">
        <v>0.81873075307798182</v>
      </c>
    </row>
    <row r="24" spans="1:9" s="325" customFormat="1">
      <c r="B24" s="339">
        <v>6</v>
      </c>
      <c r="C24" s="340">
        <v>1.2712491503214047</v>
      </c>
      <c r="D24" s="341">
        <v>0.78662786106655347</v>
      </c>
    </row>
    <row r="25" spans="1:9" s="325" customFormat="1">
      <c r="B25" s="339">
        <v>7</v>
      </c>
      <c r="C25" s="340">
        <v>1.3231298123374369</v>
      </c>
      <c r="D25" s="341">
        <v>0.75578374145572547</v>
      </c>
    </row>
    <row r="26" spans="1:9" s="325" customFormat="1">
      <c r="B26" s="339">
        <v>8</v>
      </c>
      <c r="C26" s="340">
        <v>1.3771277643359572</v>
      </c>
      <c r="D26" s="341">
        <v>0.72614903707369094</v>
      </c>
    </row>
    <row r="27" spans="1:9" s="325" customFormat="1">
      <c r="B27" s="339">
        <v>9</v>
      </c>
      <c r="C27" s="340">
        <v>1.4333294145603401</v>
      </c>
      <c r="D27" s="341">
        <v>0.69767632607103103</v>
      </c>
    </row>
    <row r="28" spans="1:9" s="325" customFormat="1">
      <c r="B28" s="342">
        <v>10</v>
      </c>
      <c r="C28" s="343">
        <v>1.4918246976412703</v>
      </c>
      <c r="D28" s="344">
        <v>0.67032004603563933</v>
      </c>
    </row>
    <row r="29" spans="1:9" s="325" customFormat="1">
      <c r="B29" s="345"/>
      <c r="C29" s="346"/>
      <c r="D29" s="346"/>
    </row>
    <row r="30" spans="1:9" s="325" customFormat="1">
      <c r="A30" s="332"/>
      <c r="B30" s="345"/>
      <c r="C30" s="346"/>
      <c r="D30" s="346"/>
    </row>
    <row r="31" spans="1:9" s="325" customFormat="1" ht="13.5" thickBot="1">
      <c r="B31" s="333"/>
      <c r="C31" s="347"/>
      <c r="D31" s="347"/>
      <c r="E31" s="347" t="s">
        <v>59</v>
      </c>
      <c r="F31" s="347"/>
      <c r="G31" s="347"/>
      <c r="H31" s="348"/>
    </row>
    <row r="32" spans="1:9" s="325" customFormat="1" ht="13.5" thickBot="1">
      <c r="B32" s="349">
        <f>C13</f>
        <v>0.96078943915232318</v>
      </c>
      <c r="C32" s="350">
        <v>0.03</v>
      </c>
      <c r="D32" s="351">
        <v>3.5000000000000003E-2</v>
      </c>
      <c r="E32" s="351">
        <v>0.04</v>
      </c>
      <c r="F32" s="351">
        <v>0.05</v>
      </c>
      <c r="G32" s="351">
        <v>5.5E-2</v>
      </c>
      <c r="H32" s="352">
        <v>0.06</v>
      </c>
    </row>
    <row r="33" spans="1:8" s="325" customFormat="1">
      <c r="B33" s="353">
        <v>1</v>
      </c>
      <c r="C33" s="354">
        <f t="dataTable" ref="C33:H42" dt2D="1" dtr="0" r1="D9" r2="D7"/>
        <v>0.97044553354850815</v>
      </c>
      <c r="D33" s="354">
        <v>0.96560541625756646</v>
      </c>
      <c r="E33" s="354">
        <v>0.96078943915232318</v>
      </c>
      <c r="F33" s="354">
        <v>0.95122942450071402</v>
      </c>
      <c r="G33" s="354">
        <v>0.94648514795348382</v>
      </c>
      <c r="H33" s="355">
        <v>0.94176453358424872</v>
      </c>
    </row>
    <row r="34" spans="1:8" s="325" customFormat="1">
      <c r="B34" s="339">
        <v>2</v>
      </c>
      <c r="C34" s="354">
        <v>0.94176453358424872</v>
      </c>
      <c r="D34" s="354">
        <v>0.93239381990594827</v>
      </c>
      <c r="E34" s="354">
        <v>0.92311634638663576</v>
      </c>
      <c r="F34" s="354">
        <v>0.90483741803595952</v>
      </c>
      <c r="G34" s="354">
        <v>0.89583413529652822</v>
      </c>
      <c r="H34" s="355">
        <v>0.88692043671715748</v>
      </c>
    </row>
    <row r="35" spans="1:8" s="325" customFormat="1">
      <c r="B35" s="339">
        <v>3</v>
      </c>
      <c r="C35" s="354">
        <v>0.91393118527122819</v>
      </c>
      <c r="D35" s="354">
        <v>0.90032452258626561</v>
      </c>
      <c r="E35" s="354">
        <v>0.88692043671715748</v>
      </c>
      <c r="F35" s="354">
        <v>0.86070797642505781</v>
      </c>
      <c r="G35" s="354">
        <v>0.84789370408791587</v>
      </c>
      <c r="H35" s="355">
        <v>0.835270211411272</v>
      </c>
    </row>
    <row r="36" spans="1:8" s="325" customFormat="1">
      <c r="B36" s="339">
        <v>4</v>
      </c>
      <c r="C36" s="354">
        <v>0.88692043671715748</v>
      </c>
      <c r="D36" s="354">
        <v>0.86935823539880586</v>
      </c>
      <c r="E36" s="354">
        <v>0.85214378896621135</v>
      </c>
      <c r="F36" s="354">
        <v>0.81873075307798182</v>
      </c>
      <c r="G36" s="354">
        <v>0.80251879796247849</v>
      </c>
      <c r="H36" s="355">
        <v>0.78662786106655347</v>
      </c>
    </row>
    <row r="37" spans="1:8" s="325" customFormat="1">
      <c r="A37" s="330"/>
      <c r="B37" s="339">
        <v>5</v>
      </c>
      <c r="C37" s="354">
        <v>0.86070797642505781</v>
      </c>
      <c r="D37" s="354">
        <v>0.83945702076920736</v>
      </c>
      <c r="E37" s="354">
        <v>0.81873075307798182</v>
      </c>
      <c r="F37" s="354">
        <v>0.77880078307140488</v>
      </c>
      <c r="G37" s="354">
        <v>0.75957212322496848</v>
      </c>
      <c r="H37" s="355">
        <v>0.74081822068171788</v>
      </c>
    </row>
    <row r="38" spans="1:8" s="325" customFormat="1">
      <c r="B38" s="339">
        <v>6</v>
      </c>
      <c r="C38" s="354">
        <v>0.835270211411272</v>
      </c>
      <c r="D38" s="354">
        <v>0.81058424597018708</v>
      </c>
      <c r="E38" s="354">
        <v>0.78662786106655347</v>
      </c>
      <c r="F38" s="354">
        <v>0.74081822068171788</v>
      </c>
      <c r="G38" s="354">
        <v>0.71892373343192617</v>
      </c>
      <c r="H38" s="355">
        <v>0.69767632607103103</v>
      </c>
    </row>
    <row r="39" spans="1:8" s="325" customFormat="1">
      <c r="B39" s="339">
        <v>7</v>
      </c>
      <c r="C39" s="354">
        <v>0.81058424597018708</v>
      </c>
      <c r="D39" s="354">
        <v>0.78270453824186814</v>
      </c>
      <c r="E39" s="354">
        <v>0.75578374145572547</v>
      </c>
      <c r="F39" s="354">
        <v>0.70468808971871344</v>
      </c>
      <c r="G39" s="354">
        <v>0.68045063620458768</v>
      </c>
      <c r="H39" s="355">
        <v>0.65704681981505675</v>
      </c>
    </row>
    <row r="40" spans="1:8" s="325" customFormat="1">
      <c r="B40" s="339">
        <v>8</v>
      </c>
      <c r="C40" s="354">
        <v>0.78662786106655347</v>
      </c>
      <c r="D40" s="354">
        <v>0.75578374145572547</v>
      </c>
      <c r="E40" s="354">
        <v>0.72614903707369094</v>
      </c>
      <c r="F40" s="354">
        <v>0.67032004603563933</v>
      </c>
      <c r="G40" s="354">
        <v>0.64403642108314141</v>
      </c>
      <c r="H40" s="355">
        <v>0.61878339180614084</v>
      </c>
    </row>
    <row r="41" spans="1:8" s="325" customFormat="1">
      <c r="B41" s="339">
        <v>9</v>
      </c>
      <c r="C41" s="354">
        <v>0.76337949433685315</v>
      </c>
      <c r="D41" s="354">
        <v>0.72978887426905681</v>
      </c>
      <c r="E41" s="354">
        <v>0.69767632607103103</v>
      </c>
      <c r="F41" s="354">
        <v>0.63762815162177333</v>
      </c>
      <c r="G41" s="354">
        <v>0.60957090729630925</v>
      </c>
      <c r="H41" s="355">
        <v>0.58274825237398964</v>
      </c>
    </row>
    <row r="42" spans="1:8" s="325" customFormat="1">
      <c r="B42" s="342">
        <v>10</v>
      </c>
      <c r="C42" s="356">
        <v>0.74081822068171788</v>
      </c>
      <c r="D42" s="356">
        <v>0.70468808971871344</v>
      </c>
      <c r="E42" s="356">
        <v>0.67032004603563933</v>
      </c>
      <c r="F42" s="356">
        <v>0.60653065971263342</v>
      </c>
      <c r="G42" s="356">
        <v>0.57694981038048665</v>
      </c>
      <c r="H42" s="357">
        <v>0.54881163609402639</v>
      </c>
    </row>
    <row r="43" spans="1:8" s="325" customFormat="1">
      <c r="C43" s="358"/>
    </row>
    <row r="44" spans="1:8" s="325" customFormat="1">
      <c r="C44" s="358"/>
    </row>
    <row r="45" spans="1:8" s="325" customFormat="1">
      <c r="C45" s="358"/>
    </row>
    <row r="46" spans="1:8">
      <c r="C46" s="52"/>
    </row>
    <row r="47" spans="1:8">
      <c r="C47" s="52"/>
    </row>
  </sheetData>
  <mergeCells count="3">
    <mergeCell ref="A6:C6"/>
    <mergeCell ref="A8:C8"/>
    <mergeCell ref="A9:C9"/>
  </mergeCells>
  <phoneticPr fontId="20" type="noConversion"/>
  <pageMargins left="0.75" right="0.75" top="1" bottom="1" header="0.5" footer="0.5"/>
  <headerFooter alignWithMargins="0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2"/>
  <dimension ref="A1:N34"/>
  <sheetViews>
    <sheetView workbookViewId="0">
      <selection activeCell="G10" sqref="G10"/>
    </sheetView>
  </sheetViews>
  <sheetFormatPr defaultColWidth="10.28515625" defaultRowHeight="15"/>
  <cols>
    <col min="1" max="1" width="14.7109375" style="368" bestFit="1" customWidth="1"/>
    <col min="2" max="2" width="9.42578125" style="368" customWidth="1"/>
    <col min="3" max="3" width="11" style="368" bestFit="1" customWidth="1"/>
    <col min="4" max="4" width="11.5703125" style="368" bestFit="1" customWidth="1"/>
    <col min="5" max="5" width="9.42578125" style="368" customWidth="1"/>
    <col min="6" max="6" width="12.85546875" style="368" bestFit="1" customWidth="1"/>
    <col min="7" max="7" width="11.7109375" style="368" bestFit="1" customWidth="1"/>
    <col min="8" max="8" width="12.140625" style="368" customWidth="1"/>
    <col min="9" max="12" width="8.5703125" style="368" customWidth="1"/>
    <col min="13" max="13" width="10.5703125" style="368" customWidth="1"/>
    <col min="14" max="14" width="10.5703125" style="368" bestFit="1" customWidth="1"/>
    <col min="15" max="16384" width="10.28515625" style="368"/>
  </cols>
  <sheetData>
    <row r="1" spans="1:11" ht="27.75">
      <c r="A1" s="59" t="s">
        <v>444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3" spans="1:11">
      <c r="A3" s="459" t="s">
        <v>517</v>
      </c>
    </row>
    <row r="5" spans="1:11" s="367" customFormat="1" ht="15.75">
      <c r="A5" s="367" t="s">
        <v>47</v>
      </c>
      <c r="B5" s="367" t="s">
        <v>425</v>
      </c>
      <c r="C5" s="367" t="s">
        <v>193</v>
      </c>
      <c r="D5" s="367" t="s">
        <v>426</v>
      </c>
      <c r="E5" s="367" t="s">
        <v>427</v>
      </c>
      <c r="F5" s="367" t="s">
        <v>428</v>
      </c>
      <c r="G5" s="367" t="s">
        <v>429</v>
      </c>
    </row>
    <row r="6" spans="1:11">
      <c r="A6" s="368" t="s">
        <v>91</v>
      </c>
      <c r="B6" s="368">
        <v>2007</v>
      </c>
      <c r="C6" s="368" t="s">
        <v>430</v>
      </c>
      <c r="D6" s="368" t="s">
        <v>431</v>
      </c>
      <c r="E6" s="368">
        <v>2628</v>
      </c>
      <c r="F6" s="368">
        <v>5611</v>
      </c>
      <c r="G6" s="368" t="s">
        <v>432</v>
      </c>
    </row>
    <row r="7" spans="1:11">
      <c r="A7" s="368" t="s">
        <v>91</v>
      </c>
      <c r="B7" s="368">
        <v>2007</v>
      </c>
      <c r="C7" s="368" t="s">
        <v>433</v>
      </c>
      <c r="D7" s="368" t="s">
        <v>434</v>
      </c>
      <c r="E7" s="368">
        <v>8725</v>
      </c>
      <c r="F7" s="368">
        <v>6890</v>
      </c>
      <c r="G7" s="368" t="s">
        <v>435</v>
      </c>
    </row>
    <row r="8" spans="1:11">
      <c r="A8" s="368" t="s">
        <v>91</v>
      </c>
      <c r="B8" s="368">
        <v>2007</v>
      </c>
      <c r="C8" s="368" t="s">
        <v>436</v>
      </c>
      <c r="D8" s="368" t="s">
        <v>437</v>
      </c>
      <c r="E8" s="368">
        <v>6715</v>
      </c>
      <c r="F8" s="368">
        <v>2652</v>
      </c>
      <c r="G8" s="368" t="s">
        <v>438</v>
      </c>
    </row>
    <row r="9" spans="1:11">
      <c r="A9" s="368" t="s">
        <v>91</v>
      </c>
      <c r="B9" s="368">
        <v>2007</v>
      </c>
      <c r="C9" s="368" t="s">
        <v>430</v>
      </c>
      <c r="D9" s="368" t="s">
        <v>439</v>
      </c>
      <c r="E9" s="368">
        <v>4356</v>
      </c>
      <c r="F9" s="368">
        <v>5636</v>
      </c>
      <c r="G9" s="368" t="s">
        <v>440</v>
      </c>
    </row>
    <row r="10" spans="1:11">
      <c r="A10" s="368" t="s">
        <v>91</v>
      </c>
      <c r="B10" s="368">
        <v>2007</v>
      </c>
      <c r="C10" s="368" t="s">
        <v>441</v>
      </c>
      <c r="D10" s="368" t="s">
        <v>439</v>
      </c>
      <c r="E10" s="368">
        <v>9662</v>
      </c>
      <c r="F10" s="368">
        <v>3400</v>
      </c>
      <c r="G10" s="368" t="s">
        <v>435</v>
      </c>
    </row>
    <row r="11" spans="1:11">
      <c r="A11" s="368" t="s">
        <v>91</v>
      </c>
      <c r="B11" s="368">
        <v>2007</v>
      </c>
      <c r="C11" s="368" t="s">
        <v>436</v>
      </c>
      <c r="D11" s="368" t="s">
        <v>434</v>
      </c>
      <c r="E11" s="368">
        <v>1328</v>
      </c>
      <c r="F11" s="368">
        <v>2861</v>
      </c>
      <c r="G11" s="368" t="s">
        <v>432</v>
      </c>
    </row>
    <row r="12" spans="1:11">
      <c r="A12" s="368" t="s">
        <v>92</v>
      </c>
      <c r="B12" s="368">
        <v>2007</v>
      </c>
      <c r="C12" s="368" t="s">
        <v>433</v>
      </c>
      <c r="D12" s="368" t="s">
        <v>437</v>
      </c>
      <c r="E12" s="368">
        <v>3571</v>
      </c>
      <c r="F12" s="368">
        <v>5178</v>
      </c>
      <c r="G12" s="368" t="s">
        <v>438</v>
      </c>
    </row>
    <row r="13" spans="1:11">
      <c r="A13" s="368" t="s">
        <v>92</v>
      </c>
      <c r="B13" s="368">
        <v>2007</v>
      </c>
      <c r="C13" s="368" t="s">
        <v>430</v>
      </c>
      <c r="D13" s="368" t="s">
        <v>431</v>
      </c>
      <c r="E13" s="368">
        <v>6758</v>
      </c>
      <c r="F13" s="368">
        <v>7817</v>
      </c>
      <c r="G13" s="368" t="s">
        <v>438</v>
      </c>
    </row>
    <row r="14" spans="1:11">
      <c r="A14" s="368" t="s">
        <v>92</v>
      </c>
      <c r="B14" s="368">
        <v>2007</v>
      </c>
      <c r="C14" s="368" t="s">
        <v>433</v>
      </c>
      <c r="D14" s="368" t="s">
        <v>437</v>
      </c>
      <c r="E14" s="368">
        <v>4953</v>
      </c>
      <c r="F14" s="368">
        <v>5889</v>
      </c>
      <c r="G14" s="368" t="s">
        <v>432</v>
      </c>
    </row>
    <row r="15" spans="1:11">
      <c r="A15" s="368" t="s">
        <v>92</v>
      </c>
      <c r="B15" s="368">
        <v>2007</v>
      </c>
      <c r="C15" s="368" t="s">
        <v>441</v>
      </c>
      <c r="D15" s="368" t="s">
        <v>434</v>
      </c>
      <c r="E15" s="368">
        <v>4923</v>
      </c>
      <c r="F15" s="368">
        <v>124</v>
      </c>
      <c r="G15" s="368" t="s">
        <v>438</v>
      </c>
    </row>
    <row r="16" spans="1:11">
      <c r="A16" s="368" t="s">
        <v>92</v>
      </c>
      <c r="B16" s="368">
        <v>2007</v>
      </c>
      <c r="C16" s="368" t="s">
        <v>441</v>
      </c>
      <c r="D16" s="368" t="s">
        <v>439</v>
      </c>
      <c r="E16" s="368">
        <v>2666</v>
      </c>
      <c r="F16" s="368">
        <v>744</v>
      </c>
      <c r="G16" s="368" t="s">
        <v>432</v>
      </c>
    </row>
    <row r="17" spans="1:14">
      <c r="A17" s="368" t="s">
        <v>92</v>
      </c>
      <c r="B17" s="368">
        <v>2007</v>
      </c>
      <c r="C17" s="368" t="s">
        <v>436</v>
      </c>
      <c r="D17" s="368" t="s">
        <v>437</v>
      </c>
      <c r="E17" s="368">
        <v>1450</v>
      </c>
      <c r="F17" s="368">
        <v>234</v>
      </c>
      <c r="G17" s="368" t="s">
        <v>432</v>
      </c>
    </row>
    <row r="18" spans="1:14">
      <c r="H18" s="386"/>
      <c r="I18" s="386"/>
      <c r="J18" s="386"/>
      <c r="K18" s="386"/>
      <c r="L18" s="386"/>
      <c r="M18" s="386"/>
    </row>
    <row r="19" spans="1:14">
      <c r="H19" s="1"/>
      <c r="I19" s="1"/>
      <c r="J19" s="386"/>
      <c r="K19" s="386"/>
      <c r="L19" s="386"/>
      <c r="M19" s="386"/>
    </row>
    <row r="20" spans="1:14">
      <c r="H20" s="386"/>
      <c r="I20" s="386"/>
      <c r="J20" s="386"/>
      <c r="K20" s="386"/>
      <c r="L20" s="386"/>
      <c r="M20" s="386"/>
    </row>
    <row r="21" spans="1:14">
      <c r="A21" s="369" t="s">
        <v>442</v>
      </c>
      <c r="B21" s="369" t="s">
        <v>193</v>
      </c>
      <c r="C21" s="370"/>
      <c r="D21" s="370"/>
      <c r="E21" s="370"/>
      <c r="F21" s="371"/>
      <c r="H21" s="1"/>
      <c r="I21" s="1"/>
      <c r="J21" s="1"/>
      <c r="K21" s="1"/>
      <c r="L21" s="1"/>
      <c r="M21" s="1"/>
      <c r="N21"/>
    </row>
    <row r="22" spans="1:14">
      <c r="A22" s="369" t="s">
        <v>429</v>
      </c>
      <c r="B22" s="372" t="s">
        <v>433</v>
      </c>
      <c r="C22" s="373" t="s">
        <v>430</v>
      </c>
      <c r="D22" s="373" t="s">
        <v>441</v>
      </c>
      <c r="E22" s="373" t="s">
        <v>436</v>
      </c>
      <c r="F22" s="374" t="s">
        <v>443</v>
      </c>
      <c r="H22" s="1"/>
      <c r="I22" s="1"/>
      <c r="J22" s="1"/>
      <c r="K22" s="1"/>
      <c r="L22" s="1"/>
      <c r="M22" s="1"/>
      <c r="N22"/>
    </row>
    <row r="23" spans="1:14">
      <c r="A23" s="372" t="s">
        <v>440</v>
      </c>
      <c r="B23" s="375"/>
      <c r="C23" s="376">
        <v>4356</v>
      </c>
      <c r="D23" s="376"/>
      <c r="E23" s="376"/>
      <c r="F23" s="377">
        <v>4356</v>
      </c>
      <c r="H23" s="1"/>
      <c r="I23" s="387"/>
      <c r="J23" s="387"/>
      <c r="K23" s="387"/>
      <c r="L23" s="387"/>
      <c r="M23" s="387"/>
      <c r="N23"/>
    </row>
    <row r="24" spans="1:14">
      <c r="A24" s="378" t="s">
        <v>435</v>
      </c>
      <c r="B24" s="379">
        <v>8725</v>
      </c>
      <c r="C24" s="380"/>
      <c r="D24" s="380">
        <v>9662</v>
      </c>
      <c r="E24" s="380"/>
      <c r="F24" s="381">
        <v>18387</v>
      </c>
      <c r="H24" s="1"/>
      <c r="I24" s="387"/>
      <c r="J24" s="387"/>
      <c r="K24" s="387"/>
      <c r="L24" s="387"/>
      <c r="M24" s="387"/>
      <c r="N24"/>
    </row>
    <row r="25" spans="1:14">
      <c r="A25" s="378" t="s">
        <v>438</v>
      </c>
      <c r="B25" s="379">
        <v>3571</v>
      </c>
      <c r="C25" s="380">
        <v>6758</v>
      </c>
      <c r="D25" s="380">
        <v>4923</v>
      </c>
      <c r="E25" s="380">
        <v>6715</v>
      </c>
      <c r="F25" s="381">
        <v>21967</v>
      </c>
      <c r="H25" s="1"/>
      <c r="I25" s="1"/>
      <c r="J25" s="1"/>
      <c r="K25" s="1"/>
      <c r="L25" s="1"/>
      <c r="M25" s="1"/>
      <c r="N25"/>
    </row>
    <row r="26" spans="1:14">
      <c r="A26" s="378" t="s">
        <v>432</v>
      </c>
      <c r="B26" s="379">
        <v>4953</v>
      </c>
      <c r="C26" s="380">
        <v>2628</v>
      </c>
      <c r="D26" s="380">
        <v>2666</v>
      </c>
      <c r="E26" s="380">
        <v>2778</v>
      </c>
      <c r="F26" s="381">
        <v>13025</v>
      </c>
      <c r="H26" s="1"/>
      <c r="I26" s="1"/>
      <c r="J26" s="1"/>
      <c r="K26" s="1"/>
      <c r="L26" s="1"/>
      <c r="M26" s="1"/>
      <c r="N26"/>
    </row>
    <row r="27" spans="1:14">
      <c r="A27" s="382" t="s">
        <v>443</v>
      </c>
      <c r="B27" s="383">
        <v>17249</v>
      </c>
      <c r="C27" s="384">
        <v>13742</v>
      </c>
      <c r="D27" s="384">
        <v>17251</v>
      </c>
      <c r="E27" s="384">
        <v>9493</v>
      </c>
      <c r="F27" s="385">
        <v>57735</v>
      </c>
      <c r="H27"/>
      <c r="I27"/>
      <c r="J27"/>
      <c r="K27"/>
      <c r="L27"/>
      <c r="M27"/>
      <c r="N27"/>
    </row>
    <row r="28" spans="1:14">
      <c r="H28"/>
      <c r="I28"/>
      <c r="J28"/>
      <c r="K28"/>
      <c r="L28"/>
      <c r="M28"/>
      <c r="N28"/>
    </row>
    <row r="29" spans="1:14">
      <c r="H29"/>
      <c r="I29"/>
      <c r="J29"/>
      <c r="K29"/>
      <c r="L29"/>
      <c r="M29"/>
      <c r="N29"/>
    </row>
    <row r="30" spans="1:14">
      <c r="H30"/>
      <c r="I30"/>
      <c r="J30"/>
      <c r="K30"/>
      <c r="L30"/>
      <c r="M30"/>
      <c r="N30"/>
    </row>
    <row r="31" spans="1:14">
      <c r="H31"/>
      <c r="I31"/>
      <c r="J31"/>
      <c r="K31"/>
      <c r="L31"/>
      <c r="M31"/>
      <c r="N31"/>
    </row>
    <row r="32" spans="1:14">
      <c r="H32"/>
      <c r="I32"/>
      <c r="J32"/>
      <c r="K32"/>
      <c r="L32"/>
      <c r="M32"/>
      <c r="N32"/>
    </row>
    <row r="33" spans="8:14">
      <c r="H33"/>
      <c r="I33"/>
      <c r="J33"/>
      <c r="K33"/>
      <c r="L33"/>
      <c r="M33"/>
      <c r="N33"/>
    </row>
    <row r="34" spans="8:14">
      <c r="H34"/>
      <c r="I34"/>
      <c r="J34"/>
      <c r="K34"/>
      <c r="L34"/>
      <c r="M34"/>
      <c r="N34"/>
    </row>
  </sheetData>
  <phoneticPr fontId="53" type="noConversion"/>
  <pageMargins left="0.75" right="0.75" top="1" bottom="1" header="0.5" footer="0.5"/>
  <pageSetup paperSize="9" orientation="portrait" r:id="rId2"/>
  <headerFooter alignWithMargins="0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/>
  <dimension ref="A1:N54"/>
  <sheetViews>
    <sheetView topLeftCell="A19" workbookViewId="0">
      <selection activeCell="A6" sqref="A6"/>
    </sheetView>
  </sheetViews>
  <sheetFormatPr defaultColWidth="10.28515625" defaultRowHeight="15"/>
  <cols>
    <col min="1" max="1" width="14.7109375" style="368" bestFit="1" customWidth="1"/>
    <col min="2" max="2" width="9.42578125" style="368" customWidth="1"/>
    <col min="3" max="3" width="11" style="368" bestFit="1" customWidth="1"/>
    <col min="4" max="4" width="11.5703125" style="368" bestFit="1" customWidth="1"/>
    <col min="5" max="5" width="9.42578125" style="368" customWidth="1"/>
    <col min="6" max="6" width="12.85546875" style="368" bestFit="1" customWidth="1"/>
    <col min="7" max="7" width="11.7109375" style="368" bestFit="1" customWidth="1"/>
    <col min="8" max="8" width="12.140625" style="368" customWidth="1"/>
    <col min="9" max="12" width="8.5703125" style="368" customWidth="1"/>
    <col min="13" max="13" width="10.5703125" style="368" customWidth="1"/>
    <col min="14" max="14" width="10.5703125" style="368" bestFit="1" customWidth="1"/>
    <col min="15" max="16384" width="10.28515625" style="368"/>
  </cols>
  <sheetData>
    <row r="1" spans="1:11" ht="27.75">
      <c r="A1" s="59" t="s">
        <v>493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2" spans="1:11">
      <c r="A2" s="450"/>
      <c r="B2"/>
      <c r="C2"/>
      <c r="D2"/>
      <c r="E2"/>
      <c r="F2"/>
      <c r="G2"/>
      <c r="H2"/>
      <c r="I2"/>
      <c r="J2"/>
    </row>
    <row r="3" spans="1:11">
      <c r="A3" s="460" t="s">
        <v>518</v>
      </c>
      <c r="B3"/>
      <c r="C3"/>
      <c r="D3"/>
      <c r="E3"/>
      <c r="F3"/>
      <c r="G3"/>
      <c r="H3"/>
      <c r="I3"/>
      <c r="J3"/>
    </row>
    <row r="4" spans="1:11">
      <c r="A4" s="368" t="s">
        <v>519</v>
      </c>
      <c r="B4"/>
      <c r="C4"/>
      <c r="D4"/>
      <c r="E4"/>
      <c r="F4"/>
      <c r="G4"/>
      <c r="H4"/>
      <c r="I4"/>
      <c r="J4"/>
    </row>
    <row r="5" spans="1:11">
      <c r="A5" s="368" t="s">
        <v>520</v>
      </c>
      <c r="B5"/>
      <c r="C5"/>
      <c r="D5"/>
      <c r="E5"/>
      <c r="F5"/>
      <c r="G5"/>
      <c r="H5"/>
      <c r="I5"/>
      <c r="J5"/>
    </row>
    <row r="6" spans="1:11">
      <c r="A6" s="450"/>
      <c r="B6"/>
      <c r="C6"/>
      <c r="D6"/>
      <c r="E6"/>
      <c r="F6"/>
      <c r="G6"/>
      <c r="H6"/>
      <c r="I6"/>
      <c r="J6"/>
    </row>
    <row r="7" spans="1:11">
      <c r="A7" s="450" t="s">
        <v>505</v>
      </c>
      <c r="B7"/>
      <c r="C7"/>
      <c r="D7"/>
      <c r="E7"/>
      <c r="F7"/>
      <c r="G7"/>
      <c r="H7"/>
      <c r="I7"/>
      <c r="J7"/>
    </row>
    <row r="8" spans="1:11" s="367" customFormat="1" ht="15.75">
      <c r="A8" s="450"/>
      <c r="B8"/>
      <c r="C8"/>
      <c r="D8"/>
      <c r="E8"/>
      <c r="F8"/>
      <c r="G8"/>
      <c r="H8"/>
      <c r="I8"/>
      <c r="J8"/>
    </row>
    <row r="9" spans="1:11">
      <c r="A9" s="450" t="s">
        <v>502</v>
      </c>
      <c r="B9"/>
      <c r="C9"/>
      <c r="D9"/>
      <c r="E9"/>
      <c r="F9"/>
      <c r="G9"/>
      <c r="H9"/>
      <c r="I9"/>
      <c r="J9"/>
    </row>
    <row r="10" spans="1:11">
      <c r="A10" t="s">
        <v>503</v>
      </c>
      <c r="B10"/>
      <c r="C10"/>
      <c r="D10"/>
      <c r="E10"/>
      <c r="F10"/>
      <c r="G10"/>
      <c r="H10"/>
      <c r="I10" s="99" t="s">
        <v>494</v>
      </c>
      <c r="J10" s="11">
        <f>B23</f>
        <v>-1</v>
      </c>
    </row>
    <row r="11" spans="1:11">
      <c r="A11" t="s">
        <v>504</v>
      </c>
      <c r="B11"/>
      <c r="C11"/>
      <c r="D11"/>
      <c r="E11"/>
      <c r="F11"/>
      <c r="G11"/>
      <c r="H11"/>
      <c r="I11" s="99" t="s">
        <v>495</v>
      </c>
      <c r="J11" s="11">
        <f>B24</f>
        <v>5</v>
      </c>
    </row>
    <row r="12" spans="1:11">
      <c r="A12"/>
      <c r="B12"/>
      <c r="C12"/>
      <c r="D12"/>
      <c r="E12"/>
      <c r="F12"/>
      <c r="G12"/>
      <c r="H12"/>
      <c r="I12"/>
      <c r="J12"/>
    </row>
    <row r="13" spans="1:11" ht="15.75" thickBot="1">
      <c r="A13"/>
      <c r="B13"/>
      <c r="C13"/>
      <c r="D13"/>
      <c r="E13"/>
      <c r="F13"/>
      <c r="G13"/>
      <c r="H13"/>
      <c r="I13" s="451" t="s">
        <v>123</v>
      </c>
      <c r="J13" s="451" t="s">
        <v>496</v>
      </c>
    </row>
    <row r="14" spans="1:11">
      <c r="A14" s="452" t="s">
        <v>497</v>
      </c>
      <c r="B14" s="453"/>
      <c r="C14"/>
      <c r="D14"/>
      <c r="E14"/>
      <c r="F14"/>
      <c r="G14"/>
      <c r="H14"/>
      <c r="I14">
        <v>-1</v>
      </c>
      <c r="J14">
        <v>4</v>
      </c>
    </row>
    <row r="15" spans="1:11" ht="15.75">
      <c r="A15" s="454" t="s">
        <v>496</v>
      </c>
      <c r="B15" s="455">
        <f>B19^2-B19+2</f>
        <v>1.75</v>
      </c>
      <c r="C15"/>
      <c r="D15"/>
      <c r="E15"/>
      <c r="F15"/>
      <c r="G15"/>
      <c r="H15"/>
      <c r="I15">
        <v>-0.85</v>
      </c>
      <c r="J15">
        <v>3.5724999999999998</v>
      </c>
    </row>
    <row r="16" spans="1:11">
      <c r="A16"/>
      <c r="B16"/>
      <c r="C16"/>
      <c r="D16"/>
      <c r="E16"/>
      <c r="F16"/>
      <c r="G16"/>
      <c r="H16"/>
      <c r="I16">
        <v>-0.7</v>
      </c>
      <c r="J16">
        <v>3.19</v>
      </c>
    </row>
    <row r="17" spans="1:14">
      <c r="A17"/>
      <c r="B17"/>
      <c r="C17"/>
      <c r="D17"/>
      <c r="E17"/>
      <c r="F17"/>
      <c r="G17"/>
      <c r="H17"/>
      <c r="I17">
        <v>-0.55000000000000004</v>
      </c>
      <c r="J17">
        <v>2.8525</v>
      </c>
    </row>
    <row r="18" spans="1:14">
      <c r="A18" s="452" t="s">
        <v>498</v>
      </c>
      <c r="B18" s="453"/>
      <c r="C18"/>
      <c r="D18"/>
      <c r="E18"/>
      <c r="F18"/>
      <c r="G18"/>
      <c r="H18"/>
      <c r="I18">
        <v>-0.4</v>
      </c>
      <c r="J18">
        <v>2.56</v>
      </c>
      <c r="K18"/>
    </row>
    <row r="19" spans="1:14" ht="15.75">
      <c r="A19" s="454" t="s">
        <v>123</v>
      </c>
      <c r="B19" s="226">
        <v>0.4999999992439515</v>
      </c>
      <c r="C19"/>
      <c r="D19"/>
      <c r="E19"/>
      <c r="F19"/>
      <c r="G19"/>
      <c r="H19"/>
      <c r="I19">
        <v>-0.25</v>
      </c>
      <c r="J19">
        <v>2.3125</v>
      </c>
      <c r="K19"/>
    </row>
    <row r="20" spans="1:14">
      <c r="A20"/>
      <c r="B20"/>
      <c r="C20"/>
      <c r="D20"/>
      <c r="E20"/>
      <c r="F20"/>
      <c r="G20"/>
      <c r="H20"/>
      <c r="I20">
        <v>-9.9999999999999922E-2</v>
      </c>
      <c r="J20">
        <v>2.11</v>
      </c>
      <c r="K20"/>
    </row>
    <row r="21" spans="1:14">
      <c r="A21"/>
      <c r="B21"/>
      <c r="C21"/>
      <c r="D21"/>
      <c r="E21"/>
      <c r="F21"/>
      <c r="G21"/>
      <c r="H21"/>
      <c r="I21">
        <v>5.0000000000000072E-2</v>
      </c>
      <c r="J21">
        <v>1.9524999999999999</v>
      </c>
      <c r="K21"/>
      <c r="L21" s="386"/>
      <c r="M21" s="386"/>
    </row>
    <row r="22" spans="1:14">
      <c r="A22" s="452" t="s">
        <v>499</v>
      </c>
      <c r="B22" s="453"/>
      <c r="C22"/>
      <c r="D22"/>
      <c r="E22"/>
      <c r="F22"/>
      <c r="G22"/>
      <c r="H22"/>
      <c r="I22">
        <v>0.2</v>
      </c>
      <c r="J22">
        <v>1.84</v>
      </c>
      <c r="K22"/>
      <c r="L22" s="386"/>
      <c r="M22" s="386"/>
    </row>
    <row r="23" spans="1:14">
      <c r="A23" s="99" t="s">
        <v>501</v>
      </c>
      <c r="B23" s="116">
        <v>-1</v>
      </c>
      <c r="C23"/>
      <c r="D23"/>
      <c r="E23"/>
      <c r="F23"/>
      <c r="G23"/>
      <c r="H23"/>
      <c r="I23">
        <v>0.35</v>
      </c>
      <c r="J23">
        <v>1.7725</v>
      </c>
      <c r="K23"/>
      <c r="L23" s="386"/>
      <c r="M23" s="386"/>
    </row>
    <row r="24" spans="1:14">
      <c r="A24" s="99" t="s">
        <v>500</v>
      </c>
      <c r="B24" s="116">
        <v>5</v>
      </c>
      <c r="C24"/>
      <c r="D24"/>
      <c r="E24"/>
      <c r="F24"/>
      <c r="G24"/>
      <c r="H24"/>
      <c r="I24">
        <v>0.5</v>
      </c>
      <c r="J24">
        <v>1.75</v>
      </c>
      <c r="K24"/>
      <c r="L24" s="1"/>
      <c r="M24" s="1"/>
      <c r="N24"/>
    </row>
    <row r="25" spans="1:14">
      <c r="A25"/>
      <c r="B25"/>
      <c r="C25"/>
      <c r="D25"/>
      <c r="E25"/>
      <c r="F25"/>
      <c r="G25"/>
      <c r="H25"/>
      <c r="I25">
        <v>0.65</v>
      </c>
      <c r="J25">
        <v>1.7725</v>
      </c>
      <c r="K25" s="1"/>
      <c r="L25" s="1"/>
      <c r="M25" s="1"/>
      <c r="N25"/>
    </row>
    <row r="26" spans="1:14">
      <c r="A26"/>
      <c r="B26"/>
      <c r="C26"/>
      <c r="D26"/>
      <c r="E26"/>
      <c r="F26"/>
      <c r="G26"/>
      <c r="H26"/>
      <c r="I26">
        <v>0.8</v>
      </c>
      <c r="J26">
        <v>1.84</v>
      </c>
      <c r="K26" s="387"/>
      <c r="L26" s="387"/>
      <c r="M26" s="387"/>
      <c r="N26"/>
    </row>
    <row r="27" spans="1:14">
      <c r="A27"/>
      <c r="B27"/>
      <c r="C27"/>
      <c r="D27"/>
      <c r="E27"/>
      <c r="F27"/>
      <c r="G27"/>
      <c r="H27"/>
      <c r="I27">
        <v>0.95</v>
      </c>
      <c r="J27">
        <v>1.9524999999999999</v>
      </c>
      <c r="K27" s="387"/>
      <c r="L27" s="387"/>
      <c r="M27" s="387"/>
      <c r="N27"/>
    </row>
    <row r="28" spans="1:14">
      <c r="A28"/>
      <c r="B28"/>
      <c r="C28"/>
      <c r="D28"/>
      <c r="E28"/>
      <c r="F28"/>
      <c r="G28"/>
      <c r="H28"/>
      <c r="I28">
        <v>1.1000000000000001</v>
      </c>
      <c r="J28">
        <v>2.11</v>
      </c>
      <c r="K28" s="1"/>
      <c r="L28" s="1"/>
      <c r="M28" s="1"/>
      <c r="N28"/>
    </row>
    <row r="29" spans="1:14">
      <c r="A29"/>
      <c r="B29"/>
      <c r="C29"/>
      <c r="D29"/>
      <c r="E29"/>
      <c r="F29"/>
      <c r="G29"/>
      <c r="H29"/>
      <c r="I29">
        <v>1.25</v>
      </c>
      <c r="J29">
        <v>2.3125</v>
      </c>
      <c r="K29" s="1"/>
      <c r="L29" s="1"/>
      <c r="M29" s="1"/>
      <c r="N29"/>
    </row>
    <row r="30" spans="1:14">
      <c r="A30"/>
      <c r="B30"/>
      <c r="C30"/>
      <c r="D30"/>
      <c r="E30"/>
      <c r="F30"/>
      <c r="G30"/>
      <c r="H30"/>
      <c r="I30">
        <v>1.4</v>
      </c>
      <c r="J30">
        <v>2.56</v>
      </c>
      <c r="K30"/>
      <c r="L30"/>
      <c r="M30"/>
      <c r="N30"/>
    </row>
    <row r="31" spans="1:14">
      <c r="A31"/>
      <c r="B31"/>
      <c r="C31"/>
      <c r="D31"/>
      <c r="E31"/>
      <c r="F31"/>
      <c r="G31"/>
      <c r="H31"/>
      <c r="I31">
        <v>1.55</v>
      </c>
      <c r="J31">
        <v>2.8525</v>
      </c>
      <c r="K31"/>
      <c r="L31"/>
      <c r="M31"/>
      <c r="N31"/>
    </row>
    <row r="32" spans="1:14">
      <c r="A32"/>
      <c r="B32"/>
      <c r="C32" s="456"/>
      <c r="D32"/>
      <c r="E32"/>
      <c r="F32"/>
      <c r="G32"/>
      <c r="H32"/>
      <c r="I32">
        <v>1.7</v>
      </c>
      <c r="J32">
        <v>3.19</v>
      </c>
      <c r="K32"/>
      <c r="L32"/>
      <c r="M32"/>
      <c r="N32"/>
    </row>
    <row r="33" spans="1:14">
      <c r="A33"/>
      <c r="B33"/>
      <c r="C33" s="8"/>
      <c r="D33"/>
      <c r="E33"/>
      <c r="F33"/>
      <c r="G33"/>
      <c r="H33"/>
      <c r="I33">
        <v>1.85</v>
      </c>
      <c r="J33">
        <v>3.5724999999999998</v>
      </c>
      <c r="K33"/>
      <c r="L33"/>
      <c r="M33"/>
      <c r="N33"/>
    </row>
    <row r="34" spans="1:14">
      <c r="A34"/>
      <c r="B34"/>
      <c r="C34" s="8"/>
      <c r="D34"/>
      <c r="E34"/>
      <c r="F34"/>
      <c r="G34"/>
      <c r="H34"/>
      <c r="I34">
        <v>2</v>
      </c>
      <c r="J34">
        <v>4</v>
      </c>
      <c r="K34"/>
      <c r="L34"/>
      <c r="M34"/>
      <c r="N34"/>
    </row>
    <row r="35" spans="1:14">
      <c r="A35"/>
      <c r="B35"/>
      <c r="C35" s="8"/>
      <c r="D35"/>
      <c r="E35"/>
      <c r="F35"/>
      <c r="G35"/>
      <c r="H35"/>
      <c r="I35">
        <v>2.15</v>
      </c>
      <c r="J35">
        <v>4.4725000000000001</v>
      </c>
      <c r="K35"/>
      <c r="L35"/>
      <c r="M35"/>
      <c r="N35"/>
    </row>
    <row r="36" spans="1:14">
      <c r="A36"/>
      <c r="B36"/>
      <c r="C36" s="8"/>
      <c r="D36"/>
      <c r="E36"/>
      <c r="F36"/>
      <c r="G36"/>
      <c r="H36"/>
      <c r="I36">
        <v>2.2999999999999998</v>
      </c>
      <c r="J36">
        <v>4.99</v>
      </c>
      <c r="K36"/>
      <c r="L36"/>
      <c r="M36"/>
      <c r="N36"/>
    </row>
    <row r="37" spans="1:14">
      <c r="A37"/>
      <c r="B37"/>
      <c r="C37" s="8"/>
      <c r="D37"/>
      <c r="E37"/>
      <c r="F37"/>
      <c r="G37"/>
      <c r="H37"/>
      <c r="I37">
        <v>2.4500000000000002</v>
      </c>
      <c r="J37">
        <v>5.5525000000000002</v>
      </c>
      <c r="K37"/>
      <c r="L37"/>
      <c r="M37"/>
      <c r="N37"/>
    </row>
    <row r="38" spans="1:14">
      <c r="A38"/>
      <c r="B38"/>
      <c r="C38" s="8"/>
      <c r="D38"/>
      <c r="E38"/>
      <c r="F38"/>
      <c r="G38"/>
      <c r="H38"/>
      <c r="I38">
        <v>2.6</v>
      </c>
      <c r="J38">
        <v>6.16</v>
      </c>
    </row>
    <row r="39" spans="1:14">
      <c r="A39"/>
      <c r="B39"/>
      <c r="C39" s="8"/>
      <c r="D39"/>
      <c r="E39"/>
      <c r="F39"/>
      <c r="G39"/>
      <c r="H39"/>
      <c r="I39">
        <v>2.75</v>
      </c>
      <c r="J39">
        <v>6.8125</v>
      </c>
    </row>
    <row r="40" spans="1:14">
      <c r="A40"/>
      <c r="B40"/>
      <c r="C40" s="8"/>
      <c r="D40"/>
      <c r="E40"/>
      <c r="F40"/>
      <c r="G40"/>
      <c r="H40"/>
      <c r="I40">
        <v>2.9</v>
      </c>
      <c r="J40">
        <v>7.51</v>
      </c>
    </row>
    <row r="41" spans="1:14">
      <c r="A41"/>
      <c r="B41"/>
      <c r="C41" s="8"/>
      <c r="D41"/>
      <c r="E41"/>
      <c r="F41"/>
      <c r="G41"/>
      <c r="H41"/>
      <c r="I41">
        <v>3.05</v>
      </c>
      <c r="J41">
        <v>8.2524999999999942</v>
      </c>
    </row>
    <row r="42" spans="1:14">
      <c r="A42"/>
      <c r="B42"/>
      <c r="C42" s="8"/>
      <c r="D42"/>
      <c r="E42"/>
      <c r="F42"/>
      <c r="G42"/>
      <c r="H42"/>
      <c r="I42">
        <v>3.2</v>
      </c>
      <c r="J42">
        <v>9.0399999999999938</v>
      </c>
    </row>
    <row r="43" spans="1:14">
      <c r="A43"/>
      <c r="B43"/>
      <c r="C43" s="8"/>
      <c r="D43"/>
      <c r="E43"/>
      <c r="F43"/>
      <c r="G43"/>
      <c r="H43"/>
      <c r="I43">
        <v>3.35</v>
      </c>
      <c r="J43">
        <v>9.8724999999999916</v>
      </c>
    </row>
    <row r="44" spans="1:14">
      <c r="A44"/>
      <c r="B44"/>
      <c r="C44" s="457"/>
      <c r="D44"/>
      <c r="E44"/>
      <c r="F44"/>
      <c r="G44"/>
      <c r="H44"/>
      <c r="I44">
        <v>3.5</v>
      </c>
      <c r="J44">
        <v>10.75</v>
      </c>
    </row>
    <row r="45" spans="1:14">
      <c r="A45"/>
      <c r="B45"/>
      <c r="C45"/>
      <c r="D45"/>
      <c r="E45"/>
      <c r="F45"/>
      <c r="G45"/>
      <c r="H45"/>
      <c r="I45">
        <v>3.65</v>
      </c>
      <c r="J45">
        <v>11.672499999999999</v>
      </c>
    </row>
    <row r="46" spans="1:14">
      <c r="A46"/>
      <c r="B46"/>
      <c r="C46"/>
      <c r="D46"/>
      <c r="E46"/>
      <c r="F46"/>
      <c r="G46"/>
      <c r="H46"/>
      <c r="I46">
        <v>3.8</v>
      </c>
      <c r="J46">
        <v>12.64</v>
      </c>
    </row>
    <row r="47" spans="1:14">
      <c r="A47"/>
      <c r="B47"/>
      <c r="C47"/>
      <c r="D47"/>
      <c r="E47"/>
      <c r="F47"/>
      <c r="G47"/>
      <c r="H47"/>
      <c r="I47">
        <v>3.95</v>
      </c>
      <c r="J47">
        <v>13.6525</v>
      </c>
    </row>
    <row r="48" spans="1:14">
      <c r="A48"/>
      <c r="B48"/>
      <c r="C48"/>
      <c r="D48"/>
      <c r="E48"/>
      <c r="F48"/>
      <c r="G48"/>
      <c r="H48"/>
      <c r="I48">
        <v>4.0999999999999996</v>
      </c>
      <c r="J48">
        <v>14.71</v>
      </c>
    </row>
    <row r="49" spans="1:10">
      <c r="A49"/>
      <c r="B49"/>
      <c r="C49"/>
      <c r="D49"/>
      <c r="E49"/>
      <c r="F49"/>
      <c r="G49"/>
      <c r="H49"/>
      <c r="I49">
        <v>4.25</v>
      </c>
      <c r="J49">
        <v>15.8125</v>
      </c>
    </row>
    <row r="50" spans="1:10">
      <c r="A50"/>
      <c r="B50"/>
      <c r="C50"/>
      <c r="D50"/>
      <c r="E50"/>
      <c r="F50"/>
      <c r="G50"/>
      <c r="H50"/>
      <c r="I50">
        <v>4.4000000000000004</v>
      </c>
      <c r="J50">
        <v>16.96</v>
      </c>
    </row>
    <row r="51" spans="1:10">
      <c r="A51"/>
      <c r="B51"/>
      <c r="C51"/>
      <c r="D51"/>
      <c r="E51"/>
      <c r="F51"/>
      <c r="G51"/>
      <c r="H51"/>
      <c r="I51">
        <v>4.55</v>
      </c>
      <c r="J51">
        <v>18.1525</v>
      </c>
    </row>
    <row r="52" spans="1:10">
      <c r="A52"/>
      <c r="B52"/>
      <c r="C52"/>
      <c r="D52"/>
      <c r="E52"/>
      <c r="F52"/>
      <c r="G52"/>
      <c r="H52"/>
      <c r="I52">
        <v>4.7</v>
      </c>
      <c r="J52">
        <v>19.39</v>
      </c>
    </row>
    <row r="53" spans="1:10">
      <c r="A53"/>
      <c r="B53"/>
      <c r="C53"/>
      <c r="D53"/>
      <c r="E53"/>
      <c r="F53"/>
      <c r="G53"/>
      <c r="H53"/>
      <c r="I53">
        <v>4.8499999999999996</v>
      </c>
      <c r="J53">
        <v>20.672499999999999</v>
      </c>
    </row>
    <row r="54" spans="1:10">
      <c r="A54"/>
      <c r="B54"/>
      <c r="C54"/>
      <c r="D54"/>
      <c r="E54"/>
      <c r="F54"/>
      <c r="G54"/>
      <c r="H54"/>
      <c r="I54">
        <v>5</v>
      </c>
      <c r="J54">
        <v>22</v>
      </c>
    </row>
  </sheetData>
  <phoneticPr fontId="53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oleObject progId="Equation.3" shapeId="30724" r:id="rId4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IU259"/>
  <sheetViews>
    <sheetView showGridLines="0" workbookViewId="0">
      <selection activeCell="G9" sqref="G9"/>
    </sheetView>
  </sheetViews>
  <sheetFormatPr defaultRowHeight="12.75"/>
  <cols>
    <col min="1" max="1" width="13.28515625" customWidth="1"/>
    <col min="3" max="3" width="11" customWidth="1"/>
    <col min="6" max="6" width="10.7109375" customWidth="1"/>
  </cols>
  <sheetData>
    <row r="1" spans="1:255" ht="27.75">
      <c r="A1" s="59" t="s">
        <v>481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3" spans="1:255" ht="18">
      <c r="A3" s="461" t="s">
        <v>484</v>
      </c>
      <c r="B3" s="446" t="s">
        <v>482</v>
      </c>
      <c r="C3" s="220"/>
      <c r="D3" s="220"/>
      <c r="E3" s="220"/>
      <c r="F3" s="220"/>
      <c r="G3" s="228"/>
      <c r="H3" s="220"/>
      <c r="I3" s="220"/>
      <c r="J3" s="220"/>
      <c r="K3" s="220"/>
    </row>
    <row r="4" spans="1:255" ht="18">
      <c r="A4" s="461" t="s">
        <v>521</v>
      </c>
      <c r="B4" s="446" t="s">
        <v>522</v>
      </c>
      <c r="C4" s="220"/>
      <c r="D4" s="220"/>
      <c r="E4" s="220"/>
      <c r="F4" s="220"/>
      <c r="G4" s="228"/>
      <c r="H4" s="220"/>
      <c r="I4" s="220"/>
      <c r="J4" s="220"/>
      <c r="K4" s="220"/>
    </row>
    <row r="5" spans="1:255" ht="15.75">
      <c r="A5" s="5"/>
    </row>
    <row r="6" spans="1:255" ht="24">
      <c r="A6" s="442" t="s">
        <v>16</v>
      </c>
      <c r="B6" s="442" t="s">
        <v>17</v>
      </c>
      <c r="C6" s="442" t="s">
        <v>18</v>
      </c>
      <c r="D6" s="442" t="s">
        <v>19</v>
      </c>
      <c r="IU6" s="447" t="s">
        <v>483</v>
      </c>
    </row>
    <row r="7" spans="1:255">
      <c r="A7" s="443" t="s">
        <v>24</v>
      </c>
      <c r="B7" s="444">
        <v>16000</v>
      </c>
      <c r="C7" s="445">
        <v>3</v>
      </c>
      <c r="D7" s="445">
        <v>19</v>
      </c>
      <c r="IU7" s="189">
        <v>1</v>
      </c>
    </row>
    <row r="8" spans="1:255">
      <c r="A8" s="443" t="s">
        <v>23</v>
      </c>
      <c r="B8" s="444">
        <v>25000</v>
      </c>
      <c r="C8" s="445">
        <v>3</v>
      </c>
      <c r="D8" s="445">
        <v>45</v>
      </c>
      <c r="IU8" s="189">
        <v>2</v>
      </c>
    </row>
    <row r="9" spans="1:255">
      <c r="A9" s="443" t="s">
        <v>22</v>
      </c>
      <c r="B9" s="444">
        <v>28500</v>
      </c>
      <c r="C9" s="443">
        <v>9</v>
      </c>
      <c r="D9" s="445">
        <v>126</v>
      </c>
      <c r="IU9" s="189">
        <v>3</v>
      </c>
    </row>
    <row r="10" spans="1:255">
      <c r="A10" s="443" t="s">
        <v>21</v>
      </c>
      <c r="B10" s="444">
        <v>30000</v>
      </c>
      <c r="C10" s="445">
        <v>7</v>
      </c>
      <c r="D10" s="445">
        <v>129</v>
      </c>
      <c r="IU10" s="189">
        <v>4</v>
      </c>
    </row>
    <row r="11" spans="1:255">
      <c r="A11" s="443" t="s">
        <v>23</v>
      </c>
      <c r="B11" s="444">
        <v>50000</v>
      </c>
      <c r="C11" s="443">
        <v>12</v>
      </c>
      <c r="D11" s="445">
        <v>199</v>
      </c>
      <c r="IU11" s="189">
        <v>5</v>
      </c>
    </row>
    <row r="12" spans="1:255">
      <c r="A12" s="443" t="s">
        <v>26</v>
      </c>
      <c r="B12" s="444">
        <v>50000</v>
      </c>
      <c r="C12" s="443">
        <v>12</v>
      </c>
      <c r="D12" s="445">
        <v>150</v>
      </c>
      <c r="IU12" s="189">
        <v>6</v>
      </c>
    </row>
    <row r="13" spans="1:255">
      <c r="A13" s="443" t="s">
        <v>27</v>
      </c>
      <c r="B13" s="444">
        <v>35000</v>
      </c>
      <c r="C13" s="443">
        <v>12</v>
      </c>
      <c r="D13" s="445">
        <v>320</v>
      </c>
      <c r="IU13" s="189">
        <v>7</v>
      </c>
    </row>
    <row r="14" spans="1:255">
      <c r="A14" s="443" t="s">
        <v>28</v>
      </c>
      <c r="B14" s="444">
        <v>50000</v>
      </c>
      <c r="C14" s="443">
        <v>8</v>
      </c>
      <c r="D14" s="445">
        <v>23</v>
      </c>
      <c r="IU14" s="189">
        <v>8</v>
      </c>
    </row>
    <row r="15" spans="1:255">
      <c r="A15" s="443" t="s">
        <v>23</v>
      </c>
      <c r="B15" s="444">
        <v>50000</v>
      </c>
      <c r="C15" s="443">
        <v>12</v>
      </c>
      <c r="D15" s="445">
        <v>150</v>
      </c>
      <c r="IU15" s="189">
        <v>9</v>
      </c>
    </row>
    <row r="16" spans="1:255">
      <c r="A16" s="443" t="s">
        <v>29</v>
      </c>
      <c r="B16" s="444">
        <v>35000</v>
      </c>
      <c r="C16" s="443">
        <v>8</v>
      </c>
      <c r="D16" s="445">
        <v>1000</v>
      </c>
      <c r="IU16" s="189">
        <v>10</v>
      </c>
    </row>
    <row r="17" spans="1:255">
      <c r="A17" s="443" t="s">
        <v>30</v>
      </c>
      <c r="B17" s="444">
        <v>35000</v>
      </c>
      <c r="C17" s="443">
        <v>8</v>
      </c>
      <c r="D17" s="445">
        <v>199</v>
      </c>
      <c r="IU17" s="189">
        <v>11</v>
      </c>
    </row>
    <row r="18" spans="1:255">
      <c r="A18" s="443" t="s">
        <v>31</v>
      </c>
      <c r="B18" s="444">
        <v>28000</v>
      </c>
      <c r="C18" s="443">
        <v>8</v>
      </c>
      <c r="D18" s="445">
        <v>250</v>
      </c>
      <c r="IU18" s="189">
        <v>12</v>
      </c>
    </row>
    <row r="19" spans="1:255">
      <c r="A19" s="443" t="s">
        <v>23</v>
      </c>
      <c r="B19" s="444">
        <v>28000</v>
      </c>
      <c r="C19" s="443">
        <v>8</v>
      </c>
      <c r="D19" s="445">
        <v>270</v>
      </c>
      <c r="IU19" s="189">
        <v>13</v>
      </c>
    </row>
    <row r="20" spans="1:255">
      <c r="A20" s="443" t="s">
        <v>32</v>
      </c>
      <c r="B20" s="444">
        <v>28000</v>
      </c>
      <c r="C20" s="443">
        <v>12</v>
      </c>
      <c r="D20" s="445">
        <v>280</v>
      </c>
      <c r="IU20" s="189">
        <v>14</v>
      </c>
    </row>
    <row r="21" spans="1:255">
      <c r="A21" s="443" t="s">
        <v>23</v>
      </c>
      <c r="B21" s="444">
        <v>50000</v>
      </c>
      <c r="C21" s="443">
        <v>3</v>
      </c>
      <c r="D21" s="445">
        <v>300</v>
      </c>
      <c r="IU21" s="189">
        <v>15</v>
      </c>
    </row>
    <row r="22" spans="1:255">
      <c r="A22" s="443" t="s">
        <v>33</v>
      </c>
      <c r="B22" s="444">
        <v>26000</v>
      </c>
      <c r="C22" s="443">
        <v>5</v>
      </c>
      <c r="D22" s="445">
        <v>320</v>
      </c>
      <c r="IU22" s="189">
        <v>16</v>
      </c>
    </row>
    <row r="23" spans="1:255">
      <c r="A23" s="443" t="s">
        <v>34</v>
      </c>
      <c r="B23" s="444">
        <v>45000</v>
      </c>
      <c r="C23" s="443">
        <v>12</v>
      </c>
      <c r="D23" s="445">
        <v>199</v>
      </c>
    </row>
    <row r="24" spans="1:255">
      <c r="A24" s="443" t="s">
        <v>20</v>
      </c>
      <c r="B24" s="444">
        <v>50000</v>
      </c>
      <c r="C24" s="443">
        <v>12</v>
      </c>
      <c r="D24" s="445">
        <v>234</v>
      </c>
    </row>
    <row r="25" spans="1:255" ht="15">
      <c r="A25" s="6"/>
    </row>
    <row r="26" spans="1:255">
      <c r="A26" s="10"/>
      <c r="B26" s="9"/>
      <c r="C26" s="10"/>
      <c r="D26" s="9"/>
    </row>
    <row r="27" spans="1:255">
      <c r="A27" s="10"/>
      <c r="B27" s="9"/>
      <c r="C27" s="10"/>
      <c r="D27" s="9"/>
    </row>
    <row r="28" spans="1:255">
      <c r="A28" s="10"/>
      <c r="B28" s="9"/>
      <c r="C28" s="10"/>
      <c r="D28" s="9"/>
    </row>
    <row r="29" spans="1:255">
      <c r="A29" s="10"/>
      <c r="B29" s="9"/>
      <c r="C29" s="10"/>
      <c r="D29" s="9"/>
    </row>
    <row r="30" spans="1:255">
      <c r="A30" s="10"/>
      <c r="B30" s="9"/>
      <c r="C30" s="10"/>
      <c r="D30" s="9"/>
    </row>
    <row r="31" spans="1:255">
      <c r="A31" s="10"/>
      <c r="B31" s="9"/>
      <c r="C31" s="10"/>
      <c r="D31" s="9"/>
    </row>
    <row r="32" spans="1:255">
      <c r="A32" s="10"/>
      <c r="B32" s="9"/>
      <c r="C32" s="10"/>
      <c r="D32" s="9"/>
    </row>
    <row r="33" spans="1:4">
      <c r="A33" s="10"/>
      <c r="B33" s="9"/>
      <c r="C33" s="10"/>
      <c r="D33" s="9"/>
    </row>
    <row r="34" spans="1:4">
      <c r="A34" s="10"/>
      <c r="B34" s="9"/>
      <c r="C34" s="10"/>
      <c r="D34" s="9"/>
    </row>
    <row r="35" spans="1:4">
      <c r="A35" s="10"/>
      <c r="B35" s="9"/>
      <c r="C35" s="10"/>
      <c r="D35" s="9"/>
    </row>
    <row r="36" spans="1:4">
      <c r="A36" s="10"/>
      <c r="B36" s="9"/>
      <c r="C36" s="10"/>
      <c r="D36" s="9"/>
    </row>
    <row r="37" spans="1:4">
      <c r="A37" s="10"/>
      <c r="B37" s="9"/>
      <c r="C37" s="10"/>
      <c r="D37" s="9"/>
    </row>
    <row r="38" spans="1:4">
      <c r="A38" s="10"/>
      <c r="B38" s="9"/>
      <c r="C38" s="10"/>
      <c r="D38" s="9"/>
    </row>
    <row r="39" spans="1:4">
      <c r="A39" s="10"/>
      <c r="B39" s="9"/>
      <c r="C39" s="10"/>
      <c r="D39" s="9"/>
    </row>
    <row r="40" spans="1:4">
      <c r="A40" s="10"/>
      <c r="B40" s="9"/>
      <c r="C40" s="10"/>
      <c r="D40" s="9"/>
    </row>
    <row r="41" spans="1:4">
      <c r="A41" s="10"/>
      <c r="B41" s="9"/>
      <c r="C41" s="10"/>
      <c r="D41" s="9"/>
    </row>
    <row r="42" spans="1:4">
      <c r="A42" s="10"/>
      <c r="B42" s="9"/>
      <c r="C42" s="10"/>
      <c r="D42" s="9"/>
    </row>
    <row r="43" spans="1:4">
      <c r="A43" s="10"/>
      <c r="B43" s="9"/>
      <c r="C43" s="10"/>
      <c r="D43" s="9"/>
    </row>
    <row r="44" spans="1:4">
      <c r="A44" s="10"/>
      <c r="B44" s="9"/>
      <c r="C44" s="10"/>
      <c r="D44" s="9"/>
    </row>
    <row r="45" spans="1:4">
      <c r="A45" s="10"/>
      <c r="B45" s="9"/>
      <c r="C45" s="10"/>
      <c r="D45" s="9"/>
    </row>
    <row r="46" spans="1:4">
      <c r="A46" s="10"/>
      <c r="B46" s="9"/>
      <c r="C46" s="10"/>
      <c r="D46" s="9"/>
    </row>
    <row r="47" spans="1:4">
      <c r="A47" s="10"/>
      <c r="B47" s="9"/>
      <c r="C47" s="10"/>
      <c r="D47" s="9"/>
    </row>
    <row r="48" spans="1:4">
      <c r="A48" s="10"/>
      <c r="B48" s="9"/>
      <c r="C48" s="10"/>
      <c r="D48" s="9"/>
    </row>
    <row r="49" spans="1:4">
      <c r="A49" s="10"/>
      <c r="B49" s="9"/>
      <c r="C49" s="10"/>
      <c r="D49" s="9"/>
    </row>
    <row r="50" spans="1:4">
      <c r="A50" s="10"/>
      <c r="B50" s="9"/>
      <c r="C50" s="10"/>
      <c r="D50" s="9"/>
    </row>
    <row r="51" spans="1:4">
      <c r="A51" s="10"/>
      <c r="B51" s="9"/>
      <c r="C51" s="10"/>
      <c r="D51" s="9"/>
    </row>
    <row r="52" spans="1:4">
      <c r="A52" s="10"/>
      <c r="B52" s="9"/>
      <c r="C52" s="10"/>
      <c r="D52" s="9"/>
    </row>
    <row r="53" spans="1:4">
      <c r="A53" s="10"/>
      <c r="B53" s="9"/>
      <c r="C53" s="10"/>
      <c r="D53" s="9"/>
    </row>
    <row r="54" spans="1:4">
      <c r="A54" s="10"/>
      <c r="B54" s="9"/>
      <c r="C54" s="10"/>
      <c r="D54" s="9"/>
    </row>
    <row r="55" spans="1:4">
      <c r="A55" s="10"/>
      <c r="B55" s="9"/>
      <c r="C55" s="10"/>
      <c r="D55" s="9"/>
    </row>
    <row r="56" spans="1:4">
      <c r="A56" s="10"/>
      <c r="B56" s="9"/>
      <c r="C56" s="10"/>
      <c r="D56" s="9"/>
    </row>
    <row r="57" spans="1:4">
      <c r="A57" s="10"/>
      <c r="B57" s="9"/>
      <c r="C57" s="10"/>
      <c r="D57" s="9"/>
    </row>
    <row r="58" spans="1:4">
      <c r="A58" s="10"/>
      <c r="B58" s="9"/>
      <c r="C58" s="10"/>
      <c r="D58" s="9"/>
    </row>
    <row r="59" spans="1:4">
      <c r="A59" s="10"/>
      <c r="B59" s="9"/>
      <c r="C59" s="10"/>
      <c r="D59" s="9"/>
    </row>
    <row r="60" spans="1:4">
      <c r="A60" s="10"/>
      <c r="B60" s="9"/>
      <c r="C60" s="10"/>
      <c r="D60" s="9"/>
    </row>
    <row r="61" spans="1:4">
      <c r="A61" s="10"/>
      <c r="B61" s="9"/>
      <c r="C61" s="10"/>
      <c r="D61" s="9"/>
    </row>
    <row r="62" spans="1:4">
      <c r="A62" s="10"/>
      <c r="B62" s="9"/>
      <c r="C62" s="10"/>
      <c r="D62" s="9"/>
    </row>
    <row r="63" spans="1:4">
      <c r="A63" s="10"/>
      <c r="B63" s="9"/>
      <c r="C63" s="10"/>
      <c r="D63" s="9"/>
    </row>
    <row r="64" spans="1:4">
      <c r="A64" s="10"/>
      <c r="B64" s="9"/>
      <c r="C64" s="10"/>
      <c r="D64" s="9"/>
    </row>
    <row r="65" spans="1:4">
      <c r="A65" s="10"/>
      <c r="B65" s="9"/>
      <c r="C65" s="10"/>
      <c r="D65" s="9"/>
    </row>
    <row r="66" spans="1:4">
      <c r="A66" s="10"/>
      <c r="B66" s="9"/>
      <c r="C66" s="10"/>
      <c r="D66" s="9"/>
    </row>
    <row r="67" spans="1:4">
      <c r="A67" s="10"/>
      <c r="B67" s="9"/>
      <c r="C67" s="10"/>
      <c r="D67" s="9"/>
    </row>
    <row r="68" spans="1:4">
      <c r="A68" s="10"/>
      <c r="B68" s="9"/>
      <c r="C68" s="10"/>
      <c r="D68" s="9"/>
    </row>
    <row r="69" spans="1:4">
      <c r="A69" s="10"/>
      <c r="B69" s="9"/>
      <c r="C69" s="10"/>
      <c r="D69" s="9"/>
    </row>
    <row r="70" spans="1:4">
      <c r="A70" s="10"/>
      <c r="B70" s="9"/>
      <c r="C70" s="10"/>
      <c r="D70" s="9"/>
    </row>
    <row r="71" spans="1:4">
      <c r="A71" s="10"/>
      <c r="B71" s="9"/>
      <c r="C71" s="10"/>
      <c r="D71" s="9"/>
    </row>
    <row r="72" spans="1:4">
      <c r="A72" s="10"/>
      <c r="B72" s="9"/>
      <c r="C72" s="10"/>
      <c r="D72" s="9"/>
    </row>
    <row r="73" spans="1:4">
      <c r="A73" s="10"/>
      <c r="B73" s="9"/>
      <c r="C73" s="10"/>
      <c r="D73" s="9"/>
    </row>
    <row r="74" spans="1:4">
      <c r="A74" s="10"/>
      <c r="B74" s="9"/>
      <c r="C74" s="10"/>
      <c r="D74" s="9"/>
    </row>
    <row r="75" spans="1:4">
      <c r="A75" s="10"/>
      <c r="B75" s="9"/>
      <c r="C75" s="10"/>
      <c r="D75" s="9"/>
    </row>
    <row r="76" spans="1:4">
      <c r="A76" s="10"/>
      <c r="B76" s="9"/>
      <c r="C76" s="10"/>
      <c r="D76" s="9"/>
    </row>
    <row r="77" spans="1:4">
      <c r="A77" s="10"/>
      <c r="B77" s="9"/>
      <c r="C77" s="10"/>
      <c r="D77" s="9"/>
    </row>
    <row r="78" spans="1:4">
      <c r="A78" s="10"/>
      <c r="B78" s="9"/>
      <c r="C78" s="10"/>
      <c r="D78" s="9"/>
    </row>
    <row r="79" spans="1:4">
      <c r="A79" s="10"/>
      <c r="B79" s="9"/>
      <c r="C79" s="10"/>
      <c r="D79" s="9"/>
    </row>
    <row r="80" spans="1:4">
      <c r="A80" s="10"/>
      <c r="B80" s="9"/>
      <c r="C80" s="10"/>
      <c r="D80" s="9"/>
    </row>
    <row r="81" spans="1:4">
      <c r="A81" s="10"/>
      <c r="B81" s="9"/>
      <c r="C81" s="10"/>
      <c r="D81" s="9"/>
    </row>
    <row r="82" spans="1:4">
      <c r="A82" s="10"/>
      <c r="B82" s="9"/>
      <c r="C82" s="10"/>
      <c r="D82" s="9"/>
    </row>
    <row r="83" spans="1:4">
      <c r="A83" s="10"/>
      <c r="B83" s="9"/>
      <c r="C83" s="10"/>
      <c r="D83" s="9"/>
    </row>
    <row r="84" spans="1:4">
      <c r="A84" s="10"/>
      <c r="B84" s="9"/>
      <c r="C84" s="10"/>
      <c r="D84" s="9"/>
    </row>
    <row r="85" spans="1:4">
      <c r="A85" s="10"/>
      <c r="B85" s="9"/>
      <c r="C85" s="10"/>
      <c r="D85" s="9"/>
    </row>
    <row r="86" spans="1:4">
      <c r="A86" s="10"/>
      <c r="B86" s="9"/>
      <c r="C86" s="10"/>
      <c r="D86" s="9"/>
    </row>
    <row r="87" spans="1:4">
      <c r="A87" s="10"/>
      <c r="B87" s="9"/>
      <c r="C87" s="10"/>
      <c r="D87" s="9"/>
    </row>
    <row r="88" spans="1:4">
      <c r="A88" s="10"/>
      <c r="B88" s="9"/>
      <c r="C88" s="10"/>
      <c r="D88" s="9"/>
    </row>
    <row r="89" spans="1:4">
      <c r="A89" s="10"/>
      <c r="B89" s="9"/>
      <c r="C89" s="10"/>
      <c r="D89" s="9"/>
    </row>
    <row r="90" spans="1:4">
      <c r="A90" s="10"/>
      <c r="B90" s="9"/>
      <c r="C90" s="10"/>
      <c r="D90" s="9"/>
    </row>
    <row r="91" spans="1:4">
      <c r="A91" s="10"/>
      <c r="B91" s="9"/>
      <c r="C91" s="10"/>
      <c r="D91" s="9"/>
    </row>
    <row r="92" spans="1:4">
      <c r="A92" s="10"/>
      <c r="B92" s="9"/>
      <c r="C92" s="10"/>
      <c r="D92" s="9"/>
    </row>
    <row r="93" spans="1:4">
      <c r="A93" s="10"/>
      <c r="B93" s="9"/>
      <c r="C93" s="10"/>
      <c r="D93" s="9"/>
    </row>
    <row r="94" spans="1:4">
      <c r="A94" s="10"/>
      <c r="B94" s="9"/>
      <c r="C94" s="10"/>
      <c r="D94" s="9"/>
    </row>
    <row r="95" spans="1:4">
      <c r="A95" s="10"/>
      <c r="B95" s="9"/>
      <c r="C95" s="10"/>
      <c r="D95" s="9"/>
    </row>
    <row r="96" spans="1:4">
      <c r="A96" s="10"/>
      <c r="B96" s="9"/>
      <c r="C96" s="10"/>
      <c r="D96" s="9"/>
    </row>
    <row r="97" spans="1:4">
      <c r="A97" s="10"/>
      <c r="B97" s="9"/>
      <c r="C97" s="10"/>
      <c r="D97" s="9"/>
    </row>
    <row r="98" spans="1:4">
      <c r="A98" s="10"/>
      <c r="B98" s="9"/>
      <c r="C98" s="10"/>
      <c r="D98" s="9"/>
    </row>
    <row r="99" spans="1:4">
      <c r="A99" s="10"/>
      <c r="B99" s="9"/>
      <c r="C99" s="10"/>
      <c r="D99" s="9"/>
    </row>
    <row r="100" spans="1:4">
      <c r="A100" s="10"/>
      <c r="B100" s="9"/>
      <c r="C100" s="10"/>
      <c r="D100" s="9"/>
    </row>
    <row r="101" spans="1:4">
      <c r="A101" s="10"/>
      <c r="B101" s="9"/>
      <c r="C101" s="10"/>
      <c r="D101" s="9"/>
    </row>
    <row r="102" spans="1:4">
      <c r="A102" s="10"/>
      <c r="B102" s="9"/>
      <c r="C102" s="10"/>
      <c r="D102" s="9"/>
    </row>
    <row r="103" spans="1:4">
      <c r="A103" s="10"/>
      <c r="B103" s="9"/>
      <c r="C103" s="10"/>
      <c r="D103" s="9"/>
    </row>
    <row r="104" spans="1:4">
      <c r="A104" s="10"/>
      <c r="B104" s="9"/>
      <c r="C104" s="10"/>
      <c r="D104" s="9"/>
    </row>
    <row r="105" spans="1:4">
      <c r="A105" s="10"/>
      <c r="B105" s="9"/>
      <c r="C105" s="10"/>
      <c r="D105" s="9"/>
    </row>
    <row r="106" spans="1:4">
      <c r="A106" s="10"/>
      <c r="B106" s="9"/>
      <c r="C106" s="10"/>
      <c r="D106" s="9"/>
    </row>
    <row r="107" spans="1:4">
      <c r="A107" s="10"/>
      <c r="B107" s="9"/>
      <c r="C107" s="10"/>
      <c r="D107" s="9"/>
    </row>
    <row r="108" spans="1:4">
      <c r="A108" s="10"/>
      <c r="B108" s="9"/>
      <c r="C108" s="10"/>
      <c r="D108" s="9"/>
    </row>
    <row r="109" spans="1:4">
      <c r="A109" s="10"/>
      <c r="B109" s="9"/>
      <c r="C109" s="10"/>
      <c r="D109" s="9"/>
    </row>
    <row r="110" spans="1:4">
      <c r="A110" s="10"/>
      <c r="B110" s="9"/>
      <c r="C110" s="10"/>
      <c r="D110" s="9"/>
    </row>
    <row r="111" spans="1:4">
      <c r="A111" s="10"/>
      <c r="B111" s="9"/>
      <c r="C111" s="10"/>
      <c r="D111" s="9"/>
    </row>
    <row r="112" spans="1:4">
      <c r="A112" s="10"/>
      <c r="B112" s="9"/>
      <c r="C112" s="10"/>
      <c r="D112" s="9"/>
    </row>
    <row r="113" spans="1:4">
      <c r="A113" s="10"/>
      <c r="B113" s="9"/>
      <c r="C113" s="10"/>
      <c r="D113" s="9"/>
    </row>
    <row r="114" spans="1:4">
      <c r="A114" s="10"/>
      <c r="B114" s="9"/>
      <c r="C114" s="10"/>
      <c r="D114" s="9"/>
    </row>
    <row r="115" spans="1:4">
      <c r="A115" s="10"/>
      <c r="B115" s="9"/>
      <c r="C115" s="10"/>
      <c r="D115" s="9"/>
    </row>
    <row r="116" spans="1:4">
      <c r="A116" s="10"/>
      <c r="B116" s="9"/>
      <c r="C116" s="10"/>
      <c r="D116" s="9"/>
    </row>
    <row r="117" spans="1:4">
      <c r="A117" s="10"/>
      <c r="B117" s="9"/>
      <c r="C117" s="10"/>
      <c r="D117" s="9"/>
    </row>
    <row r="118" spans="1:4">
      <c r="A118" s="10"/>
      <c r="B118" s="9"/>
      <c r="C118" s="10"/>
      <c r="D118" s="9"/>
    </row>
    <row r="119" spans="1:4">
      <c r="A119" s="10"/>
      <c r="B119" s="9"/>
      <c r="C119" s="10"/>
      <c r="D119" s="9"/>
    </row>
    <row r="120" spans="1:4">
      <c r="A120" s="10"/>
      <c r="B120" s="9"/>
      <c r="C120" s="10"/>
      <c r="D120" s="9"/>
    </row>
    <row r="121" spans="1:4">
      <c r="A121" s="10"/>
      <c r="B121" s="9"/>
      <c r="C121" s="10"/>
      <c r="D121" s="9"/>
    </row>
    <row r="122" spans="1:4">
      <c r="A122" s="10"/>
      <c r="B122" s="9"/>
      <c r="C122" s="10"/>
      <c r="D122" s="9"/>
    </row>
    <row r="123" spans="1:4">
      <c r="A123" s="10"/>
      <c r="B123" s="9"/>
      <c r="C123" s="10"/>
      <c r="D123" s="9"/>
    </row>
    <row r="124" spans="1:4">
      <c r="A124" s="10"/>
      <c r="B124" s="9"/>
      <c r="C124" s="10"/>
      <c r="D124" s="9"/>
    </row>
    <row r="125" spans="1:4">
      <c r="A125" s="10"/>
      <c r="B125" s="9"/>
      <c r="C125" s="10"/>
      <c r="D125" s="9"/>
    </row>
    <row r="126" spans="1:4">
      <c r="A126" s="10"/>
      <c r="B126" s="9"/>
      <c r="C126" s="10"/>
      <c r="D126" s="9"/>
    </row>
    <row r="127" spans="1:4">
      <c r="A127" s="10"/>
      <c r="B127" s="9"/>
      <c r="C127" s="10"/>
      <c r="D127" s="9"/>
    </row>
    <row r="128" spans="1:4">
      <c r="A128" s="10"/>
      <c r="B128" s="9"/>
      <c r="C128" s="10"/>
      <c r="D128" s="9"/>
    </row>
    <row r="129" spans="1:4">
      <c r="A129" s="10"/>
      <c r="B129" s="9"/>
      <c r="C129" s="10"/>
      <c r="D129" s="9"/>
    </row>
    <row r="130" spans="1:4">
      <c r="A130" s="10"/>
      <c r="B130" s="9"/>
      <c r="C130" s="10"/>
      <c r="D130" s="9"/>
    </row>
    <row r="131" spans="1:4">
      <c r="A131" s="10"/>
      <c r="B131" s="9"/>
      <c r="C131" s="10"/>
      <c r="D131" s="9"/>
    </row>
    <row r="132" spans="1:4">
      <c r="A132" s="10"/>
      <c r="B132" s="9"/>
      <c r="C132" s="10"/>
      <c r="D132" s="9"/>
    </row>
    <row r="133" spans="1:4">
      <c r="A133" s="10"/>
      <c r="B133" s="9"/>
      <c r="C133" s="10"/>
      <c r="D133" s="9"/>
    </row>
    <row r="134" spans="1:4">
      <c r="A134" s="10"/>
      <c r="B134" s="9"/>
      <c r="C134" s="10"/>
      <c r="D134" s="9"/>
    </row>
    <row r="135" spans="1:4">
      <c r="A135" s="10"/>
      <c r="B135" s="9"/>
      <c r="C135" s="10"/>
      <c r="D135" s="9"/>
    </row>
    <row r="136" spans="1:4">
      <c r="A136" s="10"/>
      <c r="B136" s="9"/>
      <c r="C136" s="10"/>
      <c r="D136" s="9"/>
    </row>
    <row r="137" spans="1:4">
      <c r="A137" s="10"/>
      <c r="B137" s="9"/>
      <c r="C137" s="10"/>
      <c r="D137" s="9"/>
    </row>
    <row r="138" spans="1:4">
      <c r="A138" s="10"/>
      <c r="B138" s="9"/>
      <c r="C138" s="10"/>
      <c r="D138" s="9"/>
    </row>
    <row r="139" spans="1:4">
      <c r="A139" s="10"/>
      <c r="B139" s="9"/>
      <c r="C139" s="10"/>
      <c r="D139" s="9"/>
    </row>
    <row r="140" spans="1:4">
      <c r="A140" s="10"/>
      <c r="B140" s="9"/>
      <c r="C140" s="10"/>
      <c r="D140" s="9"/>
    </row>
    <row r="141" spans="1:4">
      <c r="A141" s="10"/>
      <c r="B141" s="9"/>
      <c r="C141" s="10"/>
      <c r="D141" s="9"/>
    </row>
    <row r="142" spans="1:4">
      <c r="A142" s="10"/>
      <c r="B142" s="9"/>
      <c r="C142" s="10"/>
      <c r="D142" s="9"/>
    </row>
    <row r="143" spans="1:4">
      <c r="A143" s="10"/>
      <c r="B143" s="9"/>
      <c r="C143" s="10"/>
      <c r="D143" s="9"/>
    </row>
    <row r="144" spans="1:4">
      <c r="A144" s="10"/>
      <c r="B144" s="9"/>
      <c r="C144" s="10"/>
      <c r="D144" s="9"/>
    </row>
    <row r="145" spans="1:4">
      <c r="A145" s="10"/>
      <c r="B145" s="9"/>
      <c r="C145" s="10"/>
      <c r="D145" s="9"/>
    </row>
    <row r="146" spans="1:4">
      <c r="A146" s="10"/>
      <c r="B146" s="9"/>
      <c r="C146" s="10"/>
      <c r="D146" s="9"/>
    </row>
    <row r="147" spans="1:4">
      <c r="A147" s="10"/>
      <c r="B147" s="9"/>
      <c r="C147" s="10"/>
      <c r="D147" s="9"/>
    </row>
    <row r="148" spans="1:4">
      <c r="A148" s="10"/>
      <c r="B148" s="9"/>
      <c r="C148" s="10"/>
      <c r="D148" s="9"/>
    </row>
    <row r="149" spans="1:4">
      <c r="A149" s="10"/>
      <c r="B149" s="9"/>
      <c r="C149" s="10"/>
      <c r="D149" s="9"/>
    </row>
    <row r="150" spans="1:4">
      <c r="A150" s="10"/>
      <c r="B150" s="9"/>
      <c r="C150" s="10"/>
      <c r="D150" s="9"/>
    </row>
    <row r="151" spans="1:4">
      <c r="A151" s="10"/>
      <c r="B151" s="9"/>
      <c r="C151" s="10"/>
      <c r="D151" s="9"/>
    </row>
    <row r="152" spans="1:4">
      <c r="A152" s="10"/>
      <c r="B152" s="9"/>
      <c r="C152" s="10"/>
      <c r="D152" s="9"/>
    </row>
    <row r="153" spans="1:4">
      <c r="A153" s="10"/>
      <c r="B153" s="9"/>
      <c r="C153" s="10"/>
      <c r="D153" s="9"/>
    </row>
    <row r="154" spans="1:4">
      <c r="A154" s="10"/>
      <c r="B154" s="9"/>
      <c r="C154" s="10"/>
      <c r="D154" s="9"/>
    </row>
    <row r="155" spans="1:4">
      <c r="A155" s="10"/>
      <c r="B155" s="9"/>
      <c r="C155" s="10"/>
      <c r="D155" s="9"/>
    </row>
    <row r="156" spans="1:4">
      <c r="A156" s="10"/>
      <c r="B156" s="9"/>
      <c r="C156" s="10"/>
      <c r="D156" s="9"/>
    </row>
    <row r="157" spans="1:4">
      <c r="A157" s="10"/>
      <c r="B157" s="9"/>
      <c r="C157" s="10"/>
      <c r="D157" s="9"/>
    </row>
    <row r="158" spans="1:4">
      <c r="A158" s="10"/>
      <c r="B158" s="9"/>
      <c r="C158" s="10"/>
      <c r="D158" s="9"/>
    </row>
    <row r="159" spans="1:4">
      <c r="A159" s="10"/>
      <c r="B159" s="9"/>
      <c r="C159" s="10"/>
      <c r="D159" s="9"/>
    </row>
    <row r="160" spans="1:4">
      <c r="A160" s="10"/>
      <c r="B160" s="9"/>
      <c r="C160" s="10"/>
      <c r="D160" s="9"/>
    </row>
    <row r="161" spans="1:4">
      <c r="A161" s="10"/>
      <c r="B161" s="9"/>
      <c r="C161" s="10"/>
      <c r="D161" s="9"/>
    </row>
    <row r="162" spans="1:4">
      <c r="A162" s="10"/>
      <c r="B162" s="9"/>
      <c r="C162" s="10"/>
      <c r="D162" s="9"/>
    </row>
    <row r="163" spans="1:4">
      <c r="A163" s="10"/>
      <c r="B163" s="9"/>
      <c r="C163" s="10"/>
      <c r="D163" s="9"/>
    </row>
    <row r="164" spans="1:4">
      <c r="A164" s="10"/>
      <c r="B164" s="9"/>
      <c r="C164" s="10"/>
      <c r="D164" s="9"/>
    </row>
    <row r="165" spans="1:4">
      <c r="A165" s="10"/>
      <c r="B165" s="9"/>
      <c r="C165" s="10"/>
      <c r="D165" s="9"/>
    </row>
    <row r="166" spans="1:4">
      <c r="A166" s="10"/>
      <c r="B166" s="9"/>
      <c r="C166" s="10"/>
      <c r="D166" s="9"/>
    </row>
    <row r="167" spans="1:4">
      <c r="A167" s="10"/>
      <c r="B167" s="9"/>
      <c r="C167" s="10"/>
      <c r="D167" s="9"/>
    </row>
    <row r="168" spans="1:4">
      <c r="A168" s="10"/>
      <c r="B168" s="9"/>
      <c r="C168" s="10"/>
      <c r="D168" s="9"/>
    </row>
    <row r="169" spans="1:4">
      <c r="A169" s="10"/>
      <c r="B169" s="9"/>
      <c r="C169" s="10"/>
      <c r="D169" s="9"/>
    </row>
    <row r="170" spans="1:4">
      <c r="A170" s="10"/>
      <c r="B170" s="9"/>
      <c r="C170" s="10"/>
      <c r="D170" s="9"/>
    </row>
    <row r="171" spans="1:4">
      <c r="A171" s="10"/>
      <c r="B171" s="9"/>
      <c r="C171" s="10"/>
      <c r="D171" s="9"/>
    </row>
    <row r="172" spans="1:4">
      <c r="A172" s="10"/>
      <c r="B172" s="9"/>
      <c r="C172" s="10"/>
      <c r="D172" s="9"/>
    </row>
    <row r="173" spans="1:4">
      <c r="A173" s="10"/>
      <c r="B173" s="9"/>
      <c r="C173" s="10"/>
      <c r="D173" s="9"/>
    </row>
    <row r="174" spans="1:4">
      <c r="A174" s="10"/>
      <c r="B174" s="9"/>
      <c r="C174" s="10"/>
      <c r="D174" s="9"/>
    </row>
    <row r="175" spans="1:4">
      <c r="A175" s="10"/>
      <c r="B175" s="9"/>
      <c r="C175" s="10"/>
      <c r="D175" s="9"/>
    </row>
    <row r="176" spans="1:4">
      <c r="A176" s="10"/>
      <c r="B176" s="9"/>
      <c r="C176" s="10"/>
      <c r="D176" s="9"/>
    </row>
    <row r="177" spans="1:4">
      <c r="A177" s="10"/>
      <c r="B177" s="9"/>
      <c r="C177" s="10"/>
      <c r="D177" s="9"/>
    </row>
    <row r="178" spans="1:4">
      <c r="A178" s="10"/>
      <c r="B178" s="9"/>
      <c r="C178" s="10"/>
      <c r="D178" s="9"/>
    </row>
    <row r="179" spans="1:4">
      <c r="A179" s="10"/>
      <c r="B179" s="9"/>
      <c r="C179" s="10"/>
      <c r="D179" s="9"/>
    </row>
    <row r="180" spans="1:4">
      <c r="A180" s="10"/>
      <c r="B180" s="9"/>
      <c r="C180" s="10"/>
      <c r="D180" s="9"/>
    </row>
    <row r="181" spans="1:4">
      <c r="A181" s="10"/>
      <c r="B181" s="9"/>
      <c r="C181" s="10"/>
      <c r="D181" s="9"/>
    </row>
    <row r="182" spans="1:4">
      <c r="A182" s="10"/>
      <c r="B182" s="9"/>
      <c r="C182" s="10"/>
      <c r="D182" s="9"/>
    </row>
    <row r="183" spans="1:4">
      <c r="A183" s="10"/>
      <c r="B183" s="9"/>
      <c r="C183" s="10"/>
      <c r="D183" s="9"/>
    </row>
    <row r="184" spans="1:4">
      <c r="A184" s="10"/>
      <c r="B184" s="9"/>
      <c r="C184" s="10"/>
      <c r="D184" s="9"/>
    </row>
    <row r="185" spans="1:4">
      <c r="A185" s="10"/>
      <c r="B185" s="9"/>
      <c r="C185" s="10"/>
      <c r="D185" s="9"/>
    </row>
    <row r="186" spans="1:4">
      <c r="A186" s="10"/>
      <c r="B186" s="9"/>
      <c r="C186" s="10"/>
      <c r="D186" s="9"/>
    </row>
    <row r="187" spans="1:4">
      <c r="A187" s="10"/>
      <c r="B187" s="9"/>
      <c r="C187" s="10"/>
      <c r="D187" s="9"/>
    </row>
    <row r="188" spans="1:4">
      <c r="A188" s="10"/>
      <c r="B188" s="9"/>
      <c r="C188" s="10"/>
      <c r="D188" s="9"/>
    </row>
    <row r="189" spans="1:4">
      <c r="A189" s="10"/>
      <c r="B189" s="9"/>
      <c r="C189" s="10"/>
      <c r="D189" s="9"/>
    </row>
    <row r="190" spans="1:4">
      <c r="A190" s="10"/>
      <c r="B190" s="9"/>
      <c r="C190" s="10"/>
      <c r="D190" s="9"/>
    </row>
    <row r="191" spans="1:4">
      <c r="A191" s="10"/>
      <c r="B191" s="9"/>
      <c r="C191" s="10"/>
      <c r="D191" s="9"/>
    </row>
    <row r="192" spans="1:4">
      <c r="A192" s="10"/>
      <c r="B192" s="9"/>
      <c r="C192" s="10"/>
      <c r="D192" s="9"/>
    </row>
    <row r="193" spans="1:4">
      <c r="A193" s="10"/>
      <c r="B193" s="9"/>
      <c r="C193" s="10"/>
      <c r="D193" s="9"/>
    </row>
    <row r="194" spans="1:4">
      <c r="A194" s="10"/>
      <c r="B194" s="9"/>
      <c r="C194" s="10"/>
      <c r="D194" s="9"/>
    </row>
    <row r="195" spans="1:4">
      <c r="A195" s="10"/>
      <c r="B195" s="9"/>
      <c r="C195" s="10"/>
      <c r="D195" s="9"/>
    </row>
    <row r="196" spans="1:4">
      <c r="A196" s="10"/>
      <c r="B196" s="9"/>
      <c r="C196" s="10"/>
      <c r="D196" s="9"/>
    </row>
    <row r="197" spans="1:4">
      <c r="A197" s="10"/>
      <c r="B197" s="9"/>
      <c r="C197" s="10"/>
      <c r="D197" s="9"/>
    </row>
    <row r="198" spans="1:4">
      <c r="A198" s="10"/>
      <c r="B198" s="9"/>
      <c r="C198" s="10"/>
      <c r="D198" s="9"/>
    </row>
    <row r="199" spans="1:4">
      <c r="A199" s="10"/>
      <c r="B199" s="9"/>
      <c r="C199" s="10"/>
      <c r="D199" s="9"/>
    </row>
    <row r="200" spans="1:4">
      <c r="A200" s="10"/>
      <c r="B200" s="9"/>
      <c r="C200" s="10"/>
      <c r="D200" s="9"/>
    </row>
    <row r="201" spans="1:4">
      <c r="A201" s="10"/>
      <c r="B201" s="9"/>
      <c r="C201" s="10"/>
      <c r="D201" s="9"/>
    </row>
    <row r="202" spans="1:4">
      <c r="A202" s="10"/>
      <c r="B202" s="9"/>
      <c r="C202" s="10"/>
      <c r="D202" s="9"/>
    </row>
    <row r="203" spans="1:4">
      <c r="A203" s="10"/>
      <c r="B203" s="9"/>
      <c r="C203" s="10"/>
      <c r="D203" s="9"/>
    </row>
    <row r="204" spans="1:4">
      <c r="A204" s="10"/>
      <c r="B204" s="9"/>
      <c r="C204" s="10"/>
      <c r="D204" s="9"/>
    </row>
    <row r="205" spans="1:4">
      <c r="A205" s="10"/>
      <c r="B205" s="9"/>
      <c r="C205" s="10"/>
      <c r="D205" s="9"/>
    </row>
    <row r="206" spans="1:4">
      <c r="A206" s="10"/>
      <c r="B206" s="9"/>
      <c r="C206" s="10"/>
      <c r="D206" s="9"/>
    </row>
    <row r="207" spans="1:4">
      <c r="A207" s="10"/>
      <c r="B207" s="9"/>
      <c r="C207" s="10"/>
      <c r="D207" s="9"/>
    </row>
    <row r="208" spans="1:4">
      <c r="A208" s="10"/>
      <c r="B208" s="9"/>
      <c r="C208" s="10"/>
      <c r="D208" s="9"/>
    </row>
    <row r="209" spans="1:4">
      <c r="A209" s="10"/>
      <c r="B209" s="9"/>
      <c r="C209" s="10"/>
      <c r="D209" s="9"/>
    </row>
    <row r="210" spans="1:4">
      <c r="A210" s="10"/>
      <c r="B210" s="9"/>
      <c r="C210" s="10"/>
      <c r="D210" s="9"/>
    </row>
    <row r="211" spans="1:4">
      <c r="A211" s="10"/>
      <c r="B211" s="9"/>
      <c r="C211" s="10"/>
      <c r="D211" s="9"/>
    </row>
    <row r="212" spans="1:4">
      <c r="A212" s="10"/>
      <c r="B212" s="9"/>
      <c r="C212" s="10"/>
      <c r="D212" s="9"/>
    </row>
    <row r="213" spans="1:4">
      <c r="A213" s="10"/>
      <c r="B213" s="9"/>
      <c r="C213" s="10"/>
      <c r="D213" s="9"/>
    </row>
    <row r="214" spans="1:4">
      <c r="A214" s="10"/>
      <c r="B214" s="9"/>
      <c r="C214" s="10"/>
      <c r="D214" s="9"/>
    </row>
    <row r="215" spans="1:4">
      <c r="A215" s="10"/>
      <c r="B215" s="9"/>
      <c r="C215" s="10"/>
      <c r="D215" s="9"/>
    </row>
    <row r="216" spans="1:4">
      <c r="A216" s="10"/>
      <c r="B216" s="9"/>
      <c r="C216" s="10"/>
      <c r="D216" s="9"/>
    </row>
    <row r="217" spans="1:4">
      <c r="A217" s="10"/>
      <c r="B217" s="9"/>
      <c r="C217" s="10"/>
      <c r="D217" s="9"/>
    </row>
    <row r="218" spans="1:4">
      <c r="A218" s="10"/>
      <c r="B218" s="9"/>
      <c r="C218" s="10"/>
      <c r="D218" s="9"/>
    </row>
    <row r="219" spans="1:4">
      <c r="A219" s="10"/>
      <c r="B219" s="9"/>
      <c r="C219" s="10"/>
      <c r="D219" s="9"/>
    </row>
    <row r="220" spans="1:4">
      <c r="A220" s="10"/>
      <c r="B220" s="9"/>
      <c r="C220" s="10"/>
      <c r="D220" s="9"/>
    </row>
    <row r="221" spans="1:4">
      <c r="A221" s="10"/>
      <c r="B221" s="9"/>
      <c r="C221" s="10"/>
      <c r="D221" s="9"/>
    </row>
    <row r="222" spans="1:4">
      <c r="A222" s="10"/>
      <c r="B222" s="9"/>
      <c r="C222" s="10"/>
      <c r="D222" s="9"/>
    </row>
    <row r="223" spans="1:4">
      <c r="A223" s="10"/>
      <c r="B223" s="9"/>
      <c r="C223" s="10"/>
      <c r="D223" s="9"/>
    </row>
    <row r="224" spans="1:4">
      <c r="A224" s="10"/>
      <c r="B224" s="9"/>
      <c r="C224" s="10"/>
      <c r="D224" s="9"/>
    </row>
    <row r="225" spans="1:4">
      <c r="A225" s="10"/>
      <c r="B225" s="9"/>
      <c r="C225" s="10"/>
      <c r="D225" s="9"/>
    </row>
    <row r="226" spans="1:4">
      <c r="A226" s="10"/>
      <c r="B226" s="9"/>
      <c r="C226" s="10"/>
      <c r="D226" s="9"/>
    </row>
    <row r="227" spans="1:4">
      <c r="A227" s="10"/>
      <c r="B227" s="9"/>
      <c r="C227" s="10"/>
      <c r="D227" s="9"/>
    </row>
    <row r="228" spans="1:4">
      <c r="A228" s="10"/>
      <c r="B228" s="9"/>
      <c r="C228" s="10"/>
      <c r="D228" s="9"/>
    </row>
    <row r="229" spans="1:4">
      <c r="A229" s="10"/>
      <c r="B229" s="9"/>
      <c r="C229" s="10"/>
      <c r="D229" s="9"/>
    </row>
    <row r="230" spans="1:4">
      <c r="A230" s="10"/>
      <c r="B230" s="9"/>
      <c r="C230" s="10"/>
      <c r="D230" s="9"/>
    </row>
    <row r="231" spans="1:4">
      <c r="A231" s="10"/>
      <c r="B231" s="9"/>
      <c r="C231" s="10"/>
      <c r="D231" s="9"/>
    </row>
    <row r="232" spans="1:4">
      <c r="A232" s="10"/>
      <c r="B232" s="9"/>
      <c r="C232" s="10"/>
      <c r="D232" s="9"/>
    </row>
    <row r="233" spans="1:4">
      <c r="A233" s="10"/>
      <c r="B233" s="9"/>
      <c r="C233" s="10"/>
      <c r="D233" s="9"/>
    </row>
    <row r="234" spans="1:4">
      <c r="A234" s="10"/>
      <c r="B234" s="9"/>
      <c r="C234" s="10"/>
      <c r="D234" s="9"/>
    </row>
    <row r="235" spans="1:4">
      <c r="A235" s="10"/>
      <c r="B235" s="9"/>
      <c r="C235" s="10"/>
      <c r="D235" s="9"/>
    </row>
    <row r="236" spans="1:4">
      <c r="A236" s="10"/>
      <c r="B236" s="9"/>
      <c r="C236" s="10"/>
      <c r="D236" s="9"/>
    </row>
    <row r="237" spans="1:4">
      <c r="A237" s="10"/>
      <c r="B237" s="9"/>
      <c r="C237" s="10"/>
      <c r="D237" s="9"/>
    </row>
    <row r="238" spans="1:4">
      <c r="A238" s="10"/>
      <c r="B238" s="9"/>
      <c r="C238" s="10"/>
      <c r="D238" s="9"/>
    </row>
    <row r="239" spans="1:4">
      <c r="A239" s="10"/>
      <c r="B239" s="9"/>
      <c r="C239" s="10"/>
      <c r="D239" s="9"/>
    </row>
    <row r="240" spans="1:4">
      <c r="A240" s="10"/>
      <c r="B240" s="9"/>
      <c r="C240" s="10"/>
      <c r="D240" s="9"/>
    </row>
    <row r="241" spans="1:4">
      <c r="A241" s="10"/>
      <c r="B241" s="9"/>
      <c r="C241" s="10"/>
      <c r="D241" s="9"/>
    </row>
    <row r="242" spans="1:4">
      <c r="A242" s="10"/>
      <c r="B242" s="9"/>
      <c r="C242" s="10"/>
      <c r="D242" s="9"/>
    </row>
    <row r="243" spans="1:4">
      <c r="A243" s="10"/>
      <c r="B243" s="9"/>
      <c r="C243" s="10"/>
      <c r="D243" s="9"/>
    </row>
    <row r="244" spans="1:4">
      <c r="A244" s="10"/>
      <c r="B244" s="9"/>
      <c r="C244" s="10"/>
      <c r="D244" s="9"/>
    </row>
    <row r="245" spans="1:4">
      <c r="A245" s="10"/>
      <c r="B245" s="9"/>
      <c r="C245" s="10"/>
      <c r="D245" s="9"/>
    </row>
    <row r="246" spans="1:4">
      <c r="A246" s="10"/>
      <c r="B246" s="9"/>
      <c r="C246" s="10"/>
      <c r="D246" s="9"/>
    </row>
    <row r="247" spans="1:4">
      <c r="A247" s="10"/>
      <c r="B247" s="9"/>
      <c r="C247" s="10"/>
      <c r="D247" s="9"/>
    </row>
    <row r="248" spans="1:4">
      <c r="A248" s="10"/>
      <c r="B248" s="9"/>
      <c r="C248" s="10"/>
      <c r="D248" s="9"/>
    </row>
    <row r="249" spans="1:4">
      <c r="A249" s="10"/>
      <c r="B249" s="9"/>
      <c r="C249" s="10"/>
      <c r="D249" s="9"/>
    </row>
    <row r="250" spans="1:4">
      <c r="A250" s="10"/>
      <c r="B250" s="9"/>
      <c r="C250" s="10"/>
      <c r="D250" s="9"/>
    </row>
    <row r="251" spans="1:4">
      <c r="A251" s="10"/>
      <c r="B251" s="9"/>
      <c r="C251" s="10"/>
      <c r="D251" s="9"/>
    </row>
    <row r="252" spans="1:4">
      <c r="A252" s="10"/>
      <c r="B252" s="9"/>
      <c r="C252" s="10"/>
      <c r="D252" s="9"/>
    </row>
    <row r="253" spans="1:4">
      <c r="A253" s="10"/>
      <c r="B253" s="9"/>
      <c r="C253" s="10"/>
      <c r="D253" s="9"/>
    </row>
    <row r="254" spans="1:4">
      <c r="A254" s="10"/>
      <c r="B254" s="9"/>
      <c r="C254" s="10"/>
      <c r="D254" s="9"/>
    </row>
    <row r="255" spans="1:4">
      <c r="A255" s="10"/>
      <c r="B255" s="9"/>
      <c r="C255" s="10"/>
      <c r="D255" s="9"/>
    </row>
    <row r="256" spans="1:4">
      <c r="A256" s="10"/>
      <c r="B256" s="9"/>
      <c r="C256" s="10"/>
      <c r="D256" s="9"/>
    </row>
    <row r="257" spans="1:4">
      <c r="A257" s="10"/>
      <c r="B257" s="9"/>
      <c r="C257" s="10"/>
      <c r="D257" s="9"/>
    </row>
    <row r="258" spans="1:4">
      <c r="A258" s="10"/>
      <c r="B258" s="9"/>
      <c r="C258" s="10"/>
      <c r="D258" s="9"/>
    </row>
    <row r="259" spans="1:4">
      <c r="A259" s="10"/>
      <c r="B259" s="9"/>
      <c r="C259" s="10"/>
      <c r="D259" s="9"/>
    </row>
  </sheetData>
  <phoneticPr fontId="20" type="noConversion"/>
  <dataValidations count="1">
    <dataValidation type="list" allowBlank="1" showInputMessage="1" showErrorMessage="1" sqref="C7:C24">
      <formula1>$IU$7:$IU$22</formula1>
    </dataValidation>
  </dataValidations>
  <pageMargins left="0.75" right="0.75" top="1" bottom="1" header="0.5" footer="0.5"/>
  <pageSetup paperSize="9" orientation="portrait" horizontalDpi="0" verticalDpi="0" r:id="rId1"/>
  <headerFooter alignWithMargins="0">
    <oddHeader>&amp;A</oddHeader>
    <oddFooter>Page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0"/>
  <dimension ref="A1:M519"/>
  <sheetViews>
    <sheetView topLeftCell="A34" workbookViewId="0">
      <selection activeCell="F23" sqref="F23"/>
    </sheetView>
  </sheetViews>
  <sheetFormatPr defaultRowHeight="12.75"/>
  <cols>
    <col min="5" max="5" width="11.42578125" bestFit="1" customWidth="1"/>
  </cols>
  <sheetData>
    <row r="1" spans="1:13" ht="27">
      <c r="A1" s="404" t="s">
        <v>472</v>
      </c>
      <c r="B1" s="404"/>
      <c r="C1" s="405"/>
      <c r="D1" s="405"/>
      <c r="E1" s="405"/>
      <c r="F1" s="405"/>
      <c r="G1" s="405"/>
      <c r="H1" s="405"/>
      <c r="I1" s="405"/>
      <c r="J1" s="405"/>
      <c r="K1" s="405"/>
      <c r="L1" s="405"/>
      <c r="M1" s="405"/>
    </row>
    <row r="4" spans="1:13" ht="18.75">
      <c r="B4" s="435" t="s">
        <v>473</v>
      </c>
      <c r="I4" s="1"/>
      <c r="J4" s="1"/>
      <c r="K4" s="1"/>
      <c r="L4" s="1"/>
    </row>
    <row r="5" spans="1:13">
      <c r="I5" s="1"/>
      <c r="J5" s="1"/>
      <c r="K5" s="1"/>
      <c r="L5" s="1"/>
    </row>
    <row r="6" spans="1:13" ht="18.75">
      <c r="B6" s="434" t="s">
        <v>474</v>
      </c>
      <c r="I6" s="1"/>
      <c r="J6" s="1"/>
      <c r="K6" s="1"/>
      <c r="L6" s="1"/>
    </row>
    <row r="7" spans="1:13">
      <c r="I7" s="1"/>
      <c r="J7" s="1"/>
      <c r="K7" s="1"/>
      <c r="L7" s="1"/>
    </row>
    <row r="8" spans="1:13">
      <c r="I8" s="1"/>
      <c r="J8" s="1"/>
      <c r="K8" s="1"/>
      <c r="L8" s="1"/>
    </row>
    <row r="9" spans="1:13">
      <c r="I9" s="1"/>
      <c r="J9" s="1"/>
      <c r="K9" s="1"/>
      <c r="L9" s="1"/>
    </row>
    <row r="10" spans="1:13">
      <c r="I10" s="1"/>
      <c r="J10" s="1"/>
      <c r="K10" s="1"/>
      <c r="L10" s="1"/>
    </row>
    <row r="11" spans="1:13">
      <c r="I11" s="1"/>
      <c r="J11" s="1"/>
      <c r="K11" s="1"/>
      <c r="L11" s="1"/>
    </row>
    <row r="12" spans="1:13">
      <c r="I12" s="1"/>
      <c r="J12" s="1"/>
      <c r="K12" s="1"/>
      <c r="L12" s="1"/>
    </row>
    <row r="13" spans="1:13">
      <c r="I13" s="1"/>
      <c r="J13" s="1"/>
      <c r="K13" s="1"/>
      <c r="L13" s="1"/>
    </row>
    <row r="14" spans="1:13">
      <c r="I14" s="1"/>
      <c r="J14" s="1"/>
      <c r="K14" s="1"/>
      <c r="L14" s="1"/>
    </row>
    <row r="15" spans="1:13">
      <c r="I15" s="1"/>
      <c r="J15" s="1"/>
      <c r="K15" s="1"/>
      <c r="L15" s="1"/>
    </row>
    <row r="16" spans="1:13">
      <c r="I16" s="1"/>
      <c r="J16" s="1"/>
      <c r="K16" s="1"/>
      <c r="L16" s="1"/>
    </row>
    <row r="19" spans="1:6">
      <c r="B19" s="155" t="s">
        <v>475</v>
      </c>
      <c r="C19" s="155" t="s">
        <v>476</v>
      </c>
    </row>
    <row r="20" spans="1:6">
      <c r="A20">
        <v>1</v>
      </c>
      <c r="B20" s="439"/>
      <c r="C20" s="439"/>
    </row>
    <row r="21" spans="1:6">
      <c r="A21">
        <v>2</v>
      </c>
      <c r="B21" s="439"/>
      <c r="C21" s="439"/>
    </row>
    <row r="22" spans="1:6">
      <c r="A22">
        <v>3</v>
      </c>
      <c r="B22" s="439"/>
      <c r="C22" s="439"/>
      <c r="E22" s="155" t="s">
        <v>477</v>
      </c>
      <c r="F22" s="439">
        <f>MAX(C20:C519)</f>
        <v>0</v>
      </c>
    </row>
    <row r="23" spans="1:6">
      <c r="A23">
        <v>4</v>
      </c>
      <c r="B23" s="439"/>
      <c r="C23" s="439"/>
      <c r="E23" s="155" t="s">
        <v>478</v>
      </c>
      <c r="F23" s="439">
        <f>MIN(C20:C519)</f>
        <v>0</v>
      </c>
    </row>
    <row r="24" spans="1:6">
      <c r="A24">
        <v>5</v>
      </c>
      <c r="B24" s="439"/>
      <c r="C24" s="439"/>
    </row>
    <row r="25" spans="1:6">
      <c r="A25">
        <v>6</v>
      </c>
      <c r="B25" s="439"/>
      <c r="C25" s="439"/>
    </row>
    <row r="26" spans="1:6">
      <c r="A26">
        <v>7</v>
      </c>
      <c r="B26" s="439"/>
      <c r="C26" s="439"/>
      <c r="E26" s="294" t="s">
        <v>398</v>
      </c>
      <c r="F26" s="294" t="s">
        <v>399</v>
      </c>
    </row>
    <row r="27" spans="1:6">
      <c r="A27">
        <v>8</v>
      </c>
      <c r="B27" s="439"/>
      <c r="C27" s="439"/>
      <c r="E27" s="436">
        <v>-3</v>
      </c>
      <c r="F27" s="318"/>
    </row>
    <row r="28" spans="1:6">
      <c r="A28">
        <v>9</v>
      </c>
      <c r="B28" s="439"/>
      <c r="C28" s="439"/>
      <c r="E28" s="436">
        <v>-2.5</v>
      </c>
      <c r="F28" s="318"/>
    </row>
    <row r="29" spans="1:6">
      <c r="A29">
        <v>10</v>
      </c>
      <c r="B29" s="439"/>
      <c r="C29" s="439"/>
      <c r="E29" s="436">
        <v>-2</v>
      </c>
      <c r="F29" s="318"/>
    </row>
    <row r="30" spans="1:6">
      <c r="A30">
        <v>11</v>
      </c>
      <c r="B30" s="439"/>
      <c r="C30" s="439"/>
      <c r="E30" s="436">
        <v>-1.5</v>
      </c>
      <c r="F30" s="318"/>
    </row>
    <row r="31" spans="1:6">
      <c r="A31">
        <v>12</v>
      </c>
      <c r="B31" s="439"/>
      <c r="C31" s="439"/>
      <c r="E31" s="436">
        <v>-1</v>
      </c>
      <c r="F31" s="318"/>
    </row>
    <row r="32" spans="1:6">
      <c r="A32">
        <v>13</v>
      </c>
      <c r="B32" s="439"/>
      <c r="C32" s="439"/>
      <c r="E32" s="436">
        <v>-0.5</v>
      </c>
      <c r="F32" s="318"/>
    </row>
    <row r="33" spans="1:6">
      <c r="A33">
        <v>14</v>
      </c>
      <c r="B33" s="439"/>
      <c r="C33" s="439"/>
      <c r="E33" s="436">
        <v>0</v>
      </c>
      <c r="F33" s="318"/>
    </row>
    <row r="34" spans="1:6">
      <c r="A34">
        <v>15</v>
      </c>
      <c r="B34" s="439"/>
      <c r="C34" s="439"/>
      <c r="E34" s="436">
        <v>0.5</v>
      </c>
      <c r="F34" s="318"/>
    </row>
    <row r="35" spans="1:6">
      <c r="A35">
        <v>16</v>
      </c>
      <c r="B35" s="439"/>
      <c r="C35" s="439"/>
      <c r="E35" s="436">
        <v>1</v>
      </c>
      <c r="F35" s="318"/>
    </row>
    <row r="36" spans="1:6">
      <c r="A36">
        <v>17</v>
      </c>
      <c r="B36" s="439"/>
      <c r="C36" s="439"/>
      <c r="E36" s="436">
        <v>1.5</v>
      </c>
      <c r="F36" s="318"/>
    </row>
    <row r="37" spans="1:6">
      <c r="A37">
        <v>18</v>
      </c>
      <c r="B37" s="439"/>
      <c r="C37" s="439"/>
      <c r="E37" s="436">
        <v>2</v>
      </c>
      <c r="F37" s="318"/>
    </row>
    <row r="38" spans="1:6">
      <c r="A38">
        <v>19</v>
      </c>
      <c r="B38" s="439"/>
      <c r="C38" s="439"/>
      <c r="E38" s="437">
        <v>2.5</v>
      </c>
      <c r="F38" s="440"/>
    </row>
    <row r="39" spans="1:6">
      <c r="A39">
        <v>20</v>
      </c>
      <c r="B39" s="439"/>
      <c r="C39" s="439"/>
      <c r="E39" s="436">
        <v>3</v>
      </c>
      <c r="F39" s="318"/>
    </row>
    <row r="40" spans="1:6">
      <c r="A40">
        <v>21</v>
      </c>
      <c r="B40" s="439"/>
      <c r="C40" s="439"/>
      <c r="E40" s="438"/>
      <c r="F40" s="25"/>
    </row>
    <row r="41" spans="1:6">
      <c r="A41">
        <v>22</v>
      </c>
      <c r="B41" s="439"/>
      <c r="C41" s="439"/>
      <c r="E41" s="438"/>
      <c r="F41" s="25"/>
    </row>
    <row r="42" spans="1:6">
      <c r="A42">
        <v>23</v>
      </c>
      <c r="B42" s="439"/>
      <c r="C42" s="439"/>
      <c r="E42" s="438"/>
      <c r="F42" s="25"/>
    </row>
    <row r="43" spans="1:6">
      <c r="A43">
        <v>24</v>
      </c>
      <c r="B43" s="439"/>
      <c r="C43" s="439"/>
    </row>
    <row r="44" spans="1:6">
      <c r="A44">
        <v>25</v>
      </c>
      <c r="B44" s="439"/>
      <c r="C44" s="439"/>
    </row>
    <row r="45" spans="1:6">
      <c r="A45">
        <v>26</v>
      </c>
      <c r="B45" s="439"/>
      <c r="C45" s="439"/>
    </row>
    <row r="46" spans="1:6">
      <c r="A46">
        <v>27</v>
      </c>
      <c r="B46" s="439"/>
      <c r="C46" s="439"/>
    </row>
    <row r="47" spans="1:6">
      <c r="A47">
        <v>28</v>
      </c>
      <c r="B47" s="439"/>
      <c r="C47" s="439"/>
    </row>
    <row r="48" spans="1:6">
      <c r="A48">
        <v>29</v>
      </c>
      <c r="B48" s="439"/>
      <c r="C48" s="439"/>
    </row>
    <row r="49" spans="1:3">
      <c r="A49">
        <v>30</v>
      </c>
      <c r="B49" s="439"/>
      <c r="C49" s="439"/>
    </row>
    <row r="50" spans="1:3">
      <c r="A50">
        <v>31</v>
      </c>
      <c r="B50" s="439"/>
      <c r="C50" s="439"/>
    </row>
    <row r="51" spans="1:3">
      <c r="A51">
        <v>32</v>
      </c>
      <c r="B51" s="439"/>
      <c r="C51" s="439"/>
    </row>
    <row r="52" spans="1:3">
      <c r="A52">
        <v>33</v>
      </c>
      <c r="B52" s="439"/>
      <c r="C52" s="439"/>
    </row>
    <row r="53" spans="1:3">
      <c r="A53">
        <v>34</v>
      </c>
      <c r="B53" s="439"/>
      <c r="C53" s="439"/>
    </row>
    <row r="54" spans="1:3">
      <c r="A54">
        <v>35</v>
      </c>
      <c r="B54" s="439"/>
      <c r="C54" s="439"/>
    </row>
    <row r="55" spans="1:3">
      <c r="A55">
        <v>36</v>
      </c>
      <c r="B55" s="439"/>
      <c r="C55" s="439"/>
    </row>
    <row r="56" spans="1:3">
      <c r="A56">
        <v>37</v>
      </c>
      <c r="B56" s="439"/>
      <c r="C56" s="439"/>
    </row>
    <row r="57" spans="1:3">
      <c r="A57">
        <v>38</v>
      </c>
      <c r="B57" s="439"/>
      <c r="C57" s="439"/>
    </row>
    <row r="58" spans="1:3">
      <c r="A58">
        <v>39</v>
      </c>
      <c r="B58" s="439"/>
      <c r="C58" s="439"/>
    </row>
    <row r="59" spans="1:3">
      <c r="A59">
        <v>40</v>
      </c>
      <c r="B59" s="439"/>
      <c r="C59" s="439"/>
    </row>
    <row r="60" spans="1:3">
      <c r="A60">
        <v>41</v>
      </c>
      <c r="B60" s="439"/>
      <c r="C60" s="439"/>
    </row>
    <row r="61" spans="1:3">
      <c r="A61">
        <v>42</v>
      </c>
      <c r="B61" s="439"/>
      <c r="C61" s="439"/>
    </row>
    <row r="62" spans="1:3">
      <c r="A62">
        <v>43</v>
      </c>
      <c r="B62" s="439"/>
      <c r="C62" s="439"/>
    </row>
    <row r="63" spans="1:3">
      <c r="A63">
        <v>44</v>
      </c>
      <c r="B63" s="439"/>
      <c r="C63" s="439"/>
    </row>
    <row r="64" spans="1:3">
      <c r="A64">
        <v>45</v>
      </c>
      <c r="B64" s="439"/>
      <c r="C64" s="439"/>
    </row>
    <row r="65" spans="1:3">
      <c r="A65">
        <v>46</v>
      </c>
      <c r="B65" s="439"/>
      <c r="C65" s="439"/>
    </row>
    <row r="66" spans="1:3">
      <c r="A66">
        <v>47</v>
      </c>
      <c r="B66" s="439"/>
      <c r="C66" s="439"/>
    </row>
    <row r="67" spans="1:3">
      <c r="A67">
        <v>48</v>
      </c>
      <c r="B67" s="439"/>
      <c r="C67" s="439"/>
    </row>
    <row r="68" spans="1:3">
      <c r="A68">
        <v>49</v>
      </c>
      <c r="B68" s="439"/>
      <c r="C68" s="439"/>
    </row>
    <row r="69" spans="1:3">
      <c r="A69">
        <v>50</v>
      </c>
      <c r="B69" s="439"/>
      <c r="C69" s="439"/>
    </row>
    <row r="70" spans="1:3">
      <c r="A70">
        <v>51</v>
      </c>
      <c r="B70" s="439"/>
      <c r="C70" s="439"/>
    </row>
    <row r="71" spans="1:3">
      <c r="A71">
        <v>52</v>
      </c>
      <c r="B71" s="439"/>
      <c r="C71" s="439"/>
    </row>
    <row r="72" spans="1:3">
      <c r="A72">
        <v>53</v>
      </c>
      <c r="B72" s="439"/>
      <c r="C72" s="439"/>
    </row>
    <row r="73" spans="1:3">
      <c r="A73">
        <v>54</v>
      </c>
      <c r="B73" s="439"/>
      <c r="C73" s="439"/>
    </row>
    <row r="74" spans="1:3">
      <c r="A74">
        <v>55</v>
      </c>
      <c r="B74" s="439"/>
      <c r="C74" s="439"/>
    </row>
    <row r="75" spans="1:3">
      <c r="A75">
        <v>56</v>
      </c>
      <c r="B75" s="439"/>
      <c r="C75" s="439"/>
    </row>
    <row r="76" spans="1:3">
      <c r="A76">
        <v>57</v>
      </c>
      <c r="B76" s="439"/>
      <c r="C76" s="439"/>
    </row>
    <row r="77" spans="1:3">
      <c r="A77">
        <v>58</v>
      </c>
      <c r="B77" s="439"/>
      <c r="C77" s="439"/>
    </row>
    <row r="78" spans="1:3">
      <c r="A78">
        <v>59</v>
      </c>
      <c r="B78" s="439"/>
      <c r="C78" s="439"/>
    </row>
    <row r="79" spans="1:3">
      <c r="A79">
        <v>60</v>
      </c>
      <c r="B79" s="439"/>
      <c r="C79" s="439"/>
    </row>
    <row r="80" spans="1:3">
      <c r="A80">
        <v>61</v>
      </c>
      <c r="B80" s="439"/>
      <c r="C80" s="439"/>
    </row>
    <row r="81" spans="1:3">
      <c r="A81">
        <v>62</v>
      </c>
      <c r="B81" s="439"/>
      <c r="C81" s="439"/>
    </row>
    <row r="82" spans="1:3">
      <c r="A82">
        <v>63</v>
      </c>
      <c r="B82" s="439"/>
      <c r="C82" s="439"/>
    </row>
    <row r="83" spans="1:3">
      <c r="A83">
        <v>64</v>
      </c>
      <c r="B83" s="439"/>
      <c r="C83" s="439"/>
    </row>
    <row r="84" spans="1:3">
      <c r="A84">
        <v>65</v>
      </c>
      <c r="B84" s="439"/>
      <c r="C84" s="439"/>
    </row>
    <row r="85" spans="1:3">
      <c r="A85">
        <v>66</v>
      </c>
      <c r="B85" s="439"/>
      <c r="C85" s="439"/>
    </row>
    <row r="86" spans="1:3">
      <c r="A86">
        <v>67</v>
      </c>
      <c r="B86" s="439"/>
      <c r="C86" s="439"/>
    </row>
    <row r="87" spans="1:3">
      <c r="A87">
        <v>68</v>
      </c>
      <c r="B87" s="439"/>
      <c r="C87" s="439"/>
    </row>
    <row r="88" spans="1:3">
      <c r="A88">
        <v>69</v>
      </c>
      <c r="B88" s="439"/>
      <c r="C88" s="439"/>
    </row>
    <row r="89" spans="1:3">
      <c r="A89">
        <v>70</v>
      </c>
      <c r="B89" s="439"/>
      <c r="C89" s="439"/>
    </row>
    <row r="90" spans="1:3">
      <c r="A90">
        <v>71</v>
      </c>
      <c r="B90" s="439"/>
      <c r="C90" s="439"/>
    </row>
    <row r="91" spans="1:3">
      <c r="A91">
        <v>72</v>
      </c>
      <c r="B91" s="439"/>
      <c r="C91" s="439"/>
    </row>
    <row r="92" spans="1:3">
      <c r="A92">
        <v>73</v>
      </c>
      <c r="B92" s="439"/>
      <c r="C92" s="439"/>
    </row>
    <row r="93" spans="1:3">
      <c r="A93">
        <v>74</v>
      </c>
      <c r="B93" s="439"/>
      <c r="C93" s="439"/>
    </row>
    <row r="94" spans="1:3">
      <c r="A94">
        <v>75</v>
      </c>
      <c r="B94" s="439"/>
      <c r="C94" s="439"/>
    </row>
    <row r="95" spans="1:3">
      <c r="A95">
        <v>76</v>
      </c>
      <c r="B95" s="439"/>
      <c r="C95" s="439"/>
    </row>
    <row r="96" spans="1:3">
      <c r="A96">
        <v>77</v>
      </c>
      <c r="B96" s="439"/>
      <c r="C96" s="439"/>
    </row>
    <row r="97" spans="1:3">
      <c r="A97">
        <v>78</v>
      </c>
      <c r="B97" s="439"/>
      <c r="C97" s="439"/>
    </row>
    <row r="98" spans="1:3">
      <c r="A98">
        <v>79</v>
      </c>
      <c r="B98" s="439"/>
      <c r="C98" s="439"/>
    </row>
    <row r="99" spans="1:3">
      <c r="A99">
        <v>80</v>
      </c>
      <c r="B99" s="439"/>
      <c r="C99" s="439"/>
    </row>
    <row r="100" spans="1:3">
      <c r="A100">
        <v>81</v>
      </c>
      <c r="B100" s="439"/>
      <c r="C100" s="439"/>
    </row>
    <row r="101" spans="1:3">
      <c r="A101">
        <v>82</v>
      </c>
      <c r="B101" s="439"/>
      <c r="C101" s="439"/>
    </row>
    <row r="102" spans="1:3">
      <c r="A102">
        <v>83</v>
      </c>
      <c r="B102" s="439"/>
      <c r="C102" s="439"/>
    </row>
    <row r="103" spans="1:3">
      <c r="A103">
        <v>84</v>
      </c>
      <c r="B103" s="439"/>
      <c r="C103" s="439"/>
    </row>
    <row r="104" spans="1:3">
      <c r="A104">
        <v>85</v>
      </c>
      <c r="B104" s="439"/>
      <c r="C104" s="439"/>
    </row>
    <row r="105" spans="1:3">
      <c r="A105">
        <v>86</v>
      </c>
      <c r="B105" s="439"/>
      <c r="C105" s="439"/>
    </row>
    <row r="106" spans="1:3">
      <c r="A106">
        <v>87</v>
      </c>
      <c r="B106" s="439"/>
      <c r="C106" s="439"/>
    </row>
    <row r="107" spans="1:3">
      <c r="A107">
        <v>88</v>
      </c>
      <c r="B107" s="439"/>
      <c r="C107" s="439"/>
    </row>
    <row r="108" spans="1:3">
      <c r="A108">
        <v>89</v>
      </c>
      <c r="B108" s="439"/>
      <c r="C108" s="439"/>
    </row>
    <row r="109" spans="1:3">
      <c r="A109">
        <v>90</v>
      </c>
      <c r="B109" s="439"/>
      <c r="C109" s="439"/>
    </row>
    <row r="110" spans="1:3">
      <c r="A110">
        <v>91</v>
      </c>
      <c r="B110" s="439"/>
      <c r="C110" s="439"/>
    </row>
    <row r="111" spans="1:3">
      <c r="A111">
        <v>92</v>
      </c>
      <c r="B111" s="439"/>
      <c r="C111" s="439"/>
    </row>
    <row r="112" spans="1:3">
      <c r="A112">
        <v>93</v>
      </c>
      <c r="B112" s="439"/>
      <c r="C112" s="439"/>
    </row>
    <row r="113" spans="1:3">
      <c r="A113">
        <v>94</v>
      </c>
      <c r="B113" s="439"/>
      <c r="C113" s="439"/>
    </row>
    <row r="114" spans="1:3">
      <c r="A114">
        <v>95</v>
      </c>
      <c r="B114" s="439"/>
      <c r="C114" s="439"/>
    </row>
    <row r="115" spans="1:3">
      <c r="A115">
        <v>96</v>
      </c>
      <c r="B115" s="439"/>
      <c r="C115" s="439"/>
    </row>
    <row r="116" spans="1:3">
      <c r="A116">
        <v>97</v>
      </c>
      <c r="B116" s="439"/>
      <c r="C116" s="439"/>
    </row>
    <row r="117" spans="1:3">
      <c r="A117">
        <v>98</v>
      </c>
      <c r="B117" s="439"/>
      <c r="C117" s="439"/>
    </row>
    <row r="118" spans="1:3">
      <c r="A118">
        <v>99</v>
      </c>
      <c r="B118" s="439"/>
      <c r="C118" s="439"/>
    </row>
    <row r="119" spans="1:3">
      <c r="A119">
        <v>100</v>
      </c>
      <c r="B119" s="439"/>
      <c r="C119" s="439"/>
    </row>
    <row r="120" spans="1:3">
      <c r="A120">
        <v>101</v>
      </c>
      <c r="B120" s="439"/>
      <c r="C120" s="439"/>
    </row>
    <row r="121" spans="1:3">
      <c r="A121">
        <v>102</v>
      </c>
      <c r="B121" s="439"/>
      <c r="C121" s="439"/>
    </row>
    <row r="122" spans="1:3">
      <c r="A122">
        <v>103</v>
      </c>
      <c r="B122" s="439"/>
      <c r="C122" s="439"/>
    </row>
    <row r="123" spans="1:3">
      <c r="A123">
        <v>104</v>
      </c>
      <c r="B123" s="439"/>
      <c r="C123" s="439"/>
    </row>
    <row r="124" spans="1:3">
      <c r="A124">
        <v>105</v>
      </c>
      <c r="B124" s="439"/>
      <c r="C124" s="439"/>
    </row>
    <row r="125" spans="1:3">
      <c r="A125">
        <v>106</v>
      </c>
      <c r="B125" s="439"/>
      <c r="C125" s="439"/>
    </row>
    <row r="126" spans="1:3">
      <c r="A126">
        <v>107</v>
      </c>
      <c r="B126" s="439"/>
      <c r="C126" s="439"/>
    </row>
    <row r="127" spans="1:3">
      <c r="A127">
        <v>108</v>
      </c>
      <c r="B127" s="439"/>
      <c r="C127" s="439"/>
    </row>
    <row r="128" spans="1:3">
      <c r="A128">
        <v>109</v>
      </c>
      <c r="B128" s="439"/>
      <c r="C128" s="439"/>
    </row>
    <row r="129" spans="1:3">
      <c r="A129">
        <v>110</v>
      </c>
      <c r="B129" s="439"/>
      <c r="C129" s="439"/>
    </row>
    <row r="130" spans="1:3">
      <c r="A130">
        <v>111</v>
      </c>
      <c r="B130" s="439"/>
      <c r="C130" s="439"/>
    </row>
    <row r="131" spans="1:3">
      <c r="A131">
        <v>112</v>
      </c>
      <c r="B131" s="439"/>
      <c r="C131" s="439"/>
    </row>
    <row r="132" spans="1:3">
      <c r="A132">
        <v>113</v>
      </c>
      <c r="B132" s="439"/>
      <c r="C132" s="439"/>
    </row>
    <row r="133" spans="1:3">
      <c r="A133">
        <v>114</v>
      </c>
      <c r="B133" s="439"/>
      <c r="C133" s="439"/>
    </row>
    <row r="134" spans="1:3">
      <c r="A134">
        <v>115</v>
      </c>
      <c r="B134" s="439"/>
      <c r="C134" s="439"/>
    </row>
    <row r="135" spans="1:3">
      <c r="A135">
        <v>116</v>
      </c>
      <c r="B135" s="439"/>
      <c r="C135" s="439"/>
    </row>
    <row r="136" spans="1:3">
      <c r="A136">
        <v>117</v>
      </c>
      <c r="B136" s="439"/>
      <c r="C136" s="439"/>
    </row>
    <row r="137" spans="1:3">
      <c r="A137">
        <v>118</v>
      </c>
      <c r="B137" s="439"/>
      <c r="C137" s="439"/>
    </row>
    <row r="138" spans="1:3">
      <c r="A138">
        <v>119</v>
      </c>
      <c r="B138" s="439"/>
      <c r="C138" s="439"/>
    </row>
    <row r="139" spans="1:3">
      <c r="A139">
        <v>120</v>
      </c>
      <c r="B139" s="439"/>
      <c r="C139" s="439"/>
    </row>
    <row r="140" spans="1:3">
      <c r="A140">
        <v>121</v>
      </c>
      <c r="B140" s="439"/>
      <c r="C140" s="439"/>
    </row>
    <row r="141" spans="1:3">
      <c r="A141">
        <v>122</v>
      </c>
      <c r="B141" s="439"/>
      <c r="C141" s="439"/>
    </row>
    <row r="142" spans="1:3">
      <c r="A142">
        <v>123</v>
      </c>
      <c r="B142" s="439"/>
      <c r="C142" s="439"/>
    </row>
    <row r="143" spans="1:3">
      <c r="A143">
        <v>124</v>
      </c>
      <c r="B143" s="439"/>
      <c r="C143" s="439"/>
    </row>
    <row r="144" spans="1:3">
      <c r="A144">
        <v>125</v>
      </c>
      <c r="B144" s="439"/>
      <c r="C144" s="439"/>
    </row>
    <row r="145" spans="1:3">
      <c r="A145">
        <v>126</v>
      </c>
      <c r="B145" s="439"/>
      <c r="C145" s="439"/>
    </row>
    <row r="146" spans="1:3">
      <c r="A146">
        <v>127</v>
      </c>
      <c r="B146" s="439"/>
      <c r="C146" s="439"/>
    </row>
    <row r="147" spans="1:3">
      <c r="A147">
        <v>128</v>
      </c>
      <c r="B147" s="439"/>
      <c r="C147" s="439"/>
    </row>
    <row r="148" spans="1:3">
      <c r="A148">
        <v>129</v>
      </c>
      <c r="B148" s="439"/>
      <c r="C148" s="439"/>
    </row>
    <row r="149" spans="1:3">
      <c r="A149">
        <v>130</v>
      </c>
      <c r="B149" s="439"/>
      <c r="C149" s="439"/>
    </row>
    <row r="150" spans="1:3">
      <c r="A150">
        <v>131</v>
      </c>
      <c r="B150" s="439"/>
      <c r="C150" s="439"/>
    </row>
    <row r="151" spans="1:3">
      <c r="A151">
        <v>132</v>
      </c>
      <c r="B151" s="439"/>
      <c r="C151" s="439"/>
    </row>
    <row r="152" spans="1:3">
      <c r="A152">
        <v>133</v>
      </c>
      <c r="B152" s="439"/>
      <c r="C152" s="439"/>
    </row>
    <row r="153" spans="1:3">
      <c r="A153">
        <v>134</v>
      </c>
      <c r="B153" s="439"/>
      <c r="C153" s="439"/>
    </row>
    <row r="154" spans="1:3">
      <c r="A154">
        <v>135</v>
      </c>
      <c r="B154" s="439"/>
      <c r="C154" s="439"/>
    </row>
    <row r="155" spans="1:3">
      <c r="A155">
        <v>136</v>
      </c>
      <c r="B155" s="439"/>
      <c r="C155" s="439"/>
    </row>
    <row r="156" spans="1:3">
      <c r="A156">
        <v>137</v>
      </c>
      <c r="B156" s="439"/>
      <c r="C156" s="439"/>
    </row>
    <row r="157" spans="1:3">
      <c r="A157">
        <v>138</v>
      </c>
      <c r="B157" s="439"/>
      <c r="C157" s="439"/>
    </row>
    <row r="158" spans="1:3">
      <c r="A158">
        <v>139</v>
      </c>
      <c r="B158" s="439"/>
      <c r="C158" s="439"/>
    </row>
    <row r="159" spans="1:3">
      <c r="A159">
        <v>140</v>
      </c>
      <c r="B159" s="439"/>
      <c r="C159" s="439"/>
    </row>
    <row r="160" spans="1:3">
      <c r="A160">
        <v>141</v>
      </c>
      <c r="B160" s="439"/>
      <c r="C160" s="439"/>
    </row>
    <row r="161" spans="1:3">
      <c r="A161">
        <v>142</v>
      </c>
      <c r="B161" s="439"/>
      <c r="C161" s="439"/>
    </row>
    <row r="162" spans="1:3">
      <c r="A162">
        <v>143</v>
      </c>
      <c r="B162" s="439"/>
      <c r="C162" s="439"/>
    </row>
    <row r="163" spans="1:3">
      <c r="A163">
        <v>144</v>
      </c>
      <c r="B163" s="439"/>
      <c r="C163" s="439"/>
    </row>
    <row r="164" spans="1:3">
      <c r="A164">
        <v>145</v>
      </c>
      <c r="B164" s="439"/>
      <c r="C164" s="439"/>
    </row>
    <row r="165" spans="1:3">
      <c r="A165">
        <v>146</v>
      </c>
      <c r="B165" s="439"/>
      <c r="C165" s="439"/>
    </row>
    <row r="166" spans="1:3">
      <c r="A166">
        <v>147</v>
      </c>
      <c r="B166" s="439"/>
      <c r="C166" s="439"/>
    </row>
    <row r="167" spans="1:3">
      <c r="A167">
        <v>148</v>
      </c>
      <c r="B167" s="439"/>
      <c r="C167" s="439"/>
    </row>
    <row r="168" spans="1:3">
      <c r="A168">
        <v>149</v>
      </c>
      <c r="B168" s="439"/>
      <c r="C168" s="439"/>
    </row>
    <row r="169" spans="1:3">
      <c r="A169">
        <v>150</v>
      </c>
      <c r="B169" s="439"/>
      <c r="C169" s="439"/>
    </row>
    <row r="170" spans="1:3">
      <c r="A170">
        <v>151</v>
      </c>
      <c r="B170" s="439"/>
      <c r="C170" s="439"/>
    </row>
    <row r="171" spans="1:3">
      <c r="A171">
        <v>152</v>
      </c>
      <c r="B171" s="439"/>
      <c r="C171" s="439"/>
    </row>
    <row r="172" spans="1:3">
      <c r="A172">
        <v>153</v>
      </c>
      <c r="B172" s="439"/>
      <c r="C172" s="439"/>
    </row>
    <row r="173" spans="1:3">
      <c r="A173">
        <v>154</v>
      </c>
      <c r="B173" s="439"/>
      <c r="C173" s="439"/>
    </row>
    <row r="174" spans="1:3">
      <c r="A174">
        <v>155</v>
      </c>
      <c r="B174" s="439"/>
      <c r="C174" s="439"/>
    </row>
    <row r="175" spans="1:3">
      <c r="A175">
        <v>156</v>
      </c>
      <c r="B175" s="439"/>
      <c r="C175" s="439"/>
    </row>
    <row r="176" spans="1:3">
      <c r="A176">
        <v>157</v>
      </c>
      <c r="B176" s="439"/>
      <c r="C176" s="439"/>
    </row>
    <row r="177" spans="1:3">
      <c r="A177">
        <v>158</v>
      </c>
      <c r="B177" s="439"/>
      <c r="C177" s="439"/>
    </row>
    <row r="178" spans="1:3">
      <c r="A178">
        <v>159</v>
      </c>
      <c r="B178" s="439"/>
      <c r="C178" s="439"/>
    </row>
    <row r="179" spans="1:3">
      <c r="A179">
        <v>160</v>
      </c>
      <c r="B179" s="439"/>
      <c r="C179" s="439"/>
    </row>
    <row r="180" spans="1:3">
      <c r="A180">
        <v>161</v>
      </c>
      <c r="B180" s="439"/>
      <c r="C180" s="439"/>
    </row>
    <row r="181" spans="1:3">
      <c r="A181">
        <v>162</v>
      </c>
      <c r="B181" s="439"/>
      <c r="C181" s="439"/>
    </row>
    <row r="182" spans="1:3">
      <c r="A182">
        <v>163</v>
      </c>
      <c r="B182" s="439"/>
      <c r="C182" s="439"/>
    </row>
    <row r="183" spans="1:3">
      <c r="A183">
        <v>164</v>
      </c>
      <c r="B183" s="439"/>
      <c r="C183" s="439"/>
    </row>
    <row r="184" spans="1:3">
      <c r="A184">
        <v>165</v>
      </c>
      <c r="B184" s="439"/>
      <c r="C184" s="439"/>
    </row>
    <row r="185" spans="1:3">
      <c r="A185">
        <v>166</v>
      </c>
      <c r="B185" s="439"/>
      <c r="C185" s="439"/>
    </row>
    <row r="186" spans="1:3">
      <c r="A186">
        <v>167</v>
      </c>
      <c r="B186" s="439"/>
      <c r="C186" s="439"/>
    </row>
    <row r="187" spans="1:3">
      <c r="A187">
        <v>168</v>
      </c>
      <c r="B187" s="439"/>
      <c r="C187" s="439"/>
    </row>
    <row r="188" spans="1:3">
      <c r="A188">
        <v>169</v>
      </c>
      <c r="B188" s="439"/>
      <c r="C188" s="439"/>
    </row>
    <row r="189" spans="1:3">
      <c r="A189">
        <v>170</v>
      </c>
      <c r="B189" s="439"/>
      <c r="C189" s="439"/>
    </row>
    <row r="190" spans="1:3">
      <c r="A190">
        <v>171</v>
      </c>
      <c r="B190" s="439"/>
      <c r="C190" s="439"/>
    </row>
    <row r="191" spans="1:3">
      <c r="A191">
        <v>172</v>
      </c>
      <c r="B191" s="439"/>
      <c r="C191" s="439"/>
    </row>
    <row r="192" spans="1:3">
      <c r="A192">
        <v>173</v>
      </c>
      <c r="B192" s="439"/>
      <c r="C192" s="439"/>
    </row>
    <row r="193" spans="1:3">
      <c r="A193">
        <v>174</v>
      </c>
      <c r="B193" s="439"/>
      <c r="C193" s="439"/>
    </row>
    <row r="194" spans="1:3">
      <c r="A194">
        <v>175</v>
      </c>
      <c r="B194" s="439"/>
      <c r="C194" s="439"/>
    </row>
    <row r="195" spans="1:3">
      <c r="A195">
        <v>176</v>
      </c>
      <c r="B195" s="439"/>
      <c r="C195" s="439"/>
    </row>
    <row r="196" spans="1:3">
      <c r="A196">
        <v>177</v>
      </c>
      <c r="B196" s="439"/>
      <c r="C196" s="439"/>
    </row>
    <row r="197" spans="1:3">
      <c r="A197">
        <v>178</v>
      </c>
      <c r="B197" s="439"/>
      <c r="C197" s="439"/>
    </row>
    <row r="198" spans="1:3">
      <c r="A198">
        <v>179</v>
      </c>
      <c r="B198" s="439"/>
      <c r="C198" s="439"/>
    </row>
    <row r="199" spans="1:3">
      <c r="A199">
        <v>180</v>
      </c>
      <c r="B199" s="439"/>
      <c r="C199" s="439"/>
    </row>
    <row r="200" spans="1:3">
      <c r="A200">
        <v>181</v>
      </c>
      <c r="B200" s="439"/>
      <c r="C200" s="439"/>
    </row>
    <row r="201" spans="1:3">
      <c r="A201">
        <v>182</v>
      </c>
      <c r="B201" s="439"/>
      <c r="C201" s="439"/>
    </row>
    <row r="202" spans="1:3">
      <c r="A202">
        <v>183</v>
      </c>
      <c r="B202" s="439"/>
      <c r="C202" s="439"/>
    </row>
    <row r="203" spans="1:3">
      <c r="A203">
        <v>184</v>
      </c>
      <c r="B203" s="439"/>
      <c r="C203" s="439"/>
    </row>
    <row r="204" spans="1:3">
      <c r="A204">
        <v>185</v>
      </c>
      <c r="B204" s="439"/>
      <c r="C204" s="439"/>
    </row>
    <row r="205" spans="1:3">
      <c r="A205">
        <v>186</v>
      </c>
      <c r="B205" s="439"/>
      <c r="C205" s="439"/>
    </row>
    <row r="206" spans="1:3">
      <c r="A206">
        <v>187</v>
      </c>
      <c r="B206" s="439"/>
      <c r="C206" s="439"/>
    </row>
    <row r="207" spans="1:3">
      <c r="A207">
        <v>188</v>
      </c>
      <c r="B207" s="439"/>
      <c r="C207" s="439"/>
    </row>
    <row r="208" spans="1:3">
      <c r="A208">
        <v>189</v>
      </c>
      <c r="B208" s="439"/>
      <c r="C208" s="439"/>
    </row>
    <row r="209" spans="1:3">
      <c r="A209">
        <v>190</v>
      </c>
      <c r="B209" s="439"/>
      <c r="C209" s="439"/>
    </row>
    <row r="210" spans="1:3">
      <c r="A210">
        <v>191</v>
      </c>
      <c r="B210" s="439"/>
      <c r="C210" s="439"/>
    </row>
    <row r="211" spans="1:3">
      <c r="A211">
        <v>192</v>
      </c>
      <c r="B211" s="439"/>
      <c r="C211" s="439"/>
    </row>
    <row r="212" spans="1:3">
      <c r="A212">
        <v>193</v>
      </c>
      <c r="B212" s="439"/>
      <c r="C212" s="439"/>
    </row>
    <row r="213" spans="1:3">
      <c r="A213">
        <v>194</v>
      </c>
      <c r="B213" s="439"/>
      <c r="C213" s="439"/>
    </row>
    <row r="214" spans="1:3">
      <c r="A214">
        <v>195</v>
      </c>
      <c r="B214" s="439"/>
      <c r="C214" s="439"/>
    </row>
    <row r="215" spans="1:3">
      <c r="A215">
        <v>196</v>
      </c>
      <c r="B215" s="439"/>
      <c r="C215" s="439"/>
    </row>
    <row r="216" spans="1:3">
      <c r="A216">
        <v>197</v>
      </c>
      <c r="B216" s="439"/>
      <c r="C216" s="439"/>
    </row>
    <row r="217" spans="1:3">
      <c r="A217">
        <v>198</v>
      </c>
      <c r="B217" s="439"/>
      <c r="C217" s="439"/>
    </row>
    <row r="218" spans="1:3">
      <c r="A218">
        <v>199</v>
      </c>
      <c r="B218" s="439"/>
      <c r="C218" s="439"/>
    </row>
    <row r="219" spans="1:3">
      <c r="A219">
        <v>200</v>
      </c>
      <c r="B219" s="439"/>
      <c r="C219" s="439"/>
    </row>
    <row r="220" spans="1:3">
      <c r="A220">
        <v>201</v>
      </c>
      <c r="B220" s="439"/>
      <c r="C220" s="439"/>
    </row>
    <row r="221" spans="1:3">
      <c r="A221">
        <v>202</v>
      </c>
      <c r="B221" s="439"/>
      <c r="C221" s="439"/>
    </row>
    <row r="222" spans="1:3">
      <c r="A222">
        <v>203</v>
      </c>
      <c r="B222" s="439"/>
      <c r="C222" s="439"/>
    </row>
    <row r="223" spans="1:3">
      <c r="A223">
        <v>204</v>
      </c>
      <c r="B223" s="439"/>
      <c r="C223" s="439"/>
    </row>
    <row r="224" spans="1:3">
      <c r="A224">
        <v>205</v>
      </c>
      <c r="B224" s="439"/>
      <c r="C224" s="439"/>
    </row>
    <row r="225" spans="1:3">
      <c r="A225">
        <v>206</v>
      </c>
      <c r="B225" s="439"/>
      <c r="C225" s="439"/>
    </row>
    <row r="226" spans="1:3">
      <c r="A226">
        <v>207</v>
      </c>
      <c r="B226" s="439"/>
      <c r="C226" s="439"/>
    </row>
    <row r="227" spans="1:3">
      <c r="A227">
        <v>208</v>
      </c>
      <c r="B227" s="439"/>
      <c r="C227" s="439"/>
    </row>
    <row r="228" spans="1:3">
      <c r="A228">
        <v>209</v>
      </c>
      <c r="B228" s="439"/>
      <c r="C228" s="439"/>
    </row>
    <row r="229" spans="1:3">
      <c r="A229">
        <v>210</v>
      </c>
      <c r="B229" s="439"/>
      <c r="C229" s="439"/>
    </row>
    <row r="230" spans="1:3">
      <c r="A230">
        <v>211</v>
      </c>
      <c r="B230" s="439"/>
      <c r="C230" s="439"/>
    </row>
    <row r="231" spans="1:3">
      <c r="A231">
        <v>212</v>
      </c>
      <c r="B231" s="439"/>
      <c r="C231" s="439"/>
    </row>
    <row r="232" spans="1:3">
      <c r="A232">
        <v>213</v>
      </c>
      <c r="B232" s="439"/>
      <c r="C232" s="439"/>
    </row>
    <row r="233" spans="1:3">
      <c r="A233">
        <v>214</v>
      </c>
      <c r="B233" s="439"/>
      <c r="C233" s="439"/>
    </row>
    <row r="234" spans="1:3">
      <c r="A234">
        <v>215</v>
      </c>
      <c r="B234" s="439"/>
      <c r="C234" s="439"/>
    </row>
    <row r="235" spans="1:3">
      <c r="A235">
        <v>216</v>
      </c>
      <c r="B235" s="439"/>
      <c r="C235" s="439"/>
    </row>
    <row r="236" spans="1:3">
      <c r="A236">
        <v>217</v>
      </c>
      <c r="B236" s="439"/>
      <c r="C236" s="439"/>
    </row>
    <row r="237" spans="1:3">
      <c r="A237">
        <v>218</v>
      </c>
      <c r="B237" s="439"/>
      <c r="C237" s="439"/>
    </row>
    <row r="238" spans="1:3">
      <c r="A238">
        <v>219</v>
      </c>
      <c r="B238" s="439"/>
      <c r="C238" s="439"/>
    </row>
    <row r="239" spans="1:3">
      <c r="A239">
        <v>220</v>
      </c>
      <c r="B239" s="439"/>
      <c r="C239" s="439"/>
    </row>
    <row r="240" spans="1:3">
      <c r="A240">
        <v>221</v>
      </c>
      <c r="B240" s="439"/>
      <c r="C240" s="439"/>
    </row>
    <row r="241" spans="1:3">
      <c r="A241">
        <v>222</v>
      </c>
      <c r="B241" s="439"/>
      <c r="C241" s="439"/>
    </row>
    <row r="242" spans="1:3">
      <c r="A242">
        <v>223</v>
      </c>
      <c r="B242" s="439"/>
      <c r="C242" s="439"/>
    </row>
    <row r="243" spans="1:3">
      <c r="A243">
        <v>224</v>
      </c>
      <c r="B243" s="439"/>
      <c r="C243" s="439"/>
    </row>
    <row r="244" spans="1:3">
      <c r="A244">
        <v>225</v>
      </c>
      <c r="B244" s="439"/>
      <c r="C244" s="439"/>
    </row>
    <row r="245" spans="1:3">
      <c r="A245">
        <v>226</v>
      </c>
      <c r="B245" s="439"/>
      <c r="C245" s="439"/>
    </row>
    <row r="246" spans="1:3">
      <c r="A246">
        <v>227</v>
      </c>
      <c r="B246" s="439"/>
      <c r="C246" s="439"/>
    </row>
    <row r="247" spans="1:3">
      <c r="A247">
        <v>228</v>
      </c>
      <c r="B247" s="439"/>
      <c r="C247" s="439"/>
    </row>
    <row r="248" spans="1:3">
      <c r="A248">
        <v>229</v>
      </c>
      <c r="B248" s="439"/>
      <c r="C248" s="439"/>
    </row>
    <row r="249" spans="1:3">
      <c r="A249">
        <v>230</v>
      </c>
      <c r="B249" s="439"/>
      <c r="C249" s="439"/>
    </row>
    <row r="250" spans="1:3">
      <c r="A250">
        <v>231</v>
      </c>
      <c r="B250" s="439"/>
      <c r="C250" s="439"/>
    </row>
    <row r="251" spans="1:3">
      <c r="A251">
        <v>232</v>
      </c>
      <c r="B251" s="439"/>
      <c r="C251" s="439"/>
    </row>
    <row r="252" spans="1:3">
      <c r="A252">
        <v>233</v>
      </c>
      <c r="B252" s="439"/>
      <c r="C252" s="439"/>
    </row>
    <row r="253" spans="1:3">
      <c r="A253">
        <v>234</v>
      </c>
      <c r="B253" s="439"/>
      <c r="C253" s="439"/>
    </row>
    <row r="254" spans="1:3">
      <c r="A254">
        <v>235</v>
      </c>
      <c r="B254" s="439"/>
      <c r="C254" s="439"/>
    </row>
    <row r="255" spans="1:3">
      <c r="A255">
        <v>236</v>
      </c>
      <c r="B255" s="439"/>
      <c r="C255" s="439"/>
    </row>
    <row r="256" spans="1:3">
      <c r="A256">
        <v>237</v>
      </c>
      <c r="B256" s="439"/>
      <c r="C256" s="439"/>
    </row>
    <row r="257" spans="1:3">
      <c r="A257">
        <v>238</v>
      </c>
      <c r="B257" s="439"/>
      <c r="C257" s="439"/>
    </row>
    <row r="258" spans="1:3">
      <c r="A258">
        <v>239</v>
      </c>
      <c r="B258" s="439"/>
      <c r="C258" s="439"/>
    </row>
    <row r="259" spans="1:3">
      <c r="A259">
        <v>240</v>
      </c>
      <c r="B259" s="439"/>
      <c r="C259" s="439"/>
    </row>
    <row r="260" spans="1:3">
      <c r="A260">
        <v>241</v>
      </c>
      <c r="B260" s="439"/>
      <c r="C260" s="439"/>
    </row>
    <row r="261" spans="1:3">
      <c r="A261">
        <v>242</v>
      </c>
      <c r="B261" s="439"/>
      <c r="C261" s="439"/>
    </row>
    <row r="262" spans="1:3">
      <c r="A262">
        <v>243</v>
      </c>
      <c r="B262" s="439"/>
      <c r="C262" s="439"/>
    </row>
    <row r="263" spans="1:3">
      <c r="A263">
        <v>244</v>
      </c>
      <c r="B263" s="439"/>
      <c r="C263" s="439"/>
    </row>
    <row r="264" spans="1:3">
      <c r="A264">
        <v>245</v>
      </c>
      <c r="B264" s="439"/>
      <c r="C264" s="439"/>
    </row>
    <row r="265" spans="1:3">
      <c r="A265">
        <v>246</v>
      </c>
      <c r="B265" s="439"/>
      <c r="C265" s="439"/>
    </row>
    <row r="266" spans="1:3">
      <c r="A266">
        <v>247</v>
      </c>
      <c r="B266" s="439"/>
      <c r="C266" s="439"/>
    </row>
    <row r="267" spans="1:3">
      <c r="A267">
        <v>248</v>
      </c>
      <c r="B267" s="439"/>
      <c r="C267" s="439"/>
    </row>
    <row r="268" spans="1:3">
      <c r="A268">
        <v>249</v>
      </c>
      <c r="B268" s="439"/>
      <c r="C268" s="439"/>
    </row>
    <row r="269" spans="1:3">
      <c r="A269">
        <v>250</v>
      </c>
      <c r="B269" s="439"/>
      <c r="C269" s="439"/>
    </row>
    <row r="270" spans="1:3">
      <c r="A270">
        <v>251</v>
      </c>
      <c r="B270" s="439"/>
      <c r="C270" s="439"/>
    </row>
    <row r="271" spans="1:3">
      <c r="A271">
        <v>252</v>
      </c>
      <c r="B271" s="439"/>
      <c r="C271" s="439"/>
    </row>
    <row r="272" spans="1:3">
      <c r="A272">
        <v>253</v>
      </c>
      <c r="B272" s="439"/>
      <c r="C272" s="439"/>
    </row>
    <row r="273" spans="1:3">
      <c r="A273">
        <v>254</v>
      </c>
      <c r="B273" s="439"/>
      <c r="C273" s="439"/>
    </row>
    <row r="274" spans="1:3">
      <c r="A274">
        <v>255</v>
      </c>
      <c r="B274" s="439"/>
      <c r="C274" s="439"/>
    </row>
    <row r="275" spans="1:3">
      <c r="A275">
        <v>256</v>
      </c>
      <c r="B275" s="439"/>
      <c r="C275" s="439"/>
    </row>
    <row r="276" spans="1:3">
      <c r="A276">
        <v>257</v>
      </c>
      <c r="B276" s="439"/>
      <c r="C276" s="439"/>
    </row>
    <row r="277" spans="1:3">
      <c r="A277">
        <v>258</v>
      </c>
      <c r="B277" s="439"/>
      <c r="C277" s="439"/>
    </row>
    <row r="278" spans="1:3">
      <c r="A278">
        <v>259</v>
      </c>
      <c r="B278" s="439"/>
      <c r="C278" s="439"/>
    </row>
    <row r="279" spans="1:3">
      <c r="A279">
        <v>260</v>
      </c>
      <c r="B279" s="439"/>
      <c r="C279" s="439"/>
    </row>
    <row r="280" spans="1:3">
      <c r="A280">
        <v>261</v>
      </c>
      <c r="B280" s="439"/>
      <c r="C280" s="439"/>
    </row>
    <row r="281" spans="1:3">
      <c r="A281">
        <v>262</v>
      </c>
      <c r="B281" s="439"/>
      <c r="C281" s="439"/>
    </row>
    <row r="282" spans="1:3">
      <c r="A282">
        <v>263</v>
      </c>
      <c r="B282" s="439"/>
      <c r="C282" s="439"/>
    </row>
    <row r="283" spans="1:3">
      <c r="A283">
        <v>264</v>
      </c>
      <c r="B283" s="439"/>
      <c r="C283" s="439"/>
    </row>
    <row r="284" spans="1:3">
      <c r="A284">
        <v>265</v>
      </c>
      <c r="B284" s="439"/>
      <c r="C284" s="439"/>
    </row>
    <row r="285" spans="1:3">
      <c r="A285">
        <v>266</v>
      </c>
      <c r="B285" s="439"/>
      <c r="C285" s="439"/>
    </row>
    <row r="286" spans="1:3">
      <c r="A286">
        <v>267</v>
      </c>
      <c r="B286" s="439"/>
      <c r="C286" s="439"/>
    </row>
    <row r="287" spans="1:3">
      <c r="A287">
        <v>268</v>
      </c>
      <c r="B287" s="439"/>
      <c r="C287" s="439"/>
    </row>
    <row r="288" spans="1:3">
      <c r="A288">
        <v>269</v>
      </c>
      <c r="B288" s="439"/>
      <c r="C288" s="439"/>
    </row>
    <row r="289" spans="1:3">
      <c r="A289">
        <v>270</v>
      </c>
      <c r="B289" s="439"/>
      <c r="C289" s="439"/>
    </row>
    <row r="290" spans="1:3">
      <c r="A290">
        <v>271</v>
      </c>
      <c r="B290" s="439"/>
      <c r="C290" s="439"/>
    </row>
    <row r="291" spans="1:3">
      <c r="A291">
        <v>272</v>
      </c>
      <c r="B291" s="439"/>
      <c r="C291" s="439"/>
    </row>
    <row r="292" spans="1:3">
      <c r="A292">
        <v>273</v>
      </c>
      <c r="B292" s="439"/>
      <c r="C292" s="439"/>
    </row>
    <row r="293" spans="1:3">
      <c r="A293">
        <v>274</v>
      </c>
      <c r="B293" s="439"/>
      <c r="C293" s="439"/>
    </row>
    <row r="294" spans="1:3">
      <c r="A294">
        <v>275</v>
      </c>
      <c r="B294" s="439"/>
      <c r="C294" s="439"/>
    </row>
    <row r="295" spans="1:3">
      <c r="A295">
        <v>276</v>
      </c>
      <c r="B295" s="439"/>
      <c r="C295" s="439"/>
    </row>
    <row r="296" spans="1:3">
      <c r="A296">
        <v>277</v>
      </c>
      <c r="B296" s="439"/>
      <c r="C296" s="439"/>
    </row>
    <row r="297" spans="1:3">
      <c r="A297">
        <v>278</v>
      </c>
      <c r="B297" s="439"/>
      <c r="C297" s="439"/>
    </row>
    <row r="298" spans="1:3">
      <c r="A298">
        <v>279</v>
      </c>
      <c r="B298" s="439"/>
      <c r="C298" s="439"/>
    </row>
    <row r="299" spans="1:3">
      <c r="A299">
        <v>280</v>
      </c>
      <c r="B299" s="439"/>
      <c r="C299" s="439"/>
    </row>
    <row r="300" spans="1:3">
      <c r="A300">
        <v>281</v>
      </c>
      <c r="B300" s="439"/>
      <c r="C300" s="439"/>
    </row>
    <row r="301" spans="1:3">
      <c r="A301">
        <v>282</v>
      </c>
      <c r="B301" s="439"/>
      <c r="C301" s="439"/>
    </row>
    <row r="302" spans="1:3">
      <c r="A302">
        <v>283</v>
      </c>
      <c r="B302" s="439"/>
      <c r="C302" s="439"/>
    </row>
    <row r="303" spans="1:3">
      <c r="A303">
        <v>284</v>
      </c>
      <c r="B303" s="439"/>
      <c r="C303" s="439"/>
    </row>
    <row r="304" spans="1:3">
      <c r="A304">
        <v>285</v>
      </c>
      <c r="B304" s="439"/>
      <c r="C304" s="439"/>
    </row>
    <row r="305" spans="1:3">
      <c r="A305">
        <v>286</v>
      </c>
      <c r="B305" s="439"/>
      <c r="C305" s="439"/>
    </row>
    <row r="306" spans="1:3">
      <c r="A306">
        <v>287</v>
      </c>
      <c r="B306" s="439"/>
      <c r="C306" s="439"/>
    </row>
    <row r="307" spans="1:3">
      <c r="A307">
        <v>288</v>
      </c>
      <c r="B307" s="439"/>
      <c r="C307" s="439"/>
    </row>
    <row r="308" spans="1:3">
      <c r="A308">
        <v>289</v>
      </c>
      <c r="B308" s="439"/>
      <c r="C308" s="439"/>
    </row>
    <row r="309" spans="1:3">
      <c r="A309">
        <v>290</v>
      </c>
      <c r="B309" s="439"/>
      <c r="C309" s="439"/>
    </row>
    <row r="310" spans="1:3">
      <c r="A310">
        <v>291</v>
      </c>
      <c r="B310" s="439"/>
      <c r="C310" s="439"/>
    </row>
    <row r="311" spans="1:3">
      <c r="A311">
        <v>292</v>
      </c>
      <c r="B311" s="439"/>
      <c r="C311" s="439"/>
    </row>
    <row r="312" spans="1:3">
      <c r="A312">
        <v>293</v>
      </c>
      <c r="B312" s="439"/>
      <c r="C312" s="439"/>
    </row>
    <row r="313" spans="1:3">
      <c r="A313">
        <v>294</v>
      </c>
      <c r="B313" s="439"/>
      <c r="C313" s="439"/>
    </row>
    <row r="314" spans="1:3">
      <c r="A314">
        <v>295</v>
      </c>
      <c r="B314" s="439"/>
      <c r="C314" s="439"/>
    </row>
    <row r="315" spans="1:3">
      <c r="A315">
        <v>296</v>
      </c>
      <c r="B315" s="439"/>
      <c r="C315" s="439"/>
    </row>
    <row r="316" spans="1:3">
      <c r="A316">
        <v>297</v>
      </c>
      <c r="B316" s="439"/>
      <c r="C316" s="439"/>
    </row>
    <row r="317" spans="1:3">
      <c r="A317">
        <v>298</v>
      </c>
      <c r="B317" s="439"/>
      <c r="C317" s="439"/>
    </row>
    <row r="318" spans="1:3">
      <c r="A318">
        <v>299</v>
      </c>
      <c r="B318" s="439"/>
      <c r="C318" s="439"/>
    </row>
    <row r="319" spans="1:3">
      <c r="A319">
        <v>300</v>
      </c>
      <c r="B319" s="439"/>
      <c r="C319" s="439"/>
    </row>
    <row r="320" spans="1:3">
      <c r="A320">
        <v>301</v>
      </c>
      <c r="B320" s="439"/>
      <c r="C320" s="439"/>
    </row>
    <row r="321" spans="1:3">
      <c r="A321">
        <v>302</v>
      </c>
      <c r="B321" s="439"/>
      <c r="C321" s="439"/>
    </row>
    <row r="322" spans="1:3">
      <c r="A322">
        <v>303</v>
      </c>
      <c r="B322" s="439"/>
      <c r="C322" s="439"/>
    </row>
    <row r="323" spans="1:3">
      <c r="A323">
        <v>304</v>
      </c>
      <c r="B323" s="439"/>
      <c r="C323" s="439"/>
    </row>
    <row r="324" spans="1:3">
      <c r="A324">
        <v>305</v>
      </c>
      <c r="B324" s="439"/>
      <c r="C324" s="439"/>
    </row>
    <row r="325" spans="1:3">
      <c r="A325">
        <v>306</v>
      </c>
      <c r="B325" s="439"/>
      <c r="C325" s="439"/>
    </row>
    <row r="326" spans="1:3">
      <c r="A326">
        <v>307</v>
      </c>
      <c r="B326" s="439"/>
      <c r="C326" s="439"/>
    </row>
    <row r="327" spans="1:3">
      <c r="A327">
        <v>308</v>
      </c>
      <c r="B327" s="439"/>
      <c r="C327" s="439"/>
    </row>
    <row r="328" spans="1:3">
      <c r="A328">
        <v>309</v>
      </c>
      <c r="B328" s="439"/>
      <c r="C328" s="439"/>
    </row>
    <row r="329" spans="1:3">
      <c r="A329">
        <v>310</v>
      </c>
      <c r="B329" s="439"/>
      <c r="C329" s="439"/>
    </row>
    <row r="330" spans="1:3">
      <c r="A330">
        <v>311</v>
      </c>
      <c r="B330" s="439"/>
      <c r="C330" s="439"/>
    </row>
    <row r="331" spans="1:3">
      <c r="A331">
        <v>312</v>
      </c>
      <c r="B331" s="439"/>
      <c r="C331" s="439"/>
    </row>
    <row r="332" spans="1:3">
      <c r="A332">
        <v>313</v>
      </c>
      <c r="B332" s="439"/>
      <c r="C332" s="439"/>
    </row>
    <row r="333" spans="1:3">
      <c r="A333">
        <v>314</v>
      </c>
      <c r="B333" s="439"/>
      <c r="C333" s="439"/>
    </row>
    <row r="334" spans="1:3">
      <c r="A334">
        <v>315</v>
      </c>
      <c r="B334" s="439"/>
      <c r="C334" s="439"/>
    </row>
    <row r="335" spans="1:3">
      <c r="A335">
        <v>316</v>
      </c>
      <c r="B335" s="439"/>
      <c r="C335" s="439"/>
    </row>
    <row r="336" spans="1:3">
      <c r="A336">
        <v>317</v>
      </c>
      <c r="B336" s="439"/>
      <c r="C336" s="439"/>
    </row>
    <row r="337" spans="1:3">
      <c r="A337">
        <v>318</v>
      </c>
      <c r="B337" s="439"/>
      <c r="C337" s="439"/>
    </row>
    <row r="338" spans="1:3">
      <c r="A338">
        <v>319</v>
      </c>
      <c r="B338" s="439"/>
      <c r="C338" s="439"/>
    </row>
    <row r="339" spans="1:3">
      <c r="A339">
        <v>320</v>
      </c>
      <c r="B339" s="439"/>
      <c r="C339" s="439"/>
    </row>
    <row r="340" spans="1:3">
      <c r="A340">
        <v>321</v>
      </c>
      <c r="B340" s="439"/>
      <c r="C340" s="439"/>
    </row>
    <row r="341" spans="1:3">
      <c r="A341">
        <v>322</v>
      </c>
      <c r="B341" s="439"/>
      <c r="C341" s="439"/>
    </row>
    <row r="342" spans="1:3">
      <c r="A342">
        <v>323</v>
      </c>
      <c r="B342" s="439"/>
      <c r="C342" s="439"/>
    </row>
    <row r="343" spans="1:3">
      <c r="A343">
        <v>324</v>
      </c>
      <c r="B343" s="439"/>
      <c r="C343" s="439"/>
    </row>
    <row r="344" spans="1:3">
      <c r="A344">
        <v>325</v>
      </c>
      <c r="B344" s="439"/>
      <c r="C344" s="439"/>
    </row>
    <row r="345" spans="1:3">
      <c r="A345">
        <v>326</v>
      </c>
      <c r="B345" s="439"/>
      <c r="C345" s="439"/>
    </row>
    <row r="346" spans="1:3">
      <c r="A346">
        <v>327</v>
      </c>
      <c r="B346" s="439"/>
      <c r="C346" s="439"/>
    </row>
    <row r="347" spans="1:3">
      <c r="A347">
        <v>328</v>
      </c>
      <c r="B347" s="439"/>
      <c r="C347" s="439"/>
    </row>
    <row r="348" spans="1:3">
      <c r="A348">
        <v>329</v>
      </c>
      <c r="B348" s="439"/>
      <c r="C348" s="439"/>
    </row>
    <row r="349" spans="1:3">
      <c r="A349">
        <v>330</v>
      </c>
      <c r="B349" s="439"/>
      <c r="C349" s="439"/>
    </row>
    <row r="350" spans="1:3">
      <c r="A350">
        <v>331</v>
      </c>
      <c r="B350" s="439"/>
      <c r="C350" s="439"/>
    </row>
    <row r="351" spans="1:3">
      <c r="A351">
        <v>332</v>
      </c>
      <c r="B351" s="439"/>
      <c r="C351" s="439"/>
    </row>
    <row r="352" spans="1:3">
      <c r="A352">
        <v>333</v>
      </c>
      <c r="B352" s="439"/>
      <c r="C352" s="439"/>
    </row>
    <row r="353" spans="1:3">
      <c r="A353">
        <v>334</v>
      </c>
      <c r="B353" s="439"/>
      <c r="C353" s="439"/>
    </row>
    <row r="354" spans="1:3">
      <c r="A354">
        <v>335</v>
      </c>
      <c r="B354" s="439"/>
      <c r="C354" s="439"/>
    </row>
    <row r="355" spans="1:3">
      <c r="A355">
        <v>336</v>
      </c>
      <c r="B355" s="439"/>
      <c r="C355" s="439"/>
    </row>
    <row r="356" spans="1:3">
      <c r="A356">
        <v>337</v>
      </c>
      <c r="B356" s="439"/>
      <c r="C356" s="439"/>
    </row>
    <row r="357" spans="1:3">
      <c r="A357">
        <v>338</v>
      </c>
      <c r="B357" s="439"/>
      <c r="C357" s="439"/>
    </row>
    <row r="358" spans="1:3">
      <c r="A358">
        <v>339</v>
      </c>
      <c r="B358" s="439"/>
      <c r="C358" s="439"/>
    </row>
    <row r="359" spans="1:3">
      <c r="A359">
        <v>340</v>
      </c>
      <c r="B359" s="439"/>
      <c r="C359" s="439"/>
    </row>
    <row r="360" spans="1:3">
      <c r="A360">
        <v>341</v>
      </c>
      <c r="B360" s="439"/>
      <c r="C360" s="439"/>
    </row>
    <row r="361" spans="1:3">
      <c r="A361">
        <v>342</v>
      </c>
      <c r="B361" s="439"/>
      <c r="C361" s="439"/>
    </row>
    <row r="362" spans="1:3">
      <c r="A362">
        <v>343</v>
      </c>
      <c r="B362" s="439"/>
      <c r="C362" s="439"/>
    </row>
    <row r="363" spans="1:3">
      <c r="A363">
        <v>344</v>
      </c>
      <c r="B363" s="439"/>
      <c r="C363" s="439"/>
    </row>
    <row r="364" spans="1:3">
      <c r="A364">
        <v>345</v>
      </c>
      <c r="B364" s="439"/>
      <c r="C364" s="439"/>
    </row>
    <row r="365" spans="1:3">
      <c r="A365">
        <v>346</v>
      </c>
      <c r="B365" s="439"/>
      <c r="C365" s="439"/>
    </row>
    <row r="366" spans="1:3">
      <c r="A366">
        <v>347</v>
      </c>
      <c r="B366" s="439"/>
      <c r="C366" s="439"/>
    </row>
    <row r="367" spans="1:3">
      <c r="A367">
        <v>348</v>
      </c>
      <c r="B367" s="439"/>
      <c r="C367" s="439"/>
    </row>
    <row r="368" spans="1:3">
      <c r="A368">
        <v>349</v>
      </c>
      <c r="B368" s="439"/>
      <c r="C368" s="439"/>
    </row>
    <row r="369" spans="1:3">
      <c r="A369">
        <v>350</v>
      </c>
      <c r="B369" s="439"/>
      <c r="C369" s="439"/>
    </row>
    <row r="370" spans="1:3">
      <c r="A370">
        <v>351</v>
      </c>
      <c r="B370" s="439"/>
      <c r="C370" s="439"/>
    </row>
    <row r="371" spans="1:3">
      <c r="A371">
        <v>352</v>
      </c>
      <c r="B371" s="439"/>
      <c r="C371" s="439"/>
    </row>
    <row r="372" spans="1:3">
      <c r="A372">
        <v>353</v>
      </c>
      <c r="B372" s="439"/>
      <c r="C372" s="439"/>
    </row>
    <row r="373" spans="1:3">
      <c r="A373">
        <v>354</v>
      </c>
      <c r="B373" s="439"/>
      <c r="C373" s="439"/>
    </row>
    <row r="374" spans="1:3">
      <c r="A374">
        <v>355</v>
      </c>
      <c r="B374" s="439"/>
      <c r="C374" s="439"/>
    </row>
    <row r="375" spans="1:3">
      <c r="A375">
        <v>356</v>
      </c>
      <c r="B375" s="439"/>
      <c r="C375" s="439"/>
    </row>
    <row r="376" spans="1:3">
      <c r="A376">
        <v>357</v>
      </c>
      <c r="B376" s="439"/>
      <c r="C376" s="439"/>
    </row>
    <row r="377" spans="1:3">
      <c r="A377">
        <v>358</v>
      </c>
      <c r="B377" s="439"/>
      <c r="C377" s="439"/>
    </row>
    <row r="378" spans="1:3">
      <c r="A378">
        <v>359</v>
      </c>
      <c r="B378" s="439"/>
      <c r="C378" s="439"/>
    </row>
    <row r="379" spans="1:3">
      <c r="A379">
        <v>360</v>
      </c>
      <c r="B379" s="439"/>
      <c r="C379" s="439"/>
    </row>
    <row r="380" spans="1:3">
      <c r="A380">
        <v>361</v>
      </c>
      <c r="B380" s="439"/>
      <c r="C380" s="439"/>
    </row>
    <row r="381" spans="1:3">
      <c r="A381">
        <v>362</v>
      </c>
      <c r="B381" s="439"/>
      <c r="C381" s="439"/>
    </row>
    <row r="382" spans="1:3">
      <c r="A382">
        <v>363</v>
      </c>
      <c r="B382" s="439"/>
      <c r="C382" s="439"/>
    </row>
    <row r="383" spans="1:3">
      <c r="A383">
        <v>364</v>
      </c>
      <c r="B383" s="439"/>
      <c r="C383" s="439"/>
    </row>
    <row r="384" spans="1:3">
      <c r="A384">
        <v>365</v>
      </c>
      <c r="B384" s="439"/>
      <c r="C384" s="439"/>
    </row>
    <row r="385" spans="1:3">
      <c r="A385">
        <v>366</v>
      </c>
      <c r="B385" s="439"/>
      <c r="C385" s="439"/>
    </row>
    <row r="386" spans="1:3">
      <c r="A386">
        <v>367</v>
      </c>
      <c r="B386" s="439"/>
      <c r="C386" s="439"/>
    </row>
    <row r="387" spans="1:3">
      <c r="A387">
        <v>368</v>
      </c>
      <c r="B387" s="439"/>
      <c r="C387" s="439"/>
    </row>
    <row r="388" spans="1:3">
      <c r="A388">
        <v>369</v>
      </c>
      <c r="B388" s="439"/>
      <c r="C388" s="439"/>
    </row>
    <row r="389" spans="1:3">
      <c r="A389">
        <v>370</v>
      </c>
      <c r="B389" s="439"/>
      <c r="C389" s="439"/>
    </row>
    <row r="390" spans="1:3">
      <c r="A390">
        <v>371</v>
      </c>
      <c r="B390" s="439"/>
      <c r="C390" s="439"/>
    </row>
    <row r="391" spans="1:3">
      <c r="A391">
        <v>372</v>
      </c>
      <c r="B391" s="439"/>
      <c r="C391" s="439"/>
    </row>
    <row r="392" spans="1:3">
      <c r="A392">
        <v>373</v>
      </c>
      <c r="B392" s="439"/>
      <c r="C392" s="439"/>
    </row>
    <row r="393" spans="1:3">
      <c r="A393">
        <v>374</v>
      </c>
      <c r="B393" s="439"/>
      <c r="C393" s="439"/>
    </row>
    <row r="394" spans="1:3">
      <c r="A394">
        <v>375</v>
      </c>
      <c r="B394" s="439"/>
      <c r="C394" s="439"/>
    </row>
    <row r="395" spans="1:3">
      <c r="A395">
        <v>376</v>
      </c>
      <c r="B395" s="439"/>
      <c r="C395" s="439"/>
    </row>
    <row r="396" spans="1:3">
      <c r="A396">
        <v>377</v>
      </c>
      <c r="B396" s="439"/>
      <c r="C396" s="439"/>
    </row>
    <row r="397" spans="1:3">
      <c r="A397">
        <v>378</v>
      </c>
      <c r="B397" s="439"/>
      <c r="C397" s="439"/>
    </row>
    <row r="398" spans="1:3">
      <c r="A398">
        <v>379</v>
      </c>
      <c r="B398" s="439"/>
      <c r="C398" s="439"/>
    </row>
    <row r="399" spans="1:3">
      <c r="A399">
        <v>380</v>
      </c>
      <c r="B399" s="439"/>
      <c r="C399" s="439"/>
    </row>
    <row r="400" spans="1:3">
      <c r="A400">
        <v>381</v>
      </c>
      <c r="B400" s="439"/>
      <c r="C400" s="439"/>
    </row>
    <row r="401" spans="1:3">
      <c r="A401">
        <v>382</v>
      </c>
      <c r="B401" s="439"/>
      <c r="C401" s="439"/>
    </row>
    <row r="402" spans="1:3">
      <c r="A402">
        <v>383</v>
      </c>
      <c r="B402" s="439"/>
      <c r="C402" s="439"/>
    </row>
    <row r="403" spans="1:3">
      <c r="A403">
        <v>384</v>
      </c>
      <c r="B403" s="439"/>
      <c r="C403" s="439"/>
    </row>
    <row r="404" spans="1:3">
      <c r="A404">
        <v>385</v>
      </c>
      <c r="B404" s="439"/>
      <c r="C404" s="439"/>
    </row>
    <row r="405" spans="1:3">
      <c r="A405">
        <v>386</v>
      </c>
      <c r="B405" s="439"/>
      <c r="C405" s="439"/>
    </row>
    <row r="406" spans="1:3">
      <c r="A406">
        <v>387</v>
      </c>
      <c r="B406" s="439"/>
      <c r="C406" s="439"/>
    </row>
    <row r="407" spans="1:3">
      <c r="A407">
        <v>388</v>
      </c>
      <c r="B407" s="439"/>
      <c r="C407" s="439"/>
    </row>
    <row r="408" spans="1:3">
      <c r="A408">
        <v>389</v>
      </c>
      <c r="B408" s="439"/>
      <c r="C408" s="439"/>
    </row>
    <row r="409" spans="1:3">
      <c r="A409">
        <v>390</v>
      </c>
      <c r="B409" s="439"/>
      <c r="C409" s="439"/>
    </row>
    <row r="410" spans="1:3">
      <c r="A410">
        <v>391</v>
      </c>
      <c r="B410" s="439"/>
      <c r="C410" s="439"/>
    </row>
    <row r="411" spans="1:3">
      <c r="A411">
        <v>392</v>
      </c>
      <c r="B411" s="439"/>
      <c r="C411" s="439"/>
    </row>
    <row r="412" spans="1:3">
      <c r="A412">
        <v>393</v>
      </c>
      <c r="B412" s="439"/>
      <c r="C412" s="439"/>
    </row>
    <row r="413" spans="1:3">
      <c r="A413">
        <v>394</v>
      </c>
      <c r="B413" s="439"/>
      <c r="C413" s="439"/>
    </row>
    <row r="414" spans="1:3">
      <c r="A414">
        <v>395</v>
      </c>
      <c r="B414" s="439"/>
      <c r="C414" s="439"/>
    </row>
    <row r="415" spans="1:3">
      <c r="A415">
        <v>396</v>
      </c>
      <c r="B415" s="439"/>
      <c r="C415" s="439"/>
    </row>
    <row r="416" spans="1:3">
      <c r="A416">
        <v>397</v>
      </c>
      <c r="B416" s="439"/>
      <c r="C416" s="439"/>
    </row>
    <row r="417" spans="1:3">
      <c r="A417">
        <v>398</v>
      </c>
      <c r="B417" s="439"/>
      <c r="C417" s="439"/>
    </row>
    <row r="418" spans="1:3">
      <c r="A418">
        <v>399</v>
      </c>
      <c r="B418" s="439"/>
      <c r="C418" s="439"/>
    </row>
    <row r="419" spans="1:3">
      <c r="A419">
        <v>400</v>
      </c>
      <c r="B419" s="439"/>
      <c r="C419" s="439"/>
    </row>
    <row r="420" spans="1:3">
      <c r="A420">
        <v>401</v>
      </c>
      <c r="B420" s="439"/>
      <c r="C420" s="439"/>
    </row>
    <row r="421" spans="1:3">
      <c r="A421">
        <v>402</v>
      </c>
      <c r="B421" s="439"/>
      <c r="C421" s="439"/>
    </row>
    <row r="422" spans="1:3">
      <c r="A422">
        <v>403</v>
      </c>
      <c r="B422" s="439"/>
      <c r="C422" s="439"/>
    </row>
    <row r="423" spans="1:3">
      <c r="A423">
        <v>404</v>
      </c>
      <c r="B423" s="439"/>
      <c r="C423" s="439"/>
    </row>
    <row r="424" spans="1:3">
      <c r="A424">
        <v>405</v>
      </c>
      <c r="B424" s="439"/>
      <c r="C424" s="439"/>
    </row>
    <row r="425" spans="1:3">
      <c r="A425">
        <v>406</v>
      </c>
      <c r="B425" s="439"/>
      <c r="C425" s="439"/>
    </row>
    <row r="426" spans="1:3">
      <c r="A426">
        <v>407</v>
      </c>
      <c r="B426" s="439"/>
      <c r="C426" s="439"/>
    </row>
    <row r="427" spans="1:3">
      <c r="A427">
        <v>408</v>
      </c>
      <c r="B427" s="439"/>
      <c r="C427" s="439"/>
    </row>
    <row r="428" spans="1:3">
      <c r="A428">
        <v>409</v>
      </c>
      <c r="B428" s="439"/>
      <c r="C428" s="439"/>
    </row>
    <row r="429" spans="1:3">
      <c r="A429">
        <v>410</v>
      </c>
      <c r="B429" s="439"/>
      <c r="C429" s="439"/>
    </row>
    <row r="430" spans="1:3">
      <c r="A430">
        <v>411</v>
      </c>
      <c r="B430" s="439"/>
      <c r="C430" s="439"/>
    </row>
    <row r="431" spans="1:3">
      <c r="A431">
        <v>412</v>
      </c>
      <c r="B431" s="439"/>
      <c r="C431" s="439"/>
    </row>
    <row r="432" spans="1:3">
      <c r="A432">
        <v>413</v>
      </c>
      <c r="B432" s="439"/>
      <c r="C432" s="439"/>
    </row>
    <row r="433" spans="1:3">
      <c r="A433">
        <v>414</v>
      </c>
      <c r="B433" s="439"/>
      <c r="C433" s="439"/>
    </row>
    <row r="434" spans="1:3">
      <c r="A434">
        <v>415</v>
      </c>
      <c r="B434" s="439"/>
      <c r="C434" s="439"/>
    </row>
    <row r="435" spans="1:3">
      <c r="A435">
        <v>416</v>
      </c>
      <c r="B435" s="439"/>
      <c r="C435" s="439"/>
    </row>
    <row r="436" spans="1:3">
      <c r="A436">
        <v>417</v>
      </c>
      <c r="B436" s="439"/>
      <c r="C436" s="439"/>
    </row>
    <row r="437" spans="1:3">
      <c r="A437">
        <v>418</v>
      </c>
      <c r="B437" s="439"/>
      <c r="C437" s="439"/>
    </row>
    <row r="438" spans="1:3">
      <c r="A438">
        <v>419</v>
      </c>
      <c r="B438" s="439"/>
      <c r="C438" s="439"/>
    </row>
    <row r="439" spans="1:3">
      <c r="A439">
        <v>420</v>
      </c>
      <c r="B439" s="439"/>
      <c r="C439" s="439"/>
    </row>
    <row r="440" spans="1:3">
      <c r="A440">
        <v>421</v>
      </c>
      <c r="B440" s="439"/>
      <c r="C440" s="439"/>
    </row>
    <row r="441" spans="1:3">
      <c r="A441">
        <v>422</v>
      </c>
      <c r="B441" s="439"/>
      <c r="C441" s="439"/>
    </row>
    <row r="442" spans="1:3">
      <c r="A442">
        <v>423</v>
      </c>
      <c r="B442" s="439"/>
      <c r="C442" s="439"/>
    </row>
    <row r="443" spans="1:3">
      <c r="A443">
        <v>424</v>
      </c>
      <c r="B443" s="439"/>
      <c r="C443" s="439"/>
    </row>
    <row r="444" spans="1:3">
      <c r="A444">
        <v>425</v>
      </c>
      <c r="B444" s="439"/>
      <c r="C444" s="439"/>
    </row>
    <row r="445" spans="1:3">
      <c r="A445">
        <v>426</v>
      </c>
      <c r="B445" s="439"/>
      <c r="C445" s="439"/>
    </row>
    <row r="446" spans="1:3">
      <c r="A446">
        <v>427</v>
      </c>
      <c r="B446" s="439"/>
      <c r="C446" s="439"/>
    </row>
    <row r="447" spans="1:3">
      <c r="A447">
        <v>428</v>
      </c>
      <c r="B447" s="439"/>
      <c r="C447" s="439"/>
    </row>
    <row r="448" spans="1:3">
      <c r="A448">
        <v>429</v>
      </c>
      <c r="B448" s="439"/>
      <c r="C448" s="439"/>
    </row>
    <row r="449" spans="1:3">
      <c r="A449">
        <v>430</v>
      </c>
      <c r="B449" s="439"/>
      <c r="C449" s="439"/>
    </row>
    <row r="450" spans="1:3">
      <c r="A450">
        <v>431</v>
      </c>
      <c r="B450" s="439"/>
      <c r="C450" s="439"/>
    </row>
    <row r="451" spans="1:3">
      <c r="A451">
        <v>432</v>
      </c>
      <c r="B451" s="439"/>
      <c r="C451" s="439"/>
    </row>
    <row r="452" spans="1:3">
      <c r="A452">
        <v>433</v>
      </c>
      <c r="B452" s="439"/>
      <c r="C452" s="439"/>
    </row>
    <row r="453" spans="1:3">
      <c r="A453">
        <v>434</v>
      </c>
      <c r="B453" s="439"/>
      <c r="C453" s="439"/>
    </row>
    <row r="454" spans="1:3">
      <c r="A454">
        <v>435</v>
      </c>
      <c r="B454" s="439"/>
      <c r="C454" s="439"/>
    </row>
    <row r="455" spans="1:3">
      <c r="A455">
        <v>436</v>
      </c>
      <c r="B455" s="439"/>
      <c r="C455" s="439"/>
    </row>
    <row r="456" spans="1:3">
      <c r="A456">
        <v>437</v>
      </c>
      <c r="B456" s="439"/>
      <c r="C456" s="439"/>
    </row>
    <row r="457" spans="1:3">
      <c r="A457">
        <v>438</v>
      </c>
      <c r="B457" s="439"/>
      <c r="C457" s="439"/>
    </row>
    <row r="458" spans="1:3">
      <c r="A458">
        <v>439</v>
      </c>
      <c r="B458" s="439"/>
      <c r="C458" s="439"/>
    </row>
    <row r="459" spans="1:3">
      <c r="A459">
        <v>440</v>
      </c>
      <c r="B459" s="439"/>
      <c r="C459" s="439"/>
    </row>
    <row r="460" spans="1:3">
      <c r="A460">
        <v>441</v>
      </c>
      <c r="B460" s="439"/>
      <c r="C460" s="439"/>
    </row>
    <row r="461" spans="1:3">
      <c r="A461">
        <v>442</v>
      </c>
      <c r="B461" s="439"/>
      <c r="C461" s="439"/>
    </row>
    <row r="462" spans="1:3">
      <c r="A462">
        <v>443</v>
      </c>
      <c r="B462" s="439"/>
      <c r="C462" s="439"/>
    </row>
    <row r="463" spans="1:3">
      <c r="A463">
        <v>444</v>
      </c>
      <c r="B463" s="439"/>
      <c r="C463" s="439"/>
    </row>
    <row r="464" spans="1:3">
      <c r="A464">
        <v>445</v>
      </c>
      <c r="B464" s="439"/>
      <c r="C464" s="439"/>
    </row>
    <row r="465" spans="1:3">
      <c r="A465">
        <v>446</v>
      </c>
      <c r="B465" s="439"/>
      <c r="C465" s="439"/>
    </row>
    <row r="466" spans="1:3">
      <c r="A466">
        <v>447</v>
      </c>
      <c r="B466" s="439"/>
      <c r="C466" s="439"/>
    </row>
    <row r="467" spans="1:3">
      <c r="A467">
        <v>448</v>
      </c>
      <c r="B467" s="439"/>
      <c r="C467" s="439"/>
    </row>
    <row r="468" spans="1:3">
      <c r="A468">
        <v>449</v>
      </c>
      <c r="B468" s="439"/>
      <c r="C468" s="439"/>
    </row>
    <row r="469" spans="1:3">
      <c r="A469">
        <v>450</v>
      </c>
      <c r="B469" s="439"/>
      <c r="C469" s="439"/>
    </row>
    <row r="470" spans="1:3">
      <c r="A470">
        <v>451</v>
      </c>
      <c r="B470" s="439"/>
      <c r="C470" s="439"/>
    </row>
    <row r="471" spans="1:3">
      <c r="A471">
        <v>452</v>
      </c>
      <c r="B471" s="439"/>
      <c r="C471" s="439"/>
    </row>
    <row r="472" spans="1:3">
      <c r="A472">
        <v>453</v>
      </c>
      <c r="B472" s="439"/>
      <c r="C472" s="439"/>
    </row>
    <row r="473" spans="1:3">
      <c r="A473">
        <v>454</v>
      </c>
      <c r="B473" s="439"/>
      <c r="C473" s="439"/>
    </row>
    <row r="474" spans="1:3">
      <c r="A474">
        <v>455</v>
      </c>
      <c r="B474" s="439"/>
      <c r="C474" s="439"/>
    </row>
    <row r="475" spans="1:3">
      <c r="A475">
        <v>456</v>
      </c>
      <c r="B475" s="439"/>
      <c r="C475" s="439"/>
    </row>
    <row r="476" spans="1:3">
      <c r="A476">
        <v>457</v>
      </c>
      <c r="B476" s="439"/>
      <c r="C476" s="439"/>
    </row>
    <row r="477" spans="1:3">
      <c r="A477">
        <v>458</v>
      </c>
      <c r="B477" s="439"/>
      <c r="C477" s="439"/>
    </row>
    <row r="478" spans="1:3">
      <c r="A478">
        <v>459</v>
      </c>
      <c r="B478" s="439"/>
      <c r="C478" s="439"/>
    </row>
    <row r="479" spans="1:3">
      <c r="A479">
        <v>460</v>
      </c>
      <c r="B479" s="439"/>
      <c r="C479" s="439"/>
    </row>
    <row r="480" spans="1:3">
      <c r="A480">
        <v>461</v>
      </c>
      <c r="B480" s="439"/>
      <c r="C480" s="439"/>
    </row>
    <row r="481" spans="1:3">
      <c r="A481">
        <v>462</v>
      </c>
      <c r="B481" s="439"/>
      <c r="C481" s="439"/>
    </row>
    <row r="482" spans="1:3">
      <c r="A482">
        <v>463</v>
      </c>
      <c r="B482" s="439"/>
      <c r="C482" s="439"/>
    </row>
    <row r="483" spans="1:3">
      <c r="A483">
        <v>464</v>
      </c>
      <c r="B483" s="439"/>
      <c r="C483" s="439"/>
    </row>
    <row r="484" spans="1:3">
      <c r="A484">
        <v>465</v>
      </c>
      <c r="B484" s="439"/>
      <c r="C484" s="439"/>
    </row>
    <row r="485" spans="1:3">
      <c r="A485">
        <v>466</v>
      </c>
      <c r="B485" s="439"/>
      <c r="C485" s="439"/>
    </row>
    <row r="486" spans="1:3">
      <c r="A486">
        <v>467</v>
      </c>
      <c r="B486" s="439"/>
      <c r="C486" s="439"/>
    </row>
    <row r="487" spans="1:3">
      <c r="A487">
        <v>468</v>
      </c>
      <c r="B487" s="439"/>
      <c r="C487" s="439"/>
    </row>
    <row r="488" spans="1:3">
      <c r="A488">
        <v>469</v>
      </c>
      <c r="B488" s="439"/>
      <c r="C488" s="439"/>
    </row>
    <row r="489" spans="1:3">
      <c r="A489">
        <v>470</v>
      </c>
      <c r="B489" s="439"/>
      <c r="C489" s="439"/>
    </row>
    <row r="490" spans="1:3">
      <c r="A490">
        <v>471</v>
      </c>
      <c r="B490" s="439"/>
      <c r="C490" s="439"/>
    </row>
    <row r="491" spans="1:3">
      <c r="A491">
        <v>472</v>
      </c>
      <c r="B491" s="439"/>
      <c r="C491" s="439"/>
    </row>
    <row r="492" spans="1:3">
      <c r="A492">
        <v>473</v>
      </c>
      <c r="B492" s="439"/>
      <c r="C492" s="439"/>
    </row>
    <row r="493" spans="1:3">
      <c r="A493">
        <v>474</v>
      </c>
      <c r="B493" s="439"/>
      <c r="C493" s="439"/>
    </row>
    <row r="494" spans="1:3">
      <c r="A494">
        <v>475</v>
      </c>
      <c r="B494" s="439"/>
      <c r="C494" s="439"/>
    </row>
    <row r="495" spans="1:3">
      <c r="A495">
        <v>476</v>
      </c>
      <c r="B495" s="439"/>
      <c r="C495" s="439"/>
    </row>
    <row r="496" spans="1:3">
      <c r="A496">
        <v>477</v>
      </c>
      <c r="B496" s="439"/>
      <c r="C496" s="439"/>
    </row>
    <row r="497" spans="1:3">
      <c r="A497">
        <v>478</v>
      </c>
      <c r="B497" s="439"/>
      <c r="C497" s="439"/>
    </row>
    <row r="498" spans="1:3">
      <c r="A498">
        <v>479</v>
      </c>
      <c r="B498" s="439"/>
      <c r="C498" s="439"/>
    </row>
    <row r="499" spans="1:3">
      <c r="A499">
        <v>480</v>
      </c>
      <c r="B499" s="439"/>
      <c r="C499" s="439"/>
    </row>
    <row r="500" spans="1:3">
      <c r="A500">
        <v>481</v>
      </c>
      <c r="B500" s="439"/>
      <c r="C500" s="439"/>
    </row>
    <row r="501" spans="1:3">
      <c r="A501">
        <v>482</v>
      </c>
      <c r="B501" s="439"/>
      <c r="C501" s="439"/>
    </row>
    <row r="502" spans="1:3">
      <c r="A502">
        <v>483</v>
      </c>
      <c r="B502" s="439"/>
      <c r="C502" s="439"/>
    </row>
    <row r="503" spans="1:3">
      <c r="A503">
        <v>484</v>
      </c>
      <c r="B503" s="439"/>
      <c r="C503" s="439"/>
    </row>
    <row r="504" spans="1:3">
      <c r="A504">
        <v>485</v>
      </c>
      <c r="B504" s="439"/>
      <c r="C504" s="439"/>
    </row>
    <row r="505" spans="1:3">
      <c r="A505">
        <v>486</v>
      </c>
      <c r="B505" s="439"/>
      <c r="C505" s="439"/>
    </row>
    <row r="506" spans="1:3">
      <c r="A506">
        <v>487</v>
      </c>
      <c r="B506" s="439"/>
      <c r="C506" s="439"/>
    </row>
    <row r="507" spans="1:3">
      <c r="A507">
        <v>488</v>
      </c>
      <c r="B507" s="439"/>
      <c r="C507" s="439"/>
    </row>
    <row r="508" spans="1:3">
      <c r="A508">
        <v>489</v>
      </c>
      <c r="B508" s="439"/>
      <c r="C508" s="439"/>
    </row>
    <row r="509" spans="1:3">
      <c r="A509">
        <v>490</v>
      </c>
      <c r="B509" s="439"/>
      <c r="C509" s="439"/>
    </row>
    <row r="510" spans="1:3">
      <c r="A510">
        <v>491</v>
      </c>
      <c r="B510" s="439"/>
      <c r="C510" s="439"/>
    </row>
    <row r="511" spans="1:3">
      <c r="A511">
        <v>492</v>
      </c>
      <c r="B511" s="439"/>
      <c r="C511" s="439"/>
    </row>
    <row r="512" spans="1:3">
      <c r="A512">
        <v>493</v>
      </c>
      <c r="B512" s="439"/>
      <c r="C512" s="439"/>
    </row>
    <row r="513" spans="1:3">
      <c r="A513">
        <v>494</v>
      </c>
      <c r="B513" s="439"/>
      <c r="C513" s="439"/>
    </row>
    <row r="514" spans="1:3">
      <c r="A514">
        <v>495</v>
      </c>
      <c r="B514" s="439"/>
      <c r="C514" s="439"/>
    </row>
    <row r="515" spans="1:3">
      <c r="A515">
        <v>496</v>
      </c>
      <c r="B515" s="439"/>
      <c r="C515" s="439"/>
    </row>
    <row r="516" spans="1:3">
      <c r="A516">
        <v>497</v>
      </c>
      <c r="B516" s="439"/>
      <c r="C516" s="439"/>
    </row>
    <row r="517" spans="1:3">
      <c r="A517">
        <v>498</v>
      </c>
      <c r="B517" s="439"/>
      <c r="C517" s="439"/>
    </row>
    <row r="518" spans="1:3">
      <c r="A518">
        <v>499</v>
      </c>
      <c r="B518" s="439"/>
      <c r="C518" s="439"/>
    </row>
    <row r="519" spans="1:3">
      <c r="A519">
        <v>500</v>
      </c>
      <c r="B519" s="439"/>
      <c r="C519" s="439"/>
    </row>
  </sheetData>
  <phoneticPr fontId="19" type="noConversion"/>
  <pageMargins left="0.75" right="0.75" top="1" bottom="1" header="0.5" footer="0.5"/>
  <pageSetup orientation="portrait" verticalDpi="0" r:id="rId1"/>
  <headerFooter alignWithMargins="0"/>
  <drawing r:id="rId2"/>
  <legacyDrawing r:id="rId3"/>
  <oleObjects>
    <oleObject progId="Equation.3" shapeId="28675" r:id="rId4"/>
    <oleObject progId="Equation.3" shapeId="28676" r:id="rId5"/>
    <oleObject progId="Equation.3" shapeId="28683" r:id="rId6"/>
    <oleObject progId="Equation.3" shapeId="28686" r:id="rId7"/>
    <oleObject progId="Equation.3" shapeId="28687" r:id="rId8"/>
  </oleObjec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M130"/>
  <sheetViews>
    <sheetView topLeftCell="A28" workbookViewId="0">
      <selection activeCell="C14" sqref="C14"/>
    </sheetView>
  </sheetViews>
  <sheetFormatPr defaultRowHeight="15"/>
  <cols>
    <col min="1" max="1" width="10.28515625" style="4" customWidth="1"/>
    <col min="2" max="2" width="16.85546875" style="4" customWidth="1"/>
    <col min="3" max="3" width="16.5703125" style="4" customWidth="1"/>
    <col min="4" max="4" width="6.85546875" style="4" customWidth="1"/>
    <col min="5" max="5" width="15.5703125" style="4" bestFit="1" customWidth="1"/>
    <col min="6" max="6" width="6.7109375" style="4" customWidth="1"/>
    <col min="7" max="13" width="10.28515625" style="4" customWidth="1"/>
  </cols>
  <sheetData>
    <row r="1" spans="1:13" ht="27">
      <c r="A1" s="404" t="s">
        <v>471</v>
      </c>
      <c r="B1" s="404"/>
      <c r="C1" s="405"/>
      <c r="D1" s="405"/>
      <c r="E1" s="405"/>
      <c r="F1" s="405"/>
      <c r="G1" s="405"/>
      <c r="H1" s="405"/>
      <c r="I1" s="405"/>
      <c r="J1" s="405"/>
      <c r="K1" s="405"/>
      <c r="L1" s="405"/>
      <c r="M1" s="405"/>
    </row>
    <row r="2" spans="1:13">
      <c r="A2" s="406"/>
      <c r="B2" s="406"/>
      <c r="C2" s="406"/>
      <c r="D2" s="402"/>
      <c r="E2" s="402"/>
      <c r="F2" s="402"/>
      <c r="G2" s="402"/>
      <c r="H2" s="402"/>
      <c r="I2" s="402"/>
      <c r="J2" s="402"/>
      <c r="K2" s="402"/>
      <c r="L2" s="402"/>
      <c r="M2" s="402"/>
    </row>
    <row r="3" spans="1:13">
      <c r="A3" s="406"/>
      <c r="B3" s="406"/>
      <c r="C3" s="406"/>
      <c r="D3" s="402"/>
      <c r="E3" s="402"/>
      <c r="F3" s="402"/>
      <c r="G3" s="402"/>
      <c r="H3" s="402"/>
      <c r="I3" s="402"/>
      <c r="J3" s="402"/>
      <c r="K3" s="402"/>
      <c r="L3" s="402"/>
      <c r="M3" s="402"/>
    </row>
    <row r="4" spans="1:13" ht="18">
      <c r="A4" s="406"/>
      <c r="B4" s="406"/>
      <c r="C4" s="406"/>
      <c r="D4" s="402"/>
      <c r="E4" s="402"/>
      <c r="F4" s="402"/>
      <c r="G4" s="407" t="s">
        <v>7</v>
      </c>
      <c r="H4" s="402"/>
      <c r="I4" s="402"/>
      <c r="J4" s="402"/>
      <c r="K4" s="402"/>
      <c r="L4" s="402"/>
      <c r="M4" s="402"/>
    </row>
    <row r="5" spans="1:13" ht="18">
      <c r="A5" s="402"/>
      <c r="B5" s="408" t="s">
        <v>3</v>
      </c>
      <c r="C5" s="402"/>
      <c r="D5" s="402"/>
      <c r="E5" s="402"/>
      <c r="F5" s="402"/>
      <c r="G5" s="402"/>
      <c r="H5" s="402"/>
      <c r="I5" s="402"/>
      <c r="J5" s="402"/>
      <c r="K5" s="402"/>
      <c r="L5" s="402"/>
      <c r="M5" s="402"/>
    </row>
    <row r="6" spans="1:13">
      <c r="A6" s="402"/>
      <c r="B6" s="394" t="s">
        <v>448</v>
      </c>
      <c r="C6" s="409"/>
      <c r="D6" s="409"/>
      <c r="E6" s="429">
        <v>100</v>
      </c>
      <c r="F6" s="402"/>
      <c r="G6" s="402"/>
      <c r="H6" s="402"/>
      <c r="I6" s="402"/>
      <c r="J6" s="402"/>
      <c r="K6" s="402"/>
      <c r="L6" s="402"/>
      <c r="M6" s="402"/>
    </row>
    <row r="7" spans="1:13">
      <c r="A7" s="402"/>
      <c r="B7" s="394" t="s">
        <v>0</v>
      </c>
      <c r="C7" s="410"/>
      <c r="D7" s="410"/>
      <c r="E7" s="391">
        <v>0.1</v>
      </c>
      <c r="F7" s="411"/>
      <c r="G7" s="402"/>
      <c r="H7" s="402"/>
      <c r="I7" s="402"/>
      <c r="J7" s="402"/>
      <c r="K7" s="402"/>
      <c r="L7" s="402"/>
      <c r="M7" s="402"/>
    </row>
    <row r="8" spans="1:13">
      <c r="A8" s="402"/>
      <c r="B8" s="394" t="s">
        <v>1</v>
      </c>
      <c r="C8" s="410"/>
      <c r="D8" s="410"/>
      <c r="E8" s="392">
        <v>0.03</v>
      </c>
      <c r="F8" s="411"/>
      <c r="G8" s="402"/>
      <c r="H8" s="402"/>
      <c r="I8" s="402"/>
      <c r="J8" s="402"/>
      <c r="K8" s="402"/>
      <c r="L8" s="402"/>
      <c r="M8" s="402"/>
    </row>
    <row r="9" spans="1:13">
      <c r="A9" s="402"/>
      <c r="B9" s="399" t="s">
        <v>2</v>
      </c>
      <c r="C9" s="412"/>
      <c r="D9" s="426"/>
      <c r="E9" s="391">
        <v>0.3</v>
      </c>
      <c r="F9" s="402"/>
      <c r="G9" s="402"/>
      <c r="H9" s="402"/>
      <c r="I9" s="402"/>
      <c r="J9" s="402"/>
      <c r="K9" s="402"/>
      <c r="L9" s="402"/>
      <c r="M9" s="402"/>
    </row>
    <row r="10" spans="1:13">
      <c r="A10" s="402"/>
      <c r="B10" s="413"/>
      <c r="C10" s="413"/>
      <c r="D10" s="413"/>
      <c r="E10" s="413"/>
      <c r="F10" s="402"/>
      <c r="G10" s="402"/>
      <c r="H10" s="402"/>
      <c r="I10" s="402"/>
      <c r="J10" s="402"/>
      <c r="K10" s="402"/>
      <c r="L10" s="402"/>
      <c r="M10" s="402"/>
    </row>
    <row r="11" spans="1:13">
      <c r="A11" s="402"/>
      <c r="B11" s="413"/>
      <c r="C11" s="413"/>
      <c r="D11" s="413"/>
      <c r="E11" s="413"/>
      <c r="F11" s="402"/>
      <c r="G11" s="402"/>
      <c r="H11" s="402"/>
      <c r="I11" s="402"/>
      <c r="J11" s="402"/>
      <c r="K11" s="402"/>
      <c r="L11" s="402"/>
      <c r="M11" s="402"/>
    </row>
    <row r="12" spans="1:13" ht="18">
      <c r="A12" s="402"/>
      <c r="B12" s="408" t="s">
        <v>4</v>
      </c>
      <c r="C12" s="402"/>
      <c r="D12" s="402"/>
      <c r="E12" s="402"/>
      <c r="F12" s="402"/>
      <c r="G12" s="402"/>
      <c r="H12" s="402"/>
      <c r="I12" s="402"/>
      <c r="J12" s="402"/>
      <c r="K12" s="402"/>
      <c r="L12" s="402"/>
      <c r="M12" s="402"/>
    </row>
    <row r="13" spans="1:13">
      <c r="A13" s="402"/>
      <c r="B13" s="394" t="s">
        <v>11</v>
      </c>
      <c r="C13" s="409"/>
      <c r="D13" s="409"/>
      <c r="E13" s="427">
        <v>1</v>
      </c>
      <c r="F13" s="402"/>
      <c r="G13" s="402"/>
      <c r="H13" s="402"/>
      <c r="I13" s="402"/>
      <c r="J13" s="402"/>
      <c r="K13" s="402"/>
      <c r="L13" s="402"/>
      <c r="M13" s="402"/>
    </row>
    <row r="14" spans="1:13">
      <c r="A14" s="402"/>
      <c r="B14" s="399" t="s">
        <v>6</v>
      </c>
      <c r="C14" s="412"/>
      <c r="D14" s="426"/>
      <c r="E14" s="428">
        <v>100</v>
      </c>
      <c r="F14" s="402"/>
      <c r="G14" s="403" t="s">
        <v>8</v>
      </c>
      <c r="H14" s="402"/>
      <c r="I14" s="402"/>
      <c r="J14" s="402"/>
      <c r="K14" s="402"/>
      <c r="L14" s="402"/>
      <c r="M14" s="402"/>
    </row>
    <row r="15" spans="1:13">
      <c r="A15" s="402"/>
      <c r="B15" s="402"/>
      <c r="C15" s="402"/>
      <c r="D15" s="402"/>
      <c r="E15" s="402"/>
      <c r="F15" s="414"/>
      <c r="G15" s="402"/>
      <c r="H15" s="402"/>
      <c r="I15" s="402"/>
      <c r="J15" s="402"/>
      <c r="K15" s="402"/>
      <c r="L15" s="402"/>
      <c r="M15" s="402"/>
    </row>
    <row r="16" spans="1:13">
      <c r="A16" s="402"/>
      <c r="B16" s="402"/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</row>
    <row r="17" spans="1:13">
      <c r="A17" s="402" t="s">
        <v>445</v>
      </c>
      <c r="B17" s="402"/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</row>
    <row r="18" spans="1:13" ht="18">
      <c r="A18" s="402"/>
      <c r="B18" s="415" t="s">
        <v>454</v>
      </c>
      <c r="C18" s="416"/>
      <c r="D18" s="417"/>
      <c r="E18" s="417"/>
      <c r="F18" s="402"/>
      <c r="G18" s="402"/>
      <c r="H18" s="402"/>
      <c r="I18" s="402"/>
      <c r="J18" s="402"/>
      <c r="K18" s="402"/>
      <c r="L18" s="402"/>
      <c r="M18" s="402"/>
    </row>
    <row r="19" spans="1:13">
      <c r="A19" s="402"/>
      <c r="B19" s="395" t="s">
        <v>10</v>
      </c>
      <c r="C19" s="396"/>
      <c r="D19" s="396"/>
      <c r="E19" s="400"/>
      <c r="F19" s="402"/>
      <c r="G19" s="403" t="s">
        <v>458</v>
      </c>
      <c r="H19" s="402"/>
      <c r="I19" s="402"/>
      <c r="J19" s="402"/>
      <c r="K19" s="402"/>
      <c r="L19" s="402"/>
      <c r="M19" s="402"/>
    </row>
    <row r="20" spans="1:13">
      <c r="A20" s="402"/>
      <c r="B20" s="395" t="s">
        <v>9</v>
      </c>
      <c r="C20" s="396"/>
      <c r="D20" s="396"/>
      <c r="E20" s="400"/>
      <c r="F20" s="402"/>
      <c r="G20" s="402"/>
      <c r="H20" s="402"/>
      <c r="I20" s="402"/>
      <c r="J20" s="402"/>
      <c r="K20" s="402"/>
      <c r="L20" s="402"/>
      <c r="M20" s="402"/>
    </row>
    <row r="21" spans="1:13">
      <c r="A21" s="402"/>
      <c r="B21" s="397" t="s">
        <v>456</v>
      </c>
      <c r="C21" s="398"/>
      <c r="D21" s="430"/>
      <c r="E21" s="400"/>
      <c r="F21" s="402"/>
      <c r="G21" s="402"/>
      <c r="H21" s="402"/>
      <c r="I21" s="402"/>
      <c r="J21" s="402"/>
      <c r="K21" s="402"/>
      <c r="L21" s="402"/>
      <c r="M21" s="402"/>
    </row>
    <row r="22" spans="1:13">
      <c r="A22" s="402"/>
      <c r="B22" s="402"/>
      <c r="C22" s="402"/>
      <c r="D22" s="402"/>
      <c r="E22" s="418"/>
      <c r="F22" s="402"/>
      <c r="G22" s="402"/>
      <c r="H22" s="402"/>
      <c r="I22" s="402"/>
      <c r="J22" s="402"/>
      <c r="K22" s="402"/>
      <c r="L22" s="402"/>
      <c r="M22" s="402"/>
    </row>
    <row r="23" spans="1:13">
      <c r="A23" s="402"/>
      <c r="B23" s="402"/>
      <c r="C23" s="402"/>
      <c r="D23" s="402"/>
      <c r="E23" s="414"/>
      <c r="F23" s="402"/>
      <c r="G23" s="402"/>
      <c r="H23" s="402"/>
      <c r="I23" s="402"/>
      <c r="J23" s="402"/>
      <c r="K23" s="402"/>
      <c r="L23" s="402"/>
      <c r="M23" s="402"/>
    </row>
    <row r="24" spans="1:13" ht="18">
      <c r="A24" s="265" t="s">
        <v>469</v>
      </c>
      <c r="B24" s="406"/>
      <c r="C24" s="406"/>
      <c r="D24" s="402"/>
      <c r="E24" s="402"/>
      <c r="F24" s="402"/>
      <c r="G24" s="402"/>
      <c r="H24" s="402"/>
      <c r="I24" s="402"/>
      <c r="J24" s="402"/>
      <c r="K24" s="402"/>
      <c r="L24" s="402"/>
      <c r="M24" s="402"/>
    </row>
    <row r="25" spans="1:13" ht="18">
      <c r="A25" s="265" t="s">
        <v>470</v>
      </c>
      <c r="B25" s="406"/>
      <c r="C25" s="406"/>
      <c r="D25" s="402"/>
      <c r="E25" s="402"/>
      <c r="F25" s="402"/>
      <c r="G25" s="402"/>
      <c r="H25" s="402"/>
      <c r="I25" s="402"/>
      <c r="J25" s="402"/>
      <c r="K25" s="402"/>
      <c r="L25" s="402"/>
      <c r="M25" s="402"/>
    </row>
    <row r="26" spans="1:13">
      <c r="A26" s="402"/>
      <c r="B26" s="402"/>
      <c r="C26" s="402"/>
      <c r="D26" s="402"/>
      <c r="E26" s="402"/>
      <c r="F26" s="402"/>
      <c r="G26" s="402"/>
      <c r="H26" s="402"/>
      <c r="I26" s="402"/>
      <c r="J26" s="402"/>
      <c r="K26" s="402"/>
      <c r="L26" s="402"/>
      <c r="M26" s="402"/>
    </row>
    <row r="27" spans="1:13">
      <c r="A27" s="402"/>
      <c r="B27" s="402"/>
      <c r="C27" s="402"/>
      <c r="D27" s="402"/>
      <c r="E27" s="402"/>
      <c r="F27" s="402"/>
      <c r="G27" s="402"/>
      <c r="H27" s="402"/>
      <c r="I27" s="402"/>
      <c r="J27" s="402"/>
      <c r="K27" s="402"/>
      <c r="L27" s="402"/>
      <c r="M27" s="402"/>
    </row>
    <row r="28" spans="1:13">
      <c r="A28" s="402"/>
      <c r="B28" s="431" t="s">
        <v>5</v>
      </c>
      <c r="C28" s="431" t="s">
        <v>467</v>
      </c>
      <c r="D28" s="402"/>
      <c r="E28" s="402"/>
      <c r="F28" s="402"/>
      <c r="G28" s="402"/>
      <c r="H28" s="402"/>
      <c r="I28" s="402"/>
      <c r="J28" s="402"/>
      <c r="K28" s="402"/>
      <c r="L28" s="402"/>
      <c r="M28" s="402"/>
    </row>
    <row r="29" spans="1:13">
      <c r="A29" s="402"/>
      <c r="B29" s="433">
        <v>0</v>
      </c>
      <c r="C29" s="422"/>
      <c r="D29" s="402"/>
      <c r="E29" s="402"/>
      <c r="F29" s="402"/>
      <c r="G29" s="402"/>
      <c r="H29" s="402"/>
      <c r="I29" s="402"/>
      <c r="J29" s="402"/>
      <c r="K29" s="402"/>
      <c r="L29" s="402"/>
      <c r="M29" s="402"/>
    </row>
    <row r="30" spans="1:13">
      <c r="A30" s="402"/>
      <c r="B30" s="433">
        <f t="shared" ref="B30:B61" si="0">IF(B29&lt;MC_NumOfSteps,B29+1,"")</f>
        <v>1</v>
      </c>
      <c r="C30" s="422"/>
      <c r="D30" s="402"/>
      <c r="E30" s="402"/>
      <c r="F30" s="402"/>
      <c r="G30" s="402"/>
      <c r="H30" s="402"/>
      <c r="I30" s="402"/>
      <c r="J30" s="402"/>
      <c r="K30" s="402"/>
      <c r="L30" s="402"/>
      <c r="M30" s="402"/>
    </row>
    <row r="31" spans="1:13">
      <c r="A31" s="402"/>
      <c r="B31" s="433">
        <f t="shared" si="0"/>
        <v>2</v>
      </c>
      <c r="C31" s="422"/>
      <c r="D31" s="402"/>
      <c r="E31" s="402"/>
      <c r="F31" s="402"/>
      <c r="G31" s="402"/>
      <c r="H31" s="402"/>
      <c r="I31" s="402"/>
      <c r="J31" s="402"/>
      <c r="K31" s="402"/>
      <c r="L31" s="402"/>
      <c r="M31" s="402"/>
    </row>
    <row r="32" spans="1:13">
      <c r="A32" s="402"/>
      <c r="B32" s="433">
        <f t="shared" si="0"/>
        <v>3</v>
      </c>
      <c r="C32" s="422"/>
      <c r="D32" s="402"/>
      <c r="E32" s="402"/>
      <c r="F32" s="402"/>
      <c r="G32" s="402"/>
      <c r="H32" s="402"/>
      <c r="I32" s="402"/>
      <c r="J32" s="402"/>
      <c r="K32" s="402"/>
      <c r="L32" s="402"/>
      <c r="M32" s="402"/>
    </row>
    <row r="33" spans="2:3">
      <c r="B33" s="433">
        <f t="shared" si="0"/>
        <v>4</v>
      </c>
      <c r="C33" s="422"/>
    </row>
    <row r="34" spans="2:3">
      <c r="B34" s="433">
        <f t="shared" si="0"/>
        <v>5</v>
      </c>
      <c r="C34" s="422"/>
    </row>
    <row r="35" spans="2:3">
      <c r="B35" s="433">
        <f t="shared" si="0"/>
        <v>6</v>
      </c>
      <c r="C35" s="422"/>
    </row>
    <row r="36" spans="2:3">
      <c r="B36" s="433">
        <f t="shared" si="0"/>
        <v>7</v>
      </c>
      <c r="C36" s="422"/>
    </row>
    <row r="37" spans="2:3">
      <c r="B37" s="433">
        <f t="shared" si="0"/>
        <v>8</v>
      </c>
      <c r="C37" s="422"/>
    </row>
    <row r="38" spans="2:3">
      <c r="B38" s="433">
        <f t="shared" si="0"/>
        <v>9</v>
      </c>
      <c r="C38" s="422"/>
    </row>
    <row r="39" spans="2:3">
      <c r="B39" s="433">
        <f t="shared" si="0"/>
        <v>10</v>
      </c>
      <c r="C39" s="422"/>
    </row>
    <row r="40" spans="2:3">
      <c r="B40" s="433">
        <f t="shared" si="0"/>
        <v>11</v>
      </c>
      <c r="C40" s="422"/>
    </row>
    <row r="41" spans="2:3">
      <c r="B41" s="433">
        <f t="shared" si="0"/>
        <v>12</v>
      </c>
      <c r="C41" s="422"/>
    </row>
    <row r="42" spans="2:3">
      <c r="B42" s="433">
        <f t="shared" si="0"/>
        <v>13</v>
      </c>
      <c r="C42" s="422"/>
    </row>
    <row r="43" spans="2:3">
      <c r="B43" s="433">
        <f t="shared" si="0"/>
        <v>14</v>
      </c>
      <c r="C43" s="422"/>
    </row>
    <row r="44" spans="2:3">
      <c r="B44" s="433">
        <f t="shared" si="0"/>
        <v>15</v>
      </c>
      <c r="C44" s="422"/>
    </row>
    <row r="45" spans="2:3">
      <c r="B45" s="433">
        <f t="shared" si="0"/>
        <v>16</v>
      </c>
      <c r="C45" s="422"/>
    </row>
    <row r="46" spans="2:3">
      <c r="B46" s="433">
        <f t="shared" si="0"/>
        <v>17</v>
      </c>
      <c r="C46" s="422"/>
    </row>
    <row r="47" spans="2:3">
      <c r="B47" s="433">
        <f t="shared" si="0"/>
        <v>18</v>
      </c>
      <c r="C47" s="422"/>
    </row>
    <row r="48" spans="2:3">
      <c r="B48" s="433">
        <f t="shared" si="0"/>
        <v>19</v>
      </c>
      <c r="C48" s="422"/>
    </row>
    <row r="49" spans="2:3">
      <c r="B49" s="433">
        <f t="shared" si="0"/>
        <v>20</v>
      </c>
      <c r="C49" s="422"/>
    </row>
    <row r="50" spans="2:3">
      <c r="B50" s="433">
        <f t="shared" si="0"/>
        <v>21</v>
      </c>
      <c r="C50" s="422"/>
    </row>
    <row r="51" spans="2:3">
      <c r="B51" s="433">
        <f t="shared" si="0"/>
        <v>22</v>
      </c>
      <c r="C51" s="422"/>
    </row>
    <row r="52" spans="2:3">
      <c r="B52" s="433">
        <f t="shared" si="0"/>
        <v>23</v>
      </c>
      <c r="C52" s="422"/>
    </row>
    <row r="53" spans="2:3">
      <c r="B53" s="433">
        <f t="shared" si="0"/>
        <v>24</v>
      </c>
      <c r="C53" s="422"/>
    </row>
    <row r="54" spans="2:3">
      <c r="B54" s="433">
        <f t="shared" si="0"/>
        <v>25</v>
      </c>
      <c r="C54" s="422"/>
    </row>
    <row r="55" spans="2:3">
      <c r="B55" s="433">
        <f t="shared" si="0"/>
        <v>26</v>
      </c>
      <c r="C55" s="422"/>
    </row>
    <row r="56" spans="2:3">
      <c r="B56" s="433">
        <f t="shared" si="0"/>
        <v>27</v>
      </c>
      <c r="C56" s="422"/>
    </row>
    <row r="57" spans="2:3">
      <c r="B57" s="433">
        <f t="shared" si="0"/>
        <v>28</v>
      </c>
      <c r="C57" s="422"/>
    </row>
    <row r="58" spans="2:3">
      <c r="B58" s="433">
        <f t="shared" si="0"/>
        <v>29</v>
      </c>
      <c r="C58" s="422"/>
    </row>
    <row r="59" spans="2:3">
      <c r="B59" s="433">
        <f t="shared" si="0"/>
        <v>30</v>
      </c>
      <c r="C59" s="422"/>
    </row>
    <row r="60" spans="2:3">
      <c r="B60" s="433">
        <f t="shared" si="0"/>
        <v>31</v>
      </c>
      <c r="C60" s="422"/>
    </row>
    <row r="61" spans="2:3">
      <c r="B61" s="433">
        <f t="shared" si="0"/>
        <v>32</v>
      </c>
      <c r="C61" s="422"/>
    </row>
    <row r="62" spans="2:3">
      <c r="B62" s="433">
        <f t="shared" ref="B62:B93" si="1">IF(B61&lt;MC_NumOfSteps,B61+1,"")</f>
        <v>33</v>
      </c>
      <c r="C62" s="422"/>
    </row>
    <row r="63" spans="2:3">
      <c r="B63" s="433">
        <f t="shared" si="1"/>
        <v>34</v>
      </c>
      <c r="C63" s="422"/>
    </row>
    <row r="64" spans="2:3">
      <c r="B64" s="433">
        <f t="shared" si="1"/>
        <v>35</v>
      </c>
      <c r="C64" s="422"/>
    </row>
    <row r="65" spans="2:3">
      <c r="B65" s="433">
        <f t="shared" si="1"/>
        <v>36</v>
      </c>
      <c r="C65" s="422"/>
    </row>
    <row r="66" spans="2:3">
      <c r="B66" s="433">
        <f t="shared" si="1"/>
        <v>37</v>
      </c>
      <c r="C66" s="422"/>
    </row>
    <row r="67" spans="2:3">
      <c r="B67" s="433">
        <f t="shared" si="1"/>
        <v>38</v>
      </c>
      <c r="C67" s="422"/>
    </row>
    <row r="68" spans="2:3">
      <c r="B68" s="433">
        <f t="shared" si="1"/>
        <v>39</v>
      </c>
      <c r="C68" s="422"/>
    </row>
    <row r="69" spans="2:3">
      <c r="B69" s="433">
        <f t="shared" si="1"/>
        <v>40</v>
      </c>
      <c r="C69" s="422"/>
    </row>
    <row r="70" spans="2:3">
      <c r="B70" s="433">
        <f t="shared" si="1"/>
        <v>41</v>
      </c>
      <c r="C70" s="422"/>
    </row>
    <row r="71" spans="2:3">
      <c r="B71" s="433">
        <f t="shared" si="1"/>
        <v>42</v>
      </c>
      <c r="C71" s="422"/>
    </row>
    <row r="72" spans="2:3">
      <c r="B72" s="433">
        <f t="shared" si="1"/>
        <v>43</v>
      </c>
      <c r="C72" s="422"/>
    </row>
    <row r="73" spans="2:3">
      <c r="B73" s="433">
        <f t="shared" si="1"/>
        <v>44</v>
      </c>
      <c r="C73" s="422"/>
    </row>
    <row r="74" spans="2:3">
      <c r="B74" s="433">
        <f t="shared" si="1"/>
        <v>45</v>
      </c>
      <c r="C74" s="422"/>
    </row>
    <row r="75" spans="2:3">
      <c r="B75" s="433">
        <f t="shared" si="1"/>
        <v>46</v>
      </c>
      <c r="C75" s="422"/>
    </row>
    <row r="76" spans="2:3">
      <c r="B76" s="433">
        <f t="shared" si="1"/>
        <v>47</v>
      </c>
      <c r="C76" s="422"/>
    </row>
    <row r="77" spans="2:3">
      <c r="B77" s="433">
        <f t="shared" si="1"/>
        <v>48</v>
      </c>
      <c r="C77" s="422"/>
    </row>
    <row r="78" spans="2:3">
      <c r="B78" s="433">
        <f t="shared" si="1"/>
        <v>49</v>
      </c>
      <c r="C78" s="422"/>
    </row>
    <row r="79" spans="2:3">
      <c r="B79" s="433">
        <f t="shared" si="1"/>
        <v>50</v>
      </c>
      <c r="C79" s="422"/>
    </row>
    <row r="80" spans="2:3">
      <c r="B80" s="433">
        <f t="shared" si="1"/>
        <v>51</v>
      </c>
      <c r="C80" s="422"/>
    </row>
    <row r="81" spans="2:3">
      <c r="B81" s="433">
        <f t="shared" si="1"/>
        <v>52</v>
      </c>
      <c r="C81" s="422"/>
    </row>
    <row r="82" spans="2:3">
      <c r="B82" s="433">
        <f t="shared" si="1"/>
        <v>53</v>
      </c>
      <c r="C82" s="422"/>
    </row>
    <row r="83" spans="2:3">
      <c r="B83" s="433">
        <f t="shared" si="1"/>
        <v>54</v>
      </c>
      <c r="C83" s="422"/>
    </row>
    <row r="84" spans="2:3">
      <c r="B84" s="433">
        <f t="shared" si="1"/>
        <v>55</v>
      </c>
      <c r="C84" s="422"/>
    </row>
    <row r="85" spans="2:3">
      <c r="B85" s="433">
        <f t="shared" si="1"/>
        <v>56</v>
      </c>
      <c r="C85" s="422"/>
    </row>
    <row r="86" spans="2:3">
      <c r="B86" s="433">
        <f t="shared" si="1"/>
        <v>57</v>
      </c>
      <c r="C86" s="422"/>
    </row>
    <row r="87" spans="2:3">
      <c r="B87" s="433">
        <f t="shared" si="1"/>
        <v>58</v>
      </c>
      <c r="C87" s="422"/>
    </row>
    <row r="88" spans="2:3">
      <c r="B88" s="433">
        <f t="shared" si="1"/>
        <v>59</v>
      </c>
      <c r="C88" s="422"/>
    </row>
    <row r="89" spans="2:3">
      <c r="B89" s="433">
        <f t="shared" si="1"/>
        <v>60</v>
      </c>
      <c r="C89" s="422"/>
    </row>
    <row r="90" spans="2:3">
      <c r="B90" s="433">
        <f t="shared" si="1"/>
        <v>61</v>
      </c>
      <c r="C90" s="422"/>
    </row>
    <row r="91" spans="2:3">
      <c r="B91" s="433">
        <f t="shared" si="1"/>
        <v>62</v>
      </c>
      <c r="C91" s="422"/>
    </row>
    <row r="92" spans="2:3">
      <c r="B92" s="433">
        <f t="shared" si="1"/>
        <v>63</v>
      </c>
      <c r="C92" s="422"/>
    </row>
    <row r="93" spans="2:3">
      <c r="B93" s="433">
        <f t="shared" si="1"/>
        <v>64</v>
      </c>
      <c r="C93" s="422"/>
    </row>
    <row r="94" spans="2:3">
      <c r="B94" s="433">
        <f t="shared" ref="B94:B130" si="2">IF(B93&lt;MC_NumOfSteps,B93+1,"")</f>
        <v>65</v>
      </c>
      <c r="C94" s="422"/>
    </row>
    <row r="95" spans="2:3">
      <c r="B95" s="433">
        <f t="shared" si="2"/>
        <v>66</v>
      </c>
      <c r="C95" s="422"/>
    </row>
    <row r="96" spans="2:3">
      <c r="B96" s="433">
        <f t="shared" si="2"/>
        <v>67</v>
      </c>
      <c r="C96" s="422"/>
    </row>
    <row r="97" spans="2:3">
      <c r="B97" s="433">
        <f t="shared" si="2"/>
        <v>68</v>
      </c>
      <c r="C97" s="422"/>
    </row>
    <row r="98" spans="2:3">
      <c r="B98" s="433">
        <f t="shared" si="2"/>
        <v>69</v>
      </c>
      <c r="C98" s="422"/>
    </row>
    <row r="99" spans="2:3">
      <c r="B99" s="433">
        <f t="shared" si="2"/>
        <v>70</v>
      </c>
      <c r="C99" s="422"/>
    </row>
    <row r="100" spans="2:3">
      <c r="B100" s="433">
        <f t="shared" si="2"/>
        <v>71</v>
      </c>
      <c r="C100" s="422"/>
    </row>
    <row r="101" spans="2:3">
      <c r="B101" s="433">
        <f t="shared" si="2"/>
        <v>72</v>
      </c>
      <c r="C101" s="422"/>
    </row>
    <row r="102" spans="2:3">
      <c r="B102" s="433">
        <f t="shared" si="2"/>
        <v>73</v>
      </c>
      <c r="C102" s="422"/>
    </row>
    <row r="103" spans="2:3">
      <c r="B103" s="433">
        <f t="shared" si="2"/>
        <v>74</v>
      </c>
      <c r="C103" s="422"/>
    </row>
    <row r="104" spans="2:3">
      <c r="B104" s="433">
        <f t="shared" si="2"/>
        <v>75</v>
      </c>
      <c r="C104" s="422"/>
    </row>
    <row r="105" spans="2:3">
      <c r="B105" s="433">
        <f t="shared" si="2"/>
        <v>76</v>
      </c>
      <c r="C105" s="422"/>
    </row>
    <row r="106" spans="2:3">
      <c r="B106" s="433">
        <f t="shared" si="2"/>
        <v>77</v>
      </c>
      <c r="C106" s="422"/>
    </row>
    <row r="107" spans="2:3">
      <c r="B107" s="433">
        <f t="shared" si="2"/>
        <v>78</v>
      </c>
      <c r="C107" s="422"/>
    </row>
    <row r="108" spans="2:3">
      <c r="B108" s="433">
        <f t="shared" si="2"/>
        <v>79</v>
      </c>
      <c r="C108" s="422"/>
    </row>
    <row r="109" spans="2:3">
      <c r="B109" s="433">
        <f t="shared" si="2"/>
        <v>80</v>
      </c>
      <c r="C109" s="422"/>
    </row>
    <row r="110" spans="2:3">
      <c r="B110" s="433">
        <f t="shared" si="2"/>
        <v>81</v>
      </c>
      <c r="C110" s="422"/>
    </row>
    <row r="111" spans="2:3">
      <c r="B111" s="433">
        <f t="shared" si="2"/>
        <v>82</v>
      </c>
      <c r="C111" s="422"/>
    </row>
    <row r="112" spans="2:3">
      <c r="B112" s="433">
        <f t="shared" si="2"/>
        <v>83</v>
      </c>
      <c r="C112" s="422"/>
    </row>
    <row r="113" spans="2:3">
      <c r="B113" s="433">
        <f t="shared" si="2"/>
        <v>84</v>
      </c>
      <c r="C113" s="422"/>
    </row>
    <row r="114" spans="2:3">
      <c r="B114" s="433">
        <f t="shared" si="2"/>
        <v>85</v>
      </c>
      <c r="C114" s="422"/>
    </row>
    <row r="115" spans="2:3">
      <c r="B115" s="433">
        <f t="shared" si="2"/>
        <v>86</v>
      </c>
      <c r="C115" s="422"/>
    </row>
    <row r="116" spans="2:3">
      <c r="B116" s="433">
        <f t="shared" si="2"/>
        <v>87</v>
      </c>
      <c r="C116" s="422"/>
    </row>
    <row r="117" spans="2:3">
      <c r="B117" s="433">
        <f t="shared" si="2"/>
        <v>88</v>
      </c>
      <c r="C117" s="422"/>
    </row>
    <row r="118" spans="2:3">
      <c r="B118" s="433">
        <f t="shared" si="2"/>
        <v>89</v>
      </c>
      <c r="C118" s="422"/>
    </row>
    <row r="119" spans="2:3">
      <c r="B119" s="433">
        <f t="shared" si="2"/>
        <v>90</v>
      </c>
      <c r="C119" s="422"/>
    </row>
    <row r="120" spans="2:3">
      <c r="B120" s="433">
        <f t="shared" si="2"/>
        <v>91</v>
      </c>
      <c r="C120" s="422"/>
    </row>
    <row r="121" spans="2:3">
      <c r="B121" s="433">
        <f t="shared" si="2"/>
        <v>92</v>
      </c>
      <c r="C121" s="422"/>
    </row>
    <row r="122" spans="2:3">
      <c r="B122" s="433">
        <f t="shared" si="2"/>
        <v>93</v>
      </c>
      <c r="C122" s="422"/>
    </row>
    <row r="123" spans="2:3">
      <c r="B123" s="433">
        <f t="shared" si="2"/>
        <v>94</v>
      </c>
      <c r="C123" s="422"/>
    </row>
    <row r="124" spans="2:3">
      <c r="B124" s="433">
        <f t="shared" si="2"/>
        <v>95</v>
      </c>
      <c r="C124" s="422"/>
    </row>
    <row r="125" spans="2:3">
      <c r="B125" s="433">
        <f t="shared" si="2"/>
        <v>96</v>
      </c>
      <c r="C125" s="422"/>
    </row>
    <row r="126" spans="2:3">
      <c r="B126" s="433">
        <f t="shared" si="2"/>
        <v>97</v>
      </c>
      <c r="C126" s="422"/>
    </row>
    <row r="127" spans="2:3">
      <c r="B127" s="433">
        <f t="shared" si="2"/>
        <v>98</v>
      </c>
      <c r="C127" s="422"/>
    </row>
    <row r="128" spans="2:3">
      <c r="B128" s="433">
        <f t="shared" si="2"/>
        <v>99</v>
      </c>
      <c r="C128" s="422"/>
    </row>
    <row r="129" spans="2:3">
      <c r="B129" s="433">
        <f t="shared" si="2"/>
        <v>100</v>
      </c>
      <c r="C129" s="422"/>
    </row>
    <row r="130" spans="2:3">
      <c r="B130" s="432" t="str">
        <f t="shared" si="2"/>
        <v/>
      </c>
    </row>
  </sheetData>
  <phoneticPr fontId="19" type="noConversion"/>
  <pageMargins left="0.75" right="0.75" top="1" bottom="1" header="0.5" footer="0.5"/>
  <pageSetup orientation="portrait" verticalDpi="0" r:id="rId1"/>
  <headerFooter alignWithMargins="0"/>
  <legacyDrawing r:id="rId2"/>
  <oleObjects>
    <oleObject progId="Equation.3" shapeId="27655" r:id="rId3"/>
  </oleObjec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A1:M44"/>
  <sheetViews>
    <sheetView showGridLines="0" topLeftCell="A8" workbookViewId="0">
      <selection activeCell="D34" sqref="D34"/>
    </sheetView>
  </sheetViews>
  <sheetFormatPr defaultColWidth="10.28515625" defaultRowHeight="15"/>
  <cols>
    <col min="1" max="1" width="10.28515625" style="402" customWidth="1"/>
    <col min="2" max="2" width="16.85546875" style="402" customWidth="1"/>
    <col min="3" max="3" width="10.28515625" style="402" customWidth="1"/>
    <col min="4" max="4" width="14.5703125" style="402" customWidth="1"/>
    <col min="5" max="5" width="15.5703125" style="402" bestFit="1" customWidth="1"/>
    <col min="6" max="16384" width="10.28515625" style="402"/>
  </cols>
  <sheetData>
    <row r="1" spans="1:13" ht="27">
      <c r="A1" s="404" t="s">
        <v>457</v>
      </c>
      <c r="B1" s="404"/>
      <c r="C1" s="405"/>
      <c r="D1" s="405"/>
      <c r="E1" s="405"/>
      <c r="F1" s="405"/>
      <c r="G1" s="405"/>
      <c r="H1" s="405"/>
      <c r="I1" s="405"/>
      <c r="J1" s="405"/>
      <c r="K1" s="405"/>
      <c r="L1" s="405"/>
      <c r="M1" s="405"/>
    </row>
    <row r="2" spans="1:13">
      <c r="A2" s="406"/>
      <c r="B2" s="406"/>
      <c r="C2" s="406"/>
    </row>
    <row r="3" spans="1:13" ht="18">
      <c r="A3" s="265" t="s">
        <v>459</v>
      </c>
      <c r="B3" s="406"/>
      <c r="C3" s="406"/>
    </row>
    <row r="4" spans="1:13">
      <c r="A4" s="406"/>
      <c r="B4" s="406"/>
      <c r="C4" s="406"/>
    </row>
    <row r="5" spans="1:13" ht="18">
      <c r="A5" s="406"/>
      <c r="B5" s="406"/>
      <c r="C5" s="406"/>
      <c r="G5" s="407" t="s">
        <v>457</v>
      </c>
    </row>
    <row r="6" spans="1:13" ht="18">
      <c r="B6" s="408" t="s">
        <v>452</v>
      </c>
    </row>
    <row r="7" spans="1:13">
      <c r="B7" s="394" t="s">
        <v>448</v>
      </c>
      <c r="C7" s="409"/>
      <c r="D7" s="409"/>
      <c r="E7" s="388">
        <v>100</v>
      </c>
    </row>
    <row r="8" spans="1:13">
      <c r="B8" s="394" t="s">
        <v>451</v>
      </c>
      <c r="C8" s="410"/>
      <c r="D8" s="410"/>
      <c r="E8" s="389">
        <v>80</v>
      </c>
      <c r="F8" s="411"/>
    </row>
    <row r="9" spans="1:13">
      <c r="B9" s="394" t="s">
        <v>449</v>
      </c>
      <c r="C9" s="410"/>
      <c r="D9" s="410"/>
      <c r="E9" s="390">
        <v>365</v>
      </c>
      <c r="F9" s="411"/>
    </row>
    <row r="10" spans="1:13">
      <c r="B10" s="394" t="s">
        <v>227</v>
      </c>
      <c r="C10" s="410"/>
      <c r="D10" s="410"/>
      <c r="E10" s="391">
        <v>0.02</v>
      </c>
    </row>
    <row r="11" spans="1:13">
      <c r="B11" s="394" t="s">
        <v>462</v>
      </c>
      <c r="C11" s="410"/>
      <c r="D11" s="410"/>
      <c r="E11" s="392">
        <v>0.25</v>
      </c>
    </row>
    <row r="12" spans="1:13">
      <c r="B12" s="399" t="s">
        <v>450</v>
      </c>
      <c r="C12" s="412"/>
      <c r="D12" s="412"/>
      <c r="E12" s="393">
        <v>0</v>
      </c>
    </row>
    <row r="13" spans="1:13">
      <c r="B13" s="413"/>
      <c r="C13" s="413"/>
      <c r="D13" s="413"/>
      <c r="E13" s="413"/>
    </row>
    <row r="15" spans="1:13">
      <c r="F15" s="414"/>
    </row>
    <row r="17" spans="1:7">
      <c r="A17" s="402" t="s">
        <v>445</v>
      </c>
    </row>
    <row r="18" spans="1:7" ht="18">
      <c r="B18" s="415" t="s">
        <v>454</v>
      </c>
      <c r="C18" s="416"/>
      <c r="D18" s="417"/>
      <c r="E18" s="417"/>
    </row>
    <row r="19" spans="1:7">
      <c r="B19" s="395" t="s">
        <v>453</v>
      </c>
      <c r="C19" s="396"/>
      <c r="D19" s="396"/>
      <c r="E19" s="400"/>
      <c r="G19" s="403" t="s">
        <v>458</v>
      </c>
    </row>
    <row r="20" spans="1:7">
      <c r="B20" s="395" t="s">
        <v>455</v>
      </c>
      <c r="C20" s="396"/>
      <c r="D20" s="396"/>
      <c r="E20" s="400"/>
    </row>
    <row r="21" spans="1:7">
      <c r="B21" s="395" t="s">
        <v>456</v>
      </c>
      <c r="C21" s="396"/>
      <c r="D21" s="396"/>
      <c r="E21" s="400"/>
    </row>
    <row r="22" spans="1:7">
      <c r="B22" s="395" t="s">
        <v>446</v>
      </c>
      <c r="C22" s="396"/>
      <c r="D22" s="396"/>
      <c r="E22" s="400"/>
    </row>
    <row r="23" spans="1:7">
      <c r="B23" s="395" t="s">
        <v>447</v>
      </c>
      <c r="C23" s="396"/>
      <c r="D23" s="396"/>
      <c r="E23" s="401"/>
    </row>
    <row r="24" spans="1:7">
      <c r="B24" s="395"/>
      <c r="C24" s="396"/>
      <c r="D24" s="396"/>
      <c r="E24" s="401"/>
    </row>
    <row r="25" spans="1:7">
      <c r="B25" s="395" t="s">
        <v>460</v>
      </c>
      <c r="C25" s="396"/>
      <c r="D25" s="396"/>
      <c r="E25" s="401"/>
    </row>
    <row r="26" spans="1:7">
      <c r="B26" s="397" t="s">
        <v>461</v>
      </c>
      <c r="C26" s="398"/>
      <c r="D26" s="398"/>
      <c r="E26" s="401"/>
    </row>
    <row r="27" spans="1:7">
      <c r="E27" s="418"/>
    </row>
    <row r="28" spans="1:7">
      <c r="E28" s="414"/>
    </row>
    <row r="30" spans="1:7" ht="18">
      <c r="A30" s="265" t="s">
        <v>463</v>
      </c>
    </row>
    <row r="31" spans="1:7" ht="18">
      <c r="A31" s="265" t="s">
        <v>464</v>
      </c>
    </row>
    <row r="33" spans="2:4">
      <c r="C33" s="423" t="s">
        <v>465</v>
      </c>
      <c r="D33" s="423" t="s">
        <v>466</v>
      </c>
    </row>
    <row r="34" spans="2:4">
      <c r="B34" s="419" t="s">
        <v>462</v>
      </c>
      <c r="C34" s="421"/>
      <c r="D34" s="421"/>
    </row>
    <row r="35" spans="2:4">
      <c r="B35" s="420">
        <v>0.05</v>
      </c>
      <c r="C35" s="422"/>
      <c r="D35" s="424"/>
    </row>
    <row r="36" spans="2:4">
      <c r="B36" s="420">
        <v>0.1</v>
      </c>
      <c r="C36" s="422"/>
      <c r="D36" s="424"/>
    </row>
    <row r="37" spans="2:4">
      <c r="B37" s="420">
        <v>0.15</v>
      </c>
      <c r="C37" s="422"/>
      <c r="D37" s="424"/>
    </row>
    <row r="38" spans="2:4">
      <c r="B38" s="420">
        <v>0.2</v>
      </c>
      <c r="C38" s="422"/>
      <c r="D38" s="424"/>
    </row>
    <row r="39" spans="2:4">
      <c r="B39" s="420">
        <v>0.25</v>
      </c>
      <c r="C39" s="422"/>
      <c r="D39" s="424"/>
    </row>
    <row r="40" spans="2:4">
      <c r="B40" s="420">
        <v>0.3</v>
      </c>
      <c r="C40" s="422"/>
      <c r="D40" s="424"/>
    </row>
    <row r="41" spans="2:4">
      <c r="B41" s="420">
        <v>0.35</v>
      </c>
      <c r="C41" s="422"/>
      <c r="D41" s="424"/>
    </row>
    <row r="42" spans="2:4">
      <c r="B42" s="420">
        <v>0.4</v>
      </c>
      <c r="C42" s="422"/>
      <c r="D42" s="424"/>
    </row>
    <row r="43" spans="2:4">
      <c r="B43" s="420">
        <v>0.45</v>
      </c>
      <c r="C43" s="422"/>
      <c r="D43" s="424"/>
    </row>
    <row r="44" spans="2:4">
      <c r="B44" s="420">
        <v>0.5</v>
      </c>
      <c r="C44" s="422"/>
      <c r="D44" s="424"/>
    </row>
  </sheetData>
  <phoneticPr fontId="21" type="noConversion"/>
  <pageMargins left="0.75" right="0.75" top="1" bottom="1" header="0.5" footer="0.5"/>
  <pageSetup orientation="portrait" r:id="rId1"/>
  <headerFooter alignWithMargins="0"/>
  <legacyDrawing r:id="rId2"/>
  <oleObjects>
    <oleObject progId="Equation.3" shapeId="25601" r:id="rId3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30</vt:i4>
      </vt:variant>
    </vt:vector>
  </HeadingPairs>
  <TitlesOfParts>
    <vt:vector size="48" baseType="lpstr">
      <vt:lpstr>Table of Contents</vt:lpstr>
      <vt:lpstr>Very Basics</vt:lpstr>
      <vt:lpstr>Navigating</vt:lpstr>
      <vt:lpstr>Copy &amp; Paste</vt:lpstr>
      <vt:lpstr>Formatting cells</vt:lpstr>
      <vt:lpstr>Formula</vt:lpstr>
      <vt:lpstr>Build-In Functions</vt:lpstr>
      <vt:lpstr>Build-In Functions (Time Value)</vt:lpstr>
      <vt:lpstr>Build-In Functions (Stat)</vt:lpstr>
      <vt:lpstr>Rand</vt:lpstr>
      <vt:lpstr>Security (Price Model)</vt:lpstr>
      <vt:lpstr>Data Table</vt:lpstr>
      <vt:lpstr>Pivot Table</vt:lpstr>
      <vt:lpstr>Solver</vt:lpstr>
      <vt:lpstr>Misc</vt:lpstr>
      <vt:lpstr>Normal Variates</vt:lpstr>
      <vt:lpstr>Monte Carlo</vt:lpstr>
      <vt:lpstr>BS</vt:lpstr>
      <vt:lpstr>_1_</vt:lpstr>
      <vt:lpstr>_2_</vt:lpstr>
      <vt:lpstr>_3_</vt:lpstr>
      <vt:lpstr>_4_</vt:lpstr>
      <vt:lpstr>_5_</vt:lpstr>
      <vt:lpstr>_6_</vt:lpstr>
      <vt:lpstr>BS_d1</vt:lpstr>
      <vt:lpstr>BS_d2</vt:lpstr>
      <vt:lpstr>BS_Dividend</vt:lpstr>
      <vt:lpstr>BS_DividendCC</vt:lpstr>
      <vt:lpstr>BS_Interest</vt:lpstr>
      <vt:lpstr>BS_InterestCC</vt:lpstr>
      <vt:lpstr>BS_Maturity</vt:lpstr>
      <vt:lpstr>BS_MaturityY</vt:lpstr>
      <vt:lpstr>BS_Spot</vt:lpstr>
      <vt:lpstr>BS_Strike</vt:lpstr>
      <vt:lpstr>BS_Volatility</vt:lpstr>
      <vt:lpstr>Go_To_This_Cell</vt:lpstr>
      <vt:lpstr>Interest_At_Maturity</vt:lpstr>
      <vt:lpstr>MC_Dividend</vt:lpstr>
      <vt:lpstr>MC_DividendCC</vt:lpstr>
      <vt:lpstr>MC_Interest</vt:lpstr>
      <vt:lpstr>MC_InterestCC</vt:lpstr>
      <vt:lpstr>MC_NumOfSteps</vt:lpstr>
      <vt:lpstr>MC_Spot</vt:lpstr>
      <vt:lpstr>MC_Step</vt:lpstr>
      <vt:lpstr>MC_StepY</vt:lpstr>
      <vt:lpstr>MC_Volatility</vt:lpstr>
      <vt:lpstr>One_Month_Fixed</vt:lpstr>
      <vt:lpstr>testrange</vt:lpstr>
    </vt:vector>
  </TitlesOfParts>
  <Company>SBC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cdshum</cp:lastModifiedBy>
  <cp:lastPrinted>2008-06-23T07:43:02Z</cp:lastPrinted>
  <dcterms:created xsi:type="dcterms:W3CDTF">1998-02-25T07:19:13Z</dcterms:created>
  <dcterms:modified xsi:type="dcterms:W3CDTF">2011-02-18T02:54:46Z</dcterms:modified>
</cp:coreProperties>
</file>