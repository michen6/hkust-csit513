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2.xml" ContentType="application/vnd.openxmlformats-officedocument.drawing+xml"/>
  <Override PartName="/xl/embeddings/oleObject1.bin" ContentType="application/vnd.openxmlformats-officedocument.oleObject"/>
  <Override PartName="/xl/ctrlProps/ctrlProp21.xml" ContentType="application/vnd.ms-excel.controlproperties+xml"/>
  <Override PartName="/xl/drawings/drawing13.xml" ContentType="application/vnd.openxmlformats-officedocument.drawing+xml"/>
  <Override PartName="/xl/embeddings/oleObject2.bin" ContentType="application/vnd.openxmlformats-officedocument.oleObject"/>
  <Override PartName="/xl/ctrlProps/ctrlProp22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-30" yWindow="-30" windowWidth="7530" windowHeight="5685" firstSheet="1" activeTab="1"/>
  </bookViews>
  <sheets>
    <sheet name="Sheet.m" sheetId="1" state="veryHidden" r:id=""/>
    <sheet name="Table of Contents" sheetId="3" r:id="rId1"/>
    <sheet name="Macro Recorder" sheetId="4920" r:id="rId2"/>
    <sheet name="Object" sheetId="4921" r:id="rId3"/>
    <sheet name="Basics" sheetId="4922" r:id="rId4"/>
    <sheet name="Variables" sheetId="4923" r:id="rId5"/>
    <sheet name="Constants" sheetId="4924" r:id="rId6"/>
    <sheet name="Operators" sheetId="4925" r:id="rId7"/>
    <sheet name="Statements" sheetId="4926" r:id="rId8"/>
    <sheet name="Array" sheetId="4927" r:id="rId9"/>
    <sheet name="Sub &amp; Function" sheetId="4928" r:id="rId10"/>
    <sheet name="Built-In Function" sheetId="4930" r:id="rId11"/>
    <sheet name="Box Muller" sheetId="4931" r:id="rId12"/>
    <sheet name="BS" sheetId="4929" r:id="rId13"/>
    <sheet name="Solver" sheetId="4932" r:id="rId14"/>
  </sheets>
  <functionGroups builtInGroupCount="17"/>
  <externalReferences>
    <externalReference r:id="rId15"/>
    <externalReference r:id="rId16"/>
    <externalReference r:id="rId17"/>
  </externalReferences>
  <definedNames>
    <definedName name="_1_">#REF!</definedName>
    <definedName name="_2_">#REF!</definedName>
    <definedName name="_3_">#REF!</definedName>
    <definedName name="_4_">#REF!</definedName>
    <definedName name="_5_">#REF!</definedName>
    <definedName name="_6_">#REF!</definedName>
    <definedName name="Basis">#REF!</definedName>
    <definedName name="BS_d1">[1]BS!$E$22</definedName>
    <definedName name="BS_d2">[1]BS!$E$23</definedName>
    <definedName name="BS_Dividend" localSheetId="13">BS!$E$12</definedName>
    <definedName name="BS_Dividend">#REF!</definedName>
    <definedName name="BS_DividendCC">[1]BS!$E$21</definedName>
    <definedName name="BS_Interest" localSheetId="13">BS!$E$10</definedName>
    <definedName name="BS_Interest">#REF!</definedName>
    <definedName name="BS_InterestCC">[1]BS!$E$20</definedName>
    <definedName name="BS_Maturity" localSheetId="13">BS!$E$9</definedName>
    <definedName name="BS_Maturity">#REF!</definedName>
    <definedName name="BS_MaturityY">[1]BS!$E$19</definedName>
    <definedName name="BS_Spot" localSheetId="13">BS!$E$7</definedName>
    <definedName name="BS_Spot">#REF!</definedName>
    <definedName name="BS_Strike" localSheetId="13">BS!$E$8</definedName>
    <definedName name="BS_Strike">#REF!</definedName>
    <definedName name="BS_Volatility" localSheetId="13">BS!$E$11</definedName>
    <definedName name="BS_Volatility">#REF!</definedName>
    <definedName name="ClearContents" localSheetId="9">Array!#REF!</definedName>
    <definedName name="ClearContents" localSheetId="4">Basics!#REF!</definedName>
    <definedName name="ClearContents" localSheetId="11">'Built-In Function'!#REF!</definedName>
    <definedName name="ClearContents" localSheetId="6">Constants!#REF!</definedName>
    <definedName name="ClearContents" localSheetId="7">Operators!#REF!</definedName>
    <definedName name="ClearContents" localSheetId="8">Statements!#REF!</definedName>
    <definedName name="ClearContents" localSheetId="10">'Sub &amp; Function'!#REF!</definedName>
    <definedName name="ClearContents" localSheetId="5">Variables!#REF!</definedName>
    <definedName name="ClearContents">Object!$B$11</definedName>
    <definedName name="Color_Constants">Constants!$A$14:$A$21</definedName>
    <definedName name="ComRate">[2]Lookup!$F$5:$G$7</definedName>
    <definedName name="Coupon">#REF!</definedName>
    <definedName name="Go_To_This_Cell">#REF!</definedName>
    <definedName name="Index">#REF!</definedName>
    <definedName name="Interest_At_Maturity">#REF!</definedName>
    <definedName name="Interest_Rate">#REF!</definedName>
    <definedName name="invA">[2]MatDef!$I$17:$K$19</definedName>
    <definedName name="Maturity_Date">#REF!</definedName>
    <definedName name="MC_Dividend">'[1]Monte Carlo'!$E$8</definedName>
    <definedName name="MC_DividendCC">'[1]Monte Carlo'!$E$21</definedName>
    <definedName name="MC_Interest">'[1]Monte Carlo'!$E$7</definedName>
    <definedName name="MC_InterestCC">'[1]Monte Carlo'!$E$20</definedName>
    <definedName name="MC_NumOfSteps">'[1]Monte Carlo'!$E$14</definedName>
    <definedName name="MC_Spot">'[1]Monte Carlo'!$E$6</definedName>
    <definedName name="MC_Step">'[1]Monte Carlo'!$E$13</definedName>
    <definedName name="MC_StepY">'[1]Monte Carlo'!$E$19</definedName>
    <definedName name="MC_Volatility">'[1]Monte Carlo'!$E$9</definedName>
    <definedName name="nvBM">'Box Muller'!$D$29:$D$1028</definedName>
    <definedName name="nvNI">'Box Muller'!$C$29:$C$1028</definedName>
    <definedName name="One_Month_Fixed">#REF!</definedName>
    <definedName name="Period" localSheetId="12">[1]Formula!#REF!</definedName>
    <definedName name="Period" localSheetId="13">[1]Formula!#REF!</definedName>
    <definedName name="Period">#REF!</definedName>
    <definedName name="Principal">#REF!</definedName>
    <definedName name="regoutput">[2]Beta!$E$8:$M$28</definedName>
    <definedName name="ShareA">#REF!</definedName>
    <definedName name="solver_adj" localSheetId="14" hidden="1">Solver!$B$13</definedName>
    <definedName name="solver_cvg" localSheetId="14" hidden="1">0.0001</definedName>
    <definedName name="solver_drv" localSheetId="14" hidden="1">1</definedName>
    <definedName name="solver_est" localSheetId="14" hidden="1">1</definedName>
    <definedName name="solver_itr" localSheetId="14" hidden="1">100</definedName>
    <definedName name="solver_lhs1" localSheetId="14" hidden="1">Solver!$B$13</definedName>
    <definedName name="solver_lhs2" localSheetId="14" hidden="1">Solver!$B$13</definedName>
    <definedName name="solver_lhs3" localSheetId="14" hidden="1">Solver!$B$13</definedName>
    <definedName name="solver_lhs4" localSheetId="14" hidden="1">Solver!$B$13</definedName>
    <definedName name="solver_lhs5" localSheetId="14" hidden="1">Solver!$B$13</definedName>
    <definedName name="solver_lhs6" localSheetId="14" hidden="1">Solver!$B$13</definedName>
    <definedName name="solver_lin" localSheetId="14" hidden="1">2</definedName>
    <definedName name="solver_neg" localSheetId="14" hidden="1">2</definedName>
    <definedName name="solver_num" localSheetId="14" hidden="1">2</definedName>
    <definedName name="solver_nwt" localSheetId="14" hidden="1">1</definedName>
    <definedName name="solver_opt" localSheetId="14" hidden="1">Solver!$B$9</definedName>
    <definedName name="solver_pre" localSheetId="14" hidden="1">0.000001</definedName>
    <definedName name="solver_rel1" localSheetId="14" hidden="1">1</definedName>
    <definedName name="solver_rel2" localSheetId="14" hidden="1">3</definedName>
    <definedName name="solver_rel3" localSheetId="14" hidden="1">1</definedName>
    <definedName name="solver_rel4" localSheetId="14" hidden="1">3</definedName>
    <definedName name="solver_rel5" localSheetId="14" hidden="1">1</definedName>
    <definedName name="solver_rel6" localSheetId="14" hidden="1">3</definedName>
    <definedName name="solver_rhs1" localSheetId="14" hidden="1">Solver!$B$18</definedName>
    <definedName name="solver_rhs2" localSheetId="14" hidden="1">Solver!$B$17</definedName>
    <definedName name="solver_rhs3" localSheetId="14" hidden="1">Solver!$B$18</definedName>
    <definedName name="solver_rhs4" localSheetId="14" hidden="1">Solver!$B$17</definedName>
    <definedName name="solver_rhs5" localSheetId="14" hidden="1">Solver!$B$18</definedName>
    <definedName name="solver_rhs6" localSheetId="14" hidden="1">Solver!$B$17</definedName>
    <definedName name="solver_scl" localSheetId="14" hidden="1">2</definedName>
    <definedName name="solver_sho" localSheetId="14" hidden="1">2</definedName>
    <definedName name="solver_tim" localSheetId="14" hidden="1">100</definedName>
    <definedName name="solver_tol" localSheetId="14" hidden="1">0.05</definedName>
    <definedName name="solver_typ" localSheetId="14" hidden="1">2</definedName>
    <definedName name="solver_val" localSheetId="14" hidden="1">0</definedName>
    <definedName name="Start_Date">#REF!</definedName>
    <definedName name="testrange">#REF!</definedName>
    <definedName name="Uniform">'Box Muller'!$B$29:$B$1028</definedName>
    <definedName name="xltocobjectmodelapplication" localSheetId="9">Array!#REF!</definedName>
    <definedName name="xltocobjectmodelapplication" localSheetId="4">Basics!$A$3</definedName>
    <definedName name="xltocobjectmodelapplication" localSheetId="11">'Built-In Function'!#REF!</definedName>
    <definedName name="xltocobjectmodelapplication" localSheetId="6">Constants!#REF!</definedName>
    <definedName name="xltocobjectmodelapplication" localSheetId="3">Object!$A$3</definedName>
    <definedName name="xltocobjectmodelapplication" localSheetId="7">Operators!#REF!</definedName>
    <definedName name="xltocobjectmodelapplication" localSheetId="8">Statements!#REF!</definedName>
    <definedName name="xltocobjectmodelapplication" localSheetId="10">'Sub &amp; Function'!#REF!</definedName>
    <definedName name="xltocobjectmodelapplication" localSheetId="5">Variables!$A$3</definedName>
    <definedName name="Y">[2]MatDef!$C$21:$C$23</definedName>
    <definedName name="YellowCells" localSheetId="9">Array!#REF!</definedName>
    <definedName name="YellowCells" localSheetId="4">Basics!#REF!</definedName>
    <definedName name="YellowCells" localSheetId="11">'Built-In Function'!#REF!</definedName>
    <definedName name="YellowCells" localSheetId="6">Constants!#REF!</definedName>
    <definedName name="YellowCells" localSheetId="7">Operators!#REF!</definedName>
    <definedName name="YellowCells" localSheetId="8">Statements!#REF!</definedName>
    <definedName name="YellowCells" localSheetId="10">'Sub &amp; Function'!#REF!</definedName>
    <definedName name="YellowCells" localSheetId="5">Variables!#REF!</definedName>
    <definedName name="YellowCells">Object!$B$23:$D$25</definedName>
  </definedNames>
  <calcPr calcId="144525"/>
</workbook>
</file>

<file path=xl/calcChain.xml><?xml version="1.0" encoding="utf-8"?>
<calcChain xmlns="http://schemas.openxmlformats.org/spreadsheetml/2006/main">
  <c r="B9" i="4932" l="1"/>
  <c r="J5" i="4932"/>
  <c r="J4" i="4932"/>
  <c r="G58" i="4931"/>
  <c r="G57" i="4931"/>
  <c r="C29" i="4931"/>
  <c r="C30" i="4931"/>
  <c r="C31" i="4931"/>
  <c r="C32" i="4931"/>
  <c r="C33" i="4931"/>
  <c r="C34" i="4931"/>
  <c r="C35" i="4931"/>
  <c r="C36" i="4931"/>
  <c r="C37" i="4931"/>
  <c r="C38" i="4931"/>
  <c r="C39" i="4931"/>
  <c r="C40" i="4931"/>
  <c r="C41" i="4931"/>
  <c r="C42" i="4931"/>
  <c r="C43" i="4931"/>
  <c r="C44" i="4931"/>
  <c r="C45" i="4931"/>
  <c r="C46" i="4931"/>
  <c r="C47" i="4931"/>
  <c r="C48" i="4931"/>
  <c r="C49" i="4931"/>
  <c r="C50" i="4931"/>
  <c r="C51" i="4931"/>
  <c r="C52" i="4931"/>
  <c r="C53" i="4931"/>
  <c r="C54" i="4931"/>
  <c r="C55" i="4931"/>
  <c r="C56" i="4931"/>
  <c r="C57" i="4931"/>
  <c r="C58" i="4931"/>
  <c r="C59" i="4931"/>
  <c r="C60" i="4931"/>
  <c r="C61" i="4931"/>
  <c r="C62" i="4931"/>
  <c r="C63" i="4931"/>
  <c r="C64" i="4931"/>
  <c r="C65" i="4931"/>
  <c r="C66" i="4931"/>
  <c r="C67" i="4931"/>
  <c r="C68" i="4931"/>
  <c r="C69" i="4931"/>
  <c r="C70" i="4931"/>
  <c r="C71" i="4931"/>
  <c r="C72" i="4931"/>
  <c r="C73" i="4931"/>
  <c r="C74" i="4931"/>
  <c r="C75" i="4931"/>
  <c r="C76" i="4931"/>
  <c r="C77" i="4931"/>
  <c r="C78" i="4931"/>
  <c r="C79" i="4931"/>
  <c r="C80" i="4931"/>
  <c r="C81" i="4931"/>
  <c r="C82" i="4931"/>
  <c r="C83" i="4931"/>
  <c r="C84" i="4931"/>
  <c r="C85" i="4931"/>
  <c r="C86" i="4931"/>
  <c r="C87" i="4931"/>
  <c r="C88" i="4931"/>
  <c r="C89" i="4931"/>
  <c r="C90" i="4931"/>
  <c r="C91" i="4931"/>
  <c r="C92" i="4931"/>
  <c r="C93" i="4931"/>
  <c r="C94" i="4931"/>
  <c r="C95" i="4931"/>
  <c r="C96" i="4931"/>
  <c r="C97" i="4931"/>
  <c r="C98" i="4931"/>
  <c r="C99" i="4931"/>
  <c r="C100" i="4931"/>
  <c r="C101" i="4931"/>
  <c r="C102" i="4931"/>
  <c r="C103" i="4931"/>
  <c r="C104" i="4931"/>
  <c r="C105" i="4931"/>
  <c r="C106" i="4931"/>
  <c r="C107" i="4931"/>
  <c r="C108" i="4931"/>
  <c r="C109" i="4931"/>
  <c r="C110" i="4931"/>
  <c r="C111" i="4931"/>
  <c r="C112" i="4931"/>
  <c r="C113" i="4931"/>
  <c r="C114" i="4931"/>
  <c r="C115" i="4931"/>
  <c r="C116" i="4931"/>
  <c r="C117" i="4931"/>
  <c r="C118" i="4931"/>
  <c r="C119" i="4931"/>
  <c r="C120" i="4931"/>
  <c r="C121" i="4931"/>
  <c r="C122" i="4931"/>
  <c r="C123" i="4931"/>
  <c r="C124" i="4931"/>
  <c r="C125" i="4931"/>
  <c r="C126" i="4931"/>
  <c r="C127" i="4931"/>
  <c r="C128" i="4931"/>
  <c r="C129" i="4931"/>
  <c r="C130" i="4931"/>
  <c r="C131" i="4931"/>
  <c r="C132" i="4931"/>
  <c r="C133" i="4931"/>
  <c r="C134" i="4931"/>
  <c r="C135" i="4931"/>
  <c r="C136" i="4931"/>
  <c r="C137" i="4931"/>
  <c r="C138" i="4931"/>
  <c r="C139" i="4931"/>
  <c r="C140" i="4931"/>
  <c r="C141" i="4931"/>
  <c r="C142" i="4931"/>
  <c r="C143" i="4931"/>
  <c r="C144" i="4931"/>
  <c r="C145" i="4931"/>
  <c r="C146" i="4931"/>
  <c r="C147" i="4931"/>
  <c r="C148" i="4931"/>
  <c r="C149" i="4931"/>
  <c r="C150" i="4931"/>
  <c r="C151" i="4931"/>
  <c r="C152" i="4931"/>
  <c r="C153" i="4931"/>
  <c r="C154" i="4931"/>
  <c r="C155" i="4931"/>
  <c r="C156" i="4931"/>
  <c r="C157" i="4931"/>
  <c r="C158" i="4931"/>
  <c r="C159" i="4931"/>
  <c r="C160" i="4931"/>
  <c r="C161" i="4931"/>
  <c r="C162" i="4931"/>
  <c r="C163" i="4931"/>
  <c r="C164" i="4931"/>
  <c r="C165" i="4931"/>
  <c r="C166" i="4931"/>
  <c r="C167" i="4931"/>
  <c r="C168" i="4931"/>
  <c r="C169" i="4931"/>
  <c r="C170" i="4931"/>
  <c r="C171" i="4931"/>
  <c r="C172" i="4931"/>
  <c r="C173" i="4931"/>
  <c r="C174" i="4931"/>
  <c r="C175" i="4931"/>
  <c r="C176" i="4931"/>
  <c r="C177" i="4931"/>
  <c r="C178" i="4931"/>
  <c r="C179" i="4931"/>
  <c r="C180" i="4931"/>
  <c r="C181" i="4931"/>
  <c r="C182" i="4931"/>
  <c r="C183" i="4931"/>
  <c r="C184" i="4931"/>
  <c r="C185" i="4931"/>
  <c r="C186" i="4931"/>
  <c r="C187" i="4931"/>
  <c r="C188" i="4931"/>
  <c r="C189" i="4931"/>
  <c r="C190" i="4931"/>
  <c r="C191" i="4931"/>
  <c r="C192" i="4931"/>
  <c r="C193" i="4931"/>
  <c r="C194" i="4931"/>
  <c r="C195" i="4931"/>
  <c r="C196" i="4931"/>
  <c r="C197" i="4931"/>
  <c r="C198" i="4931"/>
  <c r="C199" i="4931"/>
  <c r="C200" i="4931"/>
  <c r="C201" i="4931"/>
  <c r="C202" i="4931"/>
  <c r="C203" i="4931"/>
  <c r="C204" i="4931"/>
  <c r="C205" i="4931"/>
  <c r="C206" i="4931"/>
  <c r="C207" i="4931"/>
  <c r="C208" i="4931"/>
  <c r="C209" i="4931"/>
  <c r="C210" i="4931"/>
  <c r="C211" i="4931"/>
  <c r="C212" i="4931"/>
  <c r="C213" i="4931"/>
  <c r="C214" i="4931"/>
  <c r="C215" i="4931"/>
  <c r="C216" i="4931"/>
  <c r="C217" i="4931"/>
  <c r="C218" i="4931"/>
  <c r="C219" i="4931"/>
  <c r="C220" i="4931"/>
  <c r="C221" i="4931"/>
  <c r="C222" i="4931"/>
  <c r="C223" i="4931"/>
  <c r="C224" i="4931"/>
  <c r="C225" i="4931"/>
  <c r="C226" i="4931"/>
  <c r="C227" i="4931"/>
  <c r="C228" i="4931"/>
  <c r="C229" i="4931"/>
  <c r="C230" i="4931"/>
  <c r="C231" i="4931"/>
  <c r="C232" i="4931"/>
  <c r="C233" i="4931"/>
  <c r="C234" i="4931"/>
  <c r="C235" i="4931"/>
  <c r="C236" i="4931"/>
  <c r="C237" i="4931"/>
  <c r="C238" i="4931"/>
  <c r="C239" i="4931"/>
  <c r="C240" i="4931"/>
  <c r="C241" i="4931"/>
  <c r="C242" i="4931"/>
  <c r="C243" i="4931"/>
  <c r="C244" i="4931"/>
  <c r="C245" i="4931"/>
  <c r="C246" i="4931"/>
  <c r="C247" i="4931"/>
  <c r="C248" i="4931"/>
  <c r="C249" i="4931"/>
  <c r="C250" i="4931"/>
  <c r="C251" i="4931"/>
  <c r="C252" i="4931"/>
  <c r="C253" i="4931"/>
  <c r="C254" i="4931"/>
  <c r="C255" i="4931"/>
  <c r="C256" i="4931"/>
  <c r="C257" i="4931"/>
  <c r="C258" i="4931"/>
  <c r="C259" i="4931"/>
  <c r="C260" i="4931"/>
  <c r="C261" i="4931"/>
  <c r="C262" i="4931"/>
  <c r="C263" i="4931"/>
  <c r="C264" i="4931"/>
  <c r="C265" i="4931"/>
  <c r="C266" i="4931"/>
  <c r="C267" i="4931"/>
  <c r="C268" i="4931"/>
  <c r="C269" i="4931"/>
  <c r="C270" i="4931"/>
  <c r="C271" i="4931"/>
  <c r="C272" i="4931"/>
  <c r="C273" i="4931"/>
  <c r="C274" i="4931"/>
  <c r="C275" i="4931"/>
  <c r="C276" i="4931"/>
  <c r="C277" i="4931"/>
  <c r="C278" i="4931"/>
  <c r="C279" i="4931"/>
  <c r="C280" i="4931"/>
  <c r="C281" i="4931"/>
  <c r="C282" i="4931"/>
  <c r="C283" i="4931"/>
  <c r="C284" i="4931"/>
  <c r="C285" i="4931"/>
  <c r="C286" i="4931"/>
  <c r="C287" i="4931"/>
  <c r="C288" i="4931"/>
  <c r="C289" i="4931"/>
  <c r="C290" i="4931"/>
  <c r="C291" i="4931"/>
  <c r="C292" i="4931"/>
  <c r="C293" i="4931"/>
  <c r="C294" i="4931"/>
  <c r="C295" i="4931"/>
  <c r="C296" i="4931"/>
  <c r="C297" i="4931"/>
  <c r="C298" i="4931"/>
  <c r="C299" i="4931"/>
  <c r="C300" i="4931"/>
  <c r="C301" i="4931"/>
  <c r="C302" i="4931"/>
  <c r="C303" i="4931"/>
  <c r="C304" i="4931"/>
  <c r="C305" i="4931"/>
  <c r="C306" i="4931"/>
  <c r="C307" i="4931"/>
  <c r="C308" i="4931"/>
  <c r="C309" i="4931"/>
  <c r="C310" i="4931"/>
  <c r="C311" i="4931"/>
  <c r="C312" i="4931"/>
  <c r="C313" i="4931"/>
  <c r="C314" i="4931"/>
  <c r="C315" i="4931"/>
  <c r="C316" i="4931"/>
  <c r="C317" i="4931"/>
  <c r="C318" i="4931"/>
  <c r="C319" i="4931"/>
  <c r="C320" i="4931"/>
  <c r="C321" i="4931"/>
  <c r="C322" i="4931"/>
  <c r="C323" i="4931"/>
  <c r="C324" i="4931"/>
  <c r="C325" i="4931"/>
  <c r="C326" i="4931"/>
  <c r="C327" i="4931"/>
  <c r="C328" i="4931"/>
  <c r="C329" i="4931"/>
  <c r="C330" i="4931"/>
  <c r="C331" i="4931"/>
  <c r="C332" i="4931"/>
  <c r="C333" i="4931"/>
  <c r="C334" i="4931"/>
  <c r="C335" i="4931"/>
  <c r="C336" i="4931"/>
  <c r="C337" i="4931"/>
  <c r="C338" i="4931"/>
  <c r="C339" i="4931"/>
  <c r="C340" i="4931"/>
  <c r="C341" i="4931"/>
  <c r="C342" i="4931"/>
  <c r="C343" i="4931"/>
  <c r="C344" i="4931"/>
  <c r="C345" i="4931"/>
  <c r="C346" i="4931"/>
  <c r="C347" i="4931"/>
  <c r="C348" i="4931"/>
  <c r="C349" i="4931"/>
  <c r="C350" i="4931"/>
  <c r="C351" i="4931"/>
  <c r="C352" i="4931"/>
  <c r="C353" i="4931"/>
  <c r="C354" i="4931"/>
  <c r="C355" i="4931"/>
  <c r="C356" i="4931"/>
  <c r="C357" i="4931"/>
  <c r="C358" i="4931"/>
  <c r="C359" i="4931"/>
  <c r="C360" i="4931"/>
  <c r="C361" i="4931"/>
  <c r="C362" i="4931"/>
  <c r="C363" i="4931"/>
  <c r="C364" i="4931"/>
  <c r="C365" i="4931"/>
  <c r="C366" i="4931"/>
  <c r="C367" i="4931"/>
  <c r="C368" i="4931"/>
  <c r="C369" i="4931"/>
  <c r="C370" i="4931"/>
  <c r="C371" i="4931"/>
  <c r="C372" i="4931"/>
  <c r="C373" i="4931"/>
  <c r="C374" i="4931"/>
  <c r="C375" i="4931"/>
  <c r="C376" i="4931"/>
  <c r="C377" i="4931"/>
  <c r="C378" i="4931"/>
  <c r="C379" i="4931"/>
  <c r="C380" i="4931"/>
  <c r="C381" i="4931"/>
  <c r="C382" i="4931"/>
  <c r="C383" i="4931"/>
  <c r="C384" i="4931"/>
  <c r="C385" i="4931"/>
  <c r="C386" i="4931"/>
  <c r="C387" i="4931"/>
  <c r="C388" i="4931"/>
  <c r="C389" i="4931"/>
  <c r="C390" i="4931"/>
  <c r="C391" i="4931"/>
  <c r="C392" i="4931"/>
  <c r="C393" i="4931"/>
  <c r="C394" i="4931"/>
  <c r="C395" i="4931"/>
  <c r="C396" i="4931"/>
  <c r="C397" i="4931"/>
  <c r="C398" i="4931"/>
  <c r="C399" i="4931"/>
  <c r="C400" i="4931"/>
  <c r="C401" i="4931"/>
  <c r="C402" i="4931"/>
  <c r="C403" i="4931"/>
  <c r="C404" i="4931"/>
  <c r="C405" i="4931"/>
  <c r="C406" i="4931"/>
  <c r="C407" i="4931"/>
  <c r="C408" i="4931"/>
  <c r="C409" i="4931"/>
  <c r="C410" i="4931"/>
  <c r="C411" i="4931"/>
  <c r="C412" i="4931"/>
  <c r="C413" i="4931"/>
  <c r="C414" i="4931"/>
  <c r="C415" i="4931"/>
  <c r="C416" i="4931"/>
  <c r="C417" i="4931"/>
  <c r="C418" i="4931"/>
  <c r="C419" i="4931"/>
  <c r="C420" i="4931"/>
  <c r="C421" i="4931"/>
  <c r="C422" i="4931"/>
  <c r="C423" i="4931"/>
  <c r="C424" i="4931"/>
  <c r="C425" i="4931"/>
  <c r="C426" i="4931"/>
  <c r="C427" i="4931"/>
  <c r="C428" i="4931"/>
  <c r="C429" i="4931"/>
  <c r="C430" i="4931"/>
  <c r="C431" i="4931"/>
  <c r="C432" i="4931"/>
  <c r="C433" i="4931"/>
  <c r="C434" i="4931"/>
  <c r="C435" i="4931"/>
  <c r="C436" i="4931"/>
  <c r="C437" i="4931"/>
  <c r="C438" i="4931"/>
  <c r="C439" i="4931"/>
  <c r="C440" i="4931"/>
  <c r="C441" i="4931"/>
  <c r="C442" i="4931"/>
  <c r="C443" i="4931"/>
  <c r="C444" i="4931"/>
  <c r="C445" i="4931"/>
  <c r="C446" i="4931"/>
  <c r="C447" i="4931"/>
  <c r="C448" i="4931"/>
  <c r="C449" i="4931"/>
  <c r="C450" i="4931"/>
  <c r="C451" i="4931"/>
  <c r="C452" i="4931"/>
  <c r="C453" i="4931"/>
  <c r="C454" i="4931"/>
  <c r="C455" i="4931"/>
  <c r="C456" i="4931"/>
  <c r="C457" i="4931"/>
  <c r="C458" i="4931"/>
  <c r="C459" i="4931"/>
  <c r="C460" i="4931"/>
  <c r="C461" i="4931"/>
  <c r="C462" i="4931"/>
  <c r="C463" i="4931"/>
  <c r="C464" i="4931"/>
  <c r="C465" i="4931"/>
  <c r="C466" i="4931"/>
  <c r="C467" i="4931"/>
  <c r="C468" i="4931"/>
  <c r="C469" i="4931"/>
  <c r="C470" i="4931"/>
  <c r="C471" i="4931"/>
  <c r="C472" i="4931"/>
  <c r="C473" i="4931"/>
  <c r="C474" i="4931"/>
  <c r="C475" i="4931"/>
  <c r="C476" i="4931"/>
  <c r="C477" i="4931"/>
  <c r="C478" i="4931"/>
  <c r="C479" i="4931"/>
  <c r="C480" i="4931"/>
  <c r="C481" i="4931"/>
  <c r="C482" i="4931"/>
  <c r="C483" i="4931"/>
  <c r="C484" i="4931"/>
  <c r="C485" i="4931"/>
  <c r="C486" i="4931"/>
  <c r="C487" i="4931"/>
  <c r="C488" i="4931"/>
  <c r="C489" i="4931"/>
  <c r="C490" i="4931"/>
  <c r="C491" i="4931"/>
  <c r="C492" i="4931"/>
  <c r="C493" i="4931"/>
  <c r="C494" i="4931"/>
  <c r="C495" i="4931"/>
  <c r="C496" i="4931"/>
  <c r="C497" i="4931"/>
  <c r="C498" i="4931"/>
  <c r="C499" i="4931"/>
  <c r="C500" i="4931"/>
  <c r="C501" i="4931"/>
  <c r="C502" i="4931"/>
  <c r="C503" i="4931"/>
  <c r="C504" i="4931"/>
  <c r="C505" i="4931"/>
  <c r="C506" i="4931"/>
  <c r="C507" i="4931"/>
  <c r="C508" i="4931"/>
  <c r="C509" i="4931"/>
  <c r="C510" i="4931"/>
  <c r="C511" i="4931"/>
  <c r="C512" i="4931"/>
  <c r="C513" i="4931"/>
  <c r="C514" i="4931"/>
  <c r="C515" i="4931"/>
  <c r="C516" i="4931"/>
  <c r="C517" i="4931"/>
  <c r="C518" i="4931"/>
  <c r="C519" i="4931"/>
  <c r="C520" i="4931"/>
  <c r="C521" i="4931"/>
  <c r="C522" i="4931"/>
  <c r="C523" i="4931"/>
  <c r="C524" i="4931"/>
  <c r="C525" i="4931"/>
  <c r="C526" i="4931"/>
  <c r="C527" i="4931"/>
  <c r="C528" i="4931"/>
  <c r="C529" i="4931"/>
  <c r="C530" i="4931"/>
  <c r="C531" i="4931"/>
  <c r="C532" i="4931"/>
  <c r="C533" i="4931"/>
  <c r="C534" i="4931"/>
  <c r="C535" i="4931"/>
  <c r="C536" i="4931"/>
  <c r="C537" i="4931"/>
  <c r="C538" i="4931"/>
  <c r="C539" i="4931"/>
  <c r="C540" i="4931"/>
  <c r="C541" i="4931"/>
  <c r="C542" i="4931"/>
  <c r="C543" i="4931"/>
  <c r="C544" i="4931"/>
  <c r="C545" i="4931"/>
  <c r="C546" i="4931"/>
  <c r="C547" i="4931"/>
  <c r="C548" i="4931"/>
  <c r="C549" i="4931"/>
  <c r="C550" i="4931"/>
  <c r="C551" i="4931"/>
  <c r="C552" i="4931"/>
  <c r="C553" i="4931"/>
  <c r="C554" i="4931"/>
  <c r="C555" i="4931"/>
  <c r="C556" i="4931"/>
  <c r="C557" i="4931"/>
  <c r="C558" i="4931"/>
  <c r="C559" i="4931"/>
  <c r="C560" i="4931"/>
  <c r="C561" i="4931"/>
  <c r="C562" i="4931"/>
  <c r="C563" i="4931"/>
  <c r="C564" i="4931"/>
  <c r="C565" i="4931"/>
  <c r="C566" i="4931"/>
  <c r="C567" i="4931"/>
  <c r="C568" i="4931"/>
  <c r="C569" i="4931"/>
  <c r="C570" i="4931"/>
  <c r="C571" i="4931"/>
  <c r="C572" i="4931"/>
  <c r="C573" i="4931"/>
  <c r="C574" i="4931"/>
  <c r="C575" i="4931"/>
  <c r="C576" i="4931"/>
  <c r="C577" i="4931"/>
  <c r="C578" i="4931"/>
  <c r="C579" i="4931"/>
  <c r="C580" i="4931"/>
  <c r="C581" i="4931"/>
  <c r="C582" i="4931"/>
  <c r="C583" i="4931"/>
  <c r="C584" i="4931"/>
  <c r="C585" i="4931"/>
  <c r="C586" i="4931"/>
  <c r="C587" i="4931"/>
  <c r="C588" i="4931"/>
  <c r="C589" i="4931"/>
  <c r="C590" i="4931"/>
  <c r="C591" i="4931"/>
  <c r="C592" i="4931"/>
  <c r="C593" i="4931"/>
  <c r="C594" i="4931"/>
  <c r="C595" i="4931"/>
  <c r="C596" i="4931"/>
  <c r="C597" i="4931"/>
  <c r="C598" i="4931"/>
  <c r="C599" i="4931"/>
  <c r="C600" i="4931"/>
  <c r="C601" i="4931"/>
  <c r="C602" i="4931"/>
  <c r="C603" i="4931"/>
  <c r="C604" i="4931"/>
  <c r="C605" i="4931"/>
  <c r="C606" i="4931"/>
  <c r="C607" i="4931"/>
  <c r="C608" i="4931"/>
  <c r="C609" i="4931"/>
  <c r="C610" i="4931"/>
  <c r="C611" i="4931"/>
  <c r="C612" i="4931"/>
  <c r="C613" i="4931"/>
  <c r="C614" i="4931"/>
  <c r="C615" i="4931"/>
  <c r="C616" i="4931"/>
  <c r="C617" i="4931"/>
  <c r="C618" i="4931"/>
  <c r="C619" i="4931"/>
  <c r="C620" i="4931"/>
  <c r="C621" i="4931"/>
  <c r="C622" i="4931"/>
  <c r="C623" i="4931"/>
  <c r="C624" i="4931"/>
  <c r="C625" i="4931"/>
  <c r="C626" i="4931"/>
  <c r="C627" i="4931"/>
  <c r="C628" i="4931"/>
  <c r="C629" i="4931"/>
  <c r="C630" i="4931"/>
  <c r="C631" i="4931"/>
  <c r="C632" i="4931"/>
  <c r="C633" i="4931"/>
  <c r="C634" i="4931"/>
  <c r="C635" i="4931"/>
  <c r="C636" i="4931"/>
  <c r="C637" i="4931"/>
  <c r="C638" i="4931"/>
  <c r="C639" i="4931"/>
  <c r="C640" i="4931"/>
  <c r="C641" i="4931"/>
  <c r="C642" i="4931"/>
  <c r="C643" i="4931"/>
  <c r="C644" i="4931"/>
  <c r="C645" i="4931"/>
  <c r="C646" i="4931"/>
  <c r="C647" i="4931"/>
  <c r="C648" i="4931"/>
  <c r="C649" i="4931"/>
  <c r="C650" i="4931"/>
  <c r="C651" i="4931"/>
  <c r="C652" i="4931"/>
  <c r="C653" i="4931"/>
  <c r="C654" i="4931"/>
  <c r="C655" i="4931"/>
  <c r="C656" i="4931"/>
  <c r="C657" i="4931"/>
  <c r="C658" i="4931"/>
  <c r="C659" i="4931"/>
  <c r="C660" i="4931"/>
  <c r="C661" i="4931"/>
  <c r="C662" i="4931"/>
  <c r="C663" i="4931"/>
  <c r="C664" i="4931"/>
  <c r="C665" i="4931"/>
  <c r="C666" i="4931"/>
  <c r="C667" i="4931"/>
  <c r="C668" i="4931"/>
  <c r="C669" i="4931"/>
  <c r="C670" i="4931"/>
  <c r="C671" i="4931"/>
  <c r="C672" i="4931"/>
  <c r="C673" i="4931"/>
  <c r="C674" i="4931"/>
  <c r="C675" i="4931"/>
  <c r="C676" i="4931"/>
  <c r="C677" i="4931"/>
  <c r="C678" i="4931"/>
  <c r="C679" i="4931"/>
  <c r="C680" i="4931"/>
  <c r="C681" i="4931"/>
  <c r="C682" i="4931"/>
  <c r="C683" i="4931"/>
  <c r="C684" i="4931"/>
  <c r="C685" i="4931"/>
  <c r="C686" i="4931"/>
  <c r="C687" i="4931"/>
  <c r="C688" i="4931"/>
  <c r="C689" i="4931"/>
  <c r="C690" i="4931"/>
  <c r="C691" i="4931"/>
  <c r="C692" i="4931"/>
  <c r="C693" i="4931"/>
  <c r="C694" i="4931"/>
  <c r="C695" i="4931"/>
  <c r="C696" i="4931"/>
  <c r="C697" i="4931"/>
  <c r="C698" i="4931"/>
  <c r="C699" i="4931"/>
  <c r="C700" i="4931"/>
  <c r="C701" i="4931"/>
  <c r="C702" i="4931"/>
  <c r="C703" i="4931"/>
  <c r="C704" i="4931"/>
  <c r="C705" i="4931"/>
  <c r="C706" i="4931"/>
  <c r="C707" i="4931"/>
  <c r="C708" i="4931"/>
  <c r="C709" i="4931"/>
  <c r="C710" i="4931"/>
  <c r="C711" i="4931"/>
  <c r="C712" i="4931"/>
  <c r="C713" i="4931"/>
  <c r="C714" i="4931"/>
  <c r="C715" i="4931"/>
  <c r="C716" i="4931"/>
  <c r="C717" i="4931"/>
  <c r="C718" i="4931"/>
  <c r="C719" i="4931"/>
  <c r="C720" i="4931"/>
  <c r="C721" i="4931"/>
  <c r="C722" i="4931"/>
  <c r="C723" i="4931"/>
  <c r="C724" i="4931"/>
  <c r="C725" i="4931"/>
  <c r="C726" i="4931"/>
  <c r="C727" i="4931"/>
  <c r="C728" i="4931"/>
  <c r="C729" i="4931"/>
  <c r="C730" i="4931"/>
  <c r="C731" i="4931"/>
  <c r="C732" i="4931"/>
  <c r="C733" i="4931"/>
  <c r="C734" i="4931"/>
  <c r="C735" i="4931"/>
  <c r="C736" i="4931"/>
  <c r="C737" i="4931"/>
  <c r="C738" i="4931"/>
  <c r="C739" i="4931"/>
  <c r="C740" i="4931"/>
  <c r="C741" i="4931"/>
  <c r="C742" i="4931"/>
  <c r="C743" i="4931"/>
  <c r="C744" i="4931"/>
  <c r="C745" i="4931"/>
  <c r="C746" i="4931"/>
  <c r="C747" i="4931"/>
  <c r="C748" i="4931"/>
  <c r="C749" i="4931"/>
  <c r="C750" i="4931"/>
  <c r="C751" i="4931"/>
  <c r="C752" i="4931"/>
  <c r="C753" i="4931"/>
  <c r="C754" i="4931"/>
  <c r="C755" i="4931"/>
  <c r="C756" i="4931"/>
  <c r="C757" i="4931"/>
  <c r="C758" i="4931"/>
  <c r="C759" i="4931"/>
  <c r="C760" i="4931"/>
  <c r="C761" i="4931"/>
  <c r="C762" i="4931"/>
  <c r="C763" i="4931"/>
  <c r="C764" i="4931"/>
  <c r="C765" i="4931"/>
  <c r="C766" i="4931"/>
  <c r="C767" i="4931"/>
  <c r="C768" i="4931"/>
  <c r="C769" i="4931"/>
  <c r="C770" i="4931"/>
  <c r="C771" i="4931"/>
  <c r="C772" i="4931"/>
  <c r="C773" i="4931"/>
  <c r="C774" i="4931"/>
  <c r="C775" i="4931"/>
  <c r="C776" i="4931"/>
  <c r="C777" i="4931"/>
  <c r="C778" i="4931"/>
  <c r="C779" i="4931"/>
  <c r="C780" i="4931"/>
  <c r="C781" i="4931"/>
  <c r="C782" i="4931"/>
  <c r="C783" i="4931"/>
  <c r="C784" i="4931"/>
  <c r="C785" i="4931"/>
  <c r="C786" i="4931"/>
  <c r="C787" i="4931"/>
  <c r="C788" i="4931"/>
  <c r="C789" i="4931"/>
  <c r="C790" i="4931"/>
  <c r="C791" i="4931"/>
  <c r="C792" i="4931"/>
  <c r="C793" i="4931"/>
  <c r="C794" i="4931"/>
  <c r="C795" i="4931"/>
  <c r="C796" i="4931"/>
  <c r="C797" i="4931"/>
  <c r="C798" i="4931"/>
  <c r="C799" i="4931"/>
  <c r="C800" i="4931"/>
  <c r="C801" i="4931"/>
  <c r="C802" i="4931"/>
  <c r="C803" i="4931"/>
  <c r="C804" i="4931"/>
  <c r="C805" i="4931"/>
  <c r="C806" i="4931"/>
  <c r="C807" i="4931"/>
  <c r="C808" i="4931"/>
  <c r="C809" i="4931"/>
  <c r="C810" i="4931"/>
  <c r="C811" i="4931"/>
  <c r="C812" i="4931"/>
  <c r="C813" i="4931"/>
  <c r="C814" i="4931"/>
  <c r="C815" i="4931"/>
  <c r="C816" i="4931"/>
  <c r="C817" i="4931"/>
  <c r="C818" i="4931"/>
  <c r="C819" i="4931"/>
  <c r="C820" i="4931"/>
  <c r="C821" i="4931"/>
  <c r="C822" i="4931"/>
  <c r="C823" i="4931"/>
  <c r="C824" i="4931"/>
  <c r="C825" i="4931"/>
  <c r="C826" i="4931"/>
  <c r="C827" i="4931"/>
  <c r="C828" i="4931"/>
  <c r="C829" i="4931"/>
  <c r="C830" i="4931"/>
  <c r="C831" i="4931"/>
  <c r="C832" i="4931"/>
  <c r="C833" i="4931"/>
  <c r="C834" i="4931"/>
  <c r="C835" i="4931"/>
  <c r="C836" i="4931"/>
  <c r="C837" i="4931"/>
  <c r="C838" i="4931"/>
  <c r="C839" i="4931"/>
  <c r="C840" i="4931"/>
  <c r="C841" i="4931"/>
  <c r="C842" i="4931"/>
  <c r="C843" i="4931"/>
  <c r="C844" i="4931"/>
  <c r="C845" i="4931"/>
  <c r="C846" i="4931"/>
  <c r="C847" i="4931"/>
  <c r="C848" i="4931"/>
  <c r="C849" i="4931"/>
  <c r="C850" i="4931"/>
  <c r="C851" i="4931"/>
  <c r="C852" i="4931"/>
  <c r="C853" i="4931"/>
  <c r="C854" i="4931"/>
  <c r="C855" i="4931"/>
  <c r="C856" i="4931"/>
  <c r="C857" i="4931"/>
  <c r="C858" i="4931"/>
  <c r="C859" i="4931"/>
  <c r="C860" i="4931"/>
  <c r="C861" i="4931"/>
  <c r="C862" i="4931"/>
  <c r="C863" i="4931"/>
  <c r="C864" i="4931"/>
  <c r="C865" i="4931"/>
  <c r="C866" i="4931"/>
  <c r="C867" i="4931"/>
  <c r="C868" i="4931"/>
  <c r="C869" i="4931"/>
  <c r="C870" i="4931"/>
  <c r="C871" i="4931"/>
  <c r="C872" i="4931"/>
  <c r="C873" i="4931"/>
  <c r="C874" i="4931"/>
  <c r="C875" i="4931"/>
  <c r="C876" i="4931"/>
  <c r="C877" i="4931"/>
  <c r="C878" i="4931"/>
  <c r="C879" i="4931"/>
  <c r="C880" i="4931"/>
  <c r="C881" i="4931"/>
  <c r="C882" i="4931"/>
  <c r="C883" i="4931"/>
  <c r="C884" i="4931"/>
  <c r="C885" i="4931"/>
  <c r="C886" i="4931"/>
  <c r="C887" i="4931"/>
  <c r="C888" i="4931"/>
  <c r="C889" i="4931"/>
  <c r="C890" i="4931"/>
  <c r="C891" i="4931"/>
  <c r="C892" i="4931"/>
  <c r="C893" i="4931"/>
  <c r="C894" i="4931"/>
  <c r="C895" i="4931"/>
  <c r="C896" i="4931"/>
  <c r="C897" i="4931"/>
  <c r="C898" i="4931"/>
  <c r="C899" i="4931"/>
  <c r="C900" i="4931"/>
  <c r="C901" i="4931"/>
  <c r="C902" i="4931"/>
  <c r="C903" i="4931"/>
  <c r="C904" i="4931"/>
  <c r="C905" i="4931"/>
  <c r="C906" i="4931"/>
  <c r="C907" i="4931"/>
  <c r="C908" i="4931"/>
  <c r="C909" i="4931"/>
  <c r="C910" i="4931"/>
  <c r="C911" i="4931"/>
  <c r="C912" i="4931"/>
  <c r="C913" i="4931"/>
  <c r="C914" i="4931"/>
  <c r="C915" i="4931"/>
  <c r="C916" i="4931"/>
  <c r="C917" i="4931"/>
  <c r="C918" i="4931"/>
  <c r="C919" i="4931"/>
  <c r="C920" i="4931"/>
  <c r="C921" i="4931"/>
  <c r="C922" i="4931"/>
  <c r="C923" i="4931"/>
  <c r="C924" i="4931"/>
  <c r="C925" i="4931"/>
  <c r="C926" i="4931"/>
  <c r="C927" i="4931"/>
  <c r="C928" i="4931"/>
  <c r="C929" i="4931"/>
  <c r="C930" i="4931"/>
  <c r="C931" i="4931"/>
  <c r="C932" i="4931"/>
  <c r="C933" i="4931"/>
  <c r="C934" i="4931"/>
  <c r="C935" i="4931"/>
  <c r="C936" i="4931"/>
  <c r="C937" i="4931"/>
  <c r="C938" i="4931"/>
  <c r="C939" i="4931"/>
  <c r="C940" i="4931"/>
  <c r="C941" i="4931"/>
  <c r="C942" i="4931"/>
  <c r="C943" i="4931"/>
  <c r="C944" i="4931"/>
  <c r="C945" i="4931"/>
  <c r="C946" i="4931"/>
  <c r="C947" i="4931"/>
  <c r="C948" i="4931"/>
  <c r="C949" i="4931"/>
  <c r="C950" i="4931"/>
  <c r="C951" i="4931"/>
  <c r="C952" i="4931"/>
  <c r="C953" i="4931"/>
  <c r="C954" i="4931"/>
  <c r="C955" i="4931"/>
  <c r="C956" i="4931"/>
  <c r="C957" i="4931"/>
  <c r="C958" i="4931"/>
  <c r="C959" i="4931"/>
  <c r="C960" i="4931"/>
  <c r="C961" i="4931"/>
  <c r="C962" i="4931"/>
  <c r="C963" i="4931"/>
  <c r="C964" i="4931"/>
  <c r="C965" i="4931"/>
  <c r="C966" i="4931"/>
  <c r="C967" i="4931"/>
  <c r="C968" i="4931"/>
  <c r="C969" i="4931"/>
  <c r="C970" i="4931"/>
  <c r="C971" i="4931"/>
  <c r="C972" i="4931"/>
  <c r="C973" i="4931"/>
  <c r="C974" i="4931"/>
  <c r="C975" i="4931"/>
  <c r="C976" i="4931"/>
  <c r="C977" i="4931"/>
  <c r="C978" i="4931"/>
  <c r="C979" i="4931"/>
  <c r="C980" i="4931"/>
  <c r="C981" i="4931"/>
  <c r="C982" i="4931"/>
  <c r="C983" i="4931"/>
  <c r="C984" i="4931"/>
  <c r="C985" i="4931"/>
  <c r="C986" i="4931"/>
  <c r="C987" i="4931"/>
  <c r="C988" i="4931"/>
  <c r="C989" i="4931"/>
  <c r="C990" i="4931"/>
  <c r="C991" i="4931"/>
  <c r="C992" i="4931"/>
  <c r="C993" i="4931"/>
  <c r="C994" i="4931"/>
  <c r="C995" i="4931"/>
  <c r="C996" i="4931"/>
  <c r="C997" i="4931"/>
  <c r="C998" i="4931"/>
  <c r="C999" i="4931"/>
  <c r="C1000" i="4931"/>
  <c r="C1001" i="4931"/>
  <c r="C1002" i="4931"/>
  <c r="C1003" i="4931"/>
  <c r="C1004" i="4931"/>
  <c r="C1005" i="4931"/>
  <c r="C1006" i="4931"/>
  <c r="C1007" i="4931"/>
  <c r="C1008" i="4931"/>
  <c r="C1009" i="4931"/>
  <c r="C1010" i="4931"/>
  <c r="C1011" i="4931"/>
  <c r="C1012" i="4931"/>
  <c r="C1013" i="4931"/>
  <c r="C1014" i="4931"/>
  <c r="C1015" i="4931"/>
  <c r="C1016" i="4931"/>
  <c r="C1017" i="4931"/>
  <c r="C1018" i="4931"/>
  <c r="C1019" i="4931"/>
  <c r="C1020" i="4931"/>
  <c r="C1021" i="4931"/>
  <c r="C1022" i="4931"/>
  <c r="C1023" i="4931"/>
  <c r="C1024" i="4931"/>
  <c r="C1025" i="4931"/>
  <c r="C1026" i="4931"/>
  <c r="C1027" i="4931"/>
  <c r="C1028" i="4931"/>
  <c r="G62" i="4931" a="1"/>
  <c r="G62" i="4931" s="1"/>
  <c r="E19" i="4929"/>
  <c r="E20" i="4929"/>
  <c r="E21" i="4929"/>
  <c r="E22" i="4929"/>
  <c r="E23" i="4929" s="1"/>
  <c r="G26" i="4929"/>
  <c r="B43" i="4928" a="1"/>
  <c r="D52" i="4928"/>
  <c r="C42" i="4920"/>
  <c r="C41" i="4920"/>
  <c r="E52" i="4928"/>
  <c r="C44" i="4920"/>
  <c r="G25" i="4929"/>
  <c r="C40" i="4920"/>
  <c r="C43" i="4920"/>
  <c r="G31" i="4931" l="1"/>
  <c r="G36" i="4931" a="1"/>
  <c r="G36" i="4931" s="1"/>
  <c r="G73" i="4931"/>
  <c r="G71" i="4931"/>
  <c r="G69" i="4931"/>
  <c r="G67" i="4931"/>
  <c r="G65" i="4931"/>
  <c r="G63" i="4931"/>
  <c r="G74" i="4931"/>
  <c r="G72" i="4931"/>
  <c r="G70" i="4931"/>
  <c r="G68" i="4931"/>
  <c r="G66" i="4931"/>
  <c r="G64" i="4931"/>
  <c r="G32" i="4931"/>
  <c r="E25" i="4929"/>
  <c r="E26" i="4929"/>
  <c r="B43" i="4928"/>
  <c r="C43" i="4928"/>
  <c r="D43" i="4928"/>
  <c r="B44" i="4928"/>
  <c r="C44" i="4928"/>
  <c r="D44" i="4928"/>
  <c r="D34" i="4929"/>
  <c r="C34" i="4929"/>
  <c r="G40" i="4931" l="1"/>
  <c r="G44" i="4931"/>
  <c r="G48" i="4931"/>
  <c r="G39" i="4931"/>
  <c r="G43" i="4931"/>
  <c r="G47" i="4931"/>
  <c r="G38" i="4931"/>
  <c r="G42" i="4931"/>
  <c r="G46" i="4931"/>
  <c r="G37" i="4931"/>
  <c r="G41" i="4931"/>
  <c r="G45" i="4931"/>
</calcChain>
</file>

<file path=xl/comments1.xml><?xml version="1.0" encoding="utf-8"?>
<comments xmlns="http://schemas.openxmlformats.org/spreadsheetml/2006/main">
  <authors>
    <author>Kenny Kai Yin Yu</author>
  </authors>
  <commentList>
    <comment ref="A13" authorId="0">
      <text>
        <r>
          <rPr>
            <sz val="9"/>
            <color indexed="81"/>
            <rFont val="Tahoma"/>
            <family val="2"/>
          </rPr>
          <t xml:space="preserve">Note:
                     </t>
        </r>
        <r>
          <rPr>
            <b/>
            <sz val="9"/>
            <color indexed="81"/>
            <rFont val="Tahoma"/>
            <family val="2"/>
          </rPr>
          <t>Result</t>
        </r>
        <r>
          <rPr>
            <sz val="9"/>
            <color indexed="81"/>
            <rFont val="Tahoma"/>
            <family val="2"/>
          </rPr>
          <t xml:space="preserve">
Null And True  Null
Null And False  False
Null And Null    Null</t>
        </r>
      </text>
    </comment>
    <comment ref="A14" authorId="0">
      <text>
        <r>
          <rPr>
            <sz val="8"/>
            <color indexed="81"/>
            <rFont val="Tahoma"/>
            <family val="2"/>
          </rPr>
          <t xml:space="preserve">Note:
                        </t>
        </r>
        <r>
          <rPr>
            <b/>
            <sz val="8"/>
            <color indexed="81"/>
            <rFont val="Tahoma"/>
            <family val="2"/>
          </rPr>
          <t>RESULT</t>
        </r>
        <r>
          <rPr>
            <sz val="8"/>
            <color indexed="81"/>
            <rFont val="Tahoma"/>
            <family val="2"/>
          </rPr>
          <t xml:space="preserve">
Null Or True     True
Null Or False    False
Null Or Null      Null</t>
        </r>
      </text>
    </comment>
    <comment ref="A15" authorId="0">
      <text>
        <r>
          <rPr>
            <sz val="8"/>
            <color indexed="81"/>
            <rFont val="Tahoma"/>
            <family val="2"/>
          </rPr>
          <t>Note:
either operand Null, result is Null</t>
        </r>
      </text>
    </comment>
    <comment ref="A16" authorId="0">
      <text>
        <r>
          <rPr>
            <sz val="8"/>
            <color indexed="81"/>
            <rFont val="Tahoma"/>
            <family val="2"/>
          </rPr>
          <t>Note:
If operand is Null, result is Null.</t>
        </r>
      </text>
    </comment>
    <comment ref="A29" authorId="0">
      <text>
        <r>
          <rPr>
            <sz val="8"/>
            <color indexed="81"/>
            <rFont val="Tahoma"/>
            <family val="2"/>
          </rPr>
          <t>if object1 and object2 refer to the same object, result is true</t>
        </r>
      </text>
    </comment>
  </commentList>
</comments>
</file>

<file path=xl/sharedStrings.xml><?xml version="1.0" encoding="utf-8"?>
<sst xmlns="http://schemas.openxmlformats.org/spreadsheetml/2006/main" count="521" uniqueCount="471">
  <si>
    <t>Normal
NORMALINV</t>
  </si>
  <si>
    <t>Box Muller</t>
  </si>
  <si>
    <t>Normal
Box Muller</t>
  </si>
  <si>
    <t>NORMALINV</t>
  </si>
  <si>
    <t>Contents</t>
  </si>
  <si>
    <t>Macro Recorder</t>
  </si>
  <si>
    <t>Record your actions in VBA</t>
  </si>
  <si>
    <r>
      <t>Left click the mouse button on "</t>
    </r>
    <r>
      <rPr>
        <sz val="12"/>
        <color indexed="18"/>
        <rFont val="Arial"/>
        <family val="2"/>
      </rPr>
      <t>Stop Recording</t>
    </r>
    <r>
      <rPr>
        <sz val="12"/>
        <rFont val="Arial"/>
        <family val="2"/>
      </rPr>
      <t xml:space="preserve">". </t>
    </r>
  </si>
  <si>
    <t>Select Me</t>
  </si>
  <si>
    <r>
      <t>Select the yellow cells marked "Select Me" below. Copy (</t>
    </r>
    <r>
      <rPr>
        <sz val="12"/>
        <color indexed="18"/>
        <rFont val="Arial"/>
        <family val="2"/>
      </rPr>
      <t>Ctrl C</t>
    </r>
    <r>
      <rPr>
        <sz val="12"/>
        <rFont val="Arial"/>
        <family val="2"/>
      </rPr>
      <t>). Select the green cells. Paste (</t>
    </r>
    <r>
      <rPr>
        <sz val="12"/>
        <color indexed="18"/>
        <rFont val="Arial"/>
        <family val="2"/>
      </rPr>
      <t>Ctrl V</t>
    </r>
    <r>
      <rPr>
        <sz val="12"/>
        <rFont val="Arial"/>
        <family val="2"/>
      </rPr>
      <t>).</t>
    </r>
  </si>
  <si>
    <r>
      <t>Press "</t>
    </r>
    <r>
      <rPr>
        <sz val="12"/>
        <color indexed="18"/>
        <rFont val="Arial"/>
        <family val="2"/>
      </rPr>
      <t>Alt + F8</t>
    </r>
    <r>
      <rPr>
        <sz val="12"/>
        <rFont val="Arial"/>
        <family val="2"/>
      </rPr>
      <t>". Select "</t>
    </r>
    <r>
      <rPr>
        <sz val="12"/>
        <color indexed="18"/>
        <rFont val="Arial"/>
        <family val="2"/>
      </rPr>
      <t>myCopy</t>
    </r>
    <r>
      <rPr>
        <sz val="12"/>
        <rFont val="Arial"/>
        <family val="2"/>
      </rPr>
      <t>" and left click mouse button on "</t>
    </r>
    <r>
      <rPr>
        <sz val="12"/>
        <color indexed="18"/>
        <rFont val="Arial"/>
        <family val="2"/>
      </rPr>
      <t>Run</t>
    </r>
    <r>
      <rPr>
        <sz val="12"/>
        <rFont val="Arial"/>
        <family val="2"/>
      </rPr>
      <t xml:space="preserve">". </t>
    </r>
  </si>
  <si>
    <r>
      <t>Press "</t>
    </r>
    <r>
      <rPr>
        <sz val="12"/>
        <color indexed="18"/>
        <rFont val="Arial"/>
        <family val="2"/>
      </rPr>
      <t>Alt + F8</t>
    </r>
    <r>
      <rPr>
        <sz val="12"/>
        <rFont val="Arial"/>
        <family val="2"/>
      </rPr>
      <t>". Select "</t>
    </r>
    <r>
      <rPr>
        <sz val="12"/>
        <color indexed="18"/>
        <rFont val="Arial"/>
        <family val="2"/>
      </rPr>
      <t>clearGreen</t>
    </r>
    <r>
      <rPr>
        <sz val="12"/>
        <rFont val="Arial"/>
        <family val="2"/>
      </rPr>
      <t>" and left click mouse button on "</t>
    </r>
    <r>
      <rPr>
        <sz val="12"/>
        <color indexed="18"/>
        <rFont val="Arial"/>
        <family val="2"/>
      </rPr>
      <t>Run</t>
    </r>
    <r>
      <rPr>
        <sz val="12"/>
        <rFont val="Arial"/>
        <family val="2"/>
      </rPr>
      <t xml:space="preserve">". </t>
    </r>
  </si>
  <si>
    <t>Assign macro to button</t>
  </si>
  <si>
    <t>Left click mouse button anywhere in the green box below.</t>
  </si>
  <si>
    <t>Name the button "Copy".</t>
  </si>
  <si>
    <t>Object</t>
  </si>
  <si>
    <t>Excel Object Model</t>
  </si>
  <si>
    <t>Properties</t>
  </si>
  <si>
    <t>.Font.Size</t>
  </si>
  <si>
    <t>Method</t>
  </si>
  <si>
    <t>.ClearContents</t>
  </si>
  <si>
    <t>.Open("excel_intro_ans.xls")</t>
  </si>
  <si>
    <t>Workbooks</t>
  </si>
  <si>
    <t>Worksheets("Macro Recorder")</t>
  </si>
  <si>
    <t>.Activate</t>
  </si>
  <si>
    <t>Worksheets("Object").ActiveCell</t>
  </si>
  <si>
    <t>Collections</t>
  </si>
  <si>
    <t>Worksheets</t>
  </si>
  <si>
    <t>Range</t>
  </si>
  <si>
    <t>worksheets in this workbook</t>
  </si>
  <si>
    <t>Hierarchy</t>
  </si>
  <si>
    <t>cells in Range("YellowCells")</t>
  </si>
  <si>
    <r>
      <t>Application</t>
    </r>
    <r>
      <rPr>
        <sz val="12"/>
        <rFont val="Arial"/>
        <family val="2"/>
      </rPr>
      <t>.</t>
    </r>
    <r>
      <rPr>
        <sz val="12"/>
        <color indexed="18"/>
        <rFont val="Arial"/>
        <family val="2"/>
      </rPr>
      <t>Workbooks</t>
    </r>
    <r>
      <rPr>
        <sz val="12"/>
        <rFont val="Arial"/>
        <family val="2"/>
      </rPr>
      <t>("vba_intro_ans.xls").</t>
    </r>
    <r>
      <rPr>
        <sz val="12"/>
        <color indexed="18"/>
        <rFont val="Arial"/>
        <family val="2"/>
      </rPr>
      <t>Sheets</t>
    </r>
    <r>
      <rPr>
        <sz val="12"/>
        <rFont val="Arial"/>
        <family val="2"/>
      </rPr>
      <t>("Object").</t>
    </r>
    <r>
      <rPr>
        <sz val="12"/>
        <color indexed="18"/>
        <rFont val="Arial"/>
        <family val="2"/>
      </rPr>
      <t>Range</t>
    </r>
    <r>
      <rPr>
        <sz val="12"/>
        <rFont val="Arial"/>
        <family val="2"/>
      </rPr>
      <t>("YellowCells")</t>
    </r>
  </si>
  <si>
    <t>Worksheets("Object").Range("ClearContents")</t>
  </si>
  <si>
    <t>.Value</t>
  </si>
  <si>
    <t>Modifying macro code</t>
  </si>
  <si>
    <r>
      <t>Press "</t>
    </r>
    <r>
      <rPr>
        <sz val="12"/>
        <color indexed="18"/>
        <rFont val="Arial"/>
        <family val="2"/>
      </rPr>
      <t>Alt + F8</t>
    </r>
    <r>
      <rPr>
        <sz val="12"/>
        <rFont val="Arial"/>
        <family val="2"/>
      </rPr>
      <t>". Select "</t>
    </r>
    <r>
      <rPr>
        <sz val="12"/>
        <color indexed="18"/>
        <rFont val="Arial"/>
        <family val="2"/>
      </rPr>
      <t>EnterValues</t>
    </r>
    <r>
      <rPr>
        <sz val="12"/>
        <rFont val="Arial"/>
        <family val="2"/>
      </rPr>
      <t>" and left click mouse button on "</t>
    </r>
    <r>
      <rPr>
        <sz val="12"/>
        <color indexed="18"/>
        <rFont val="Arial"/>
        <family val="2"/>
      </rPr>
      <t>Run</t>
    </r>
    <r>
      <rPr>
        <sz val="12"/>
        <rFont val="Arial"/>
        <family val="2"/>
      </rPr>
      <t xml:space="preserve">". </t>
    </r>
  </si>
  <si>
    <r>
      <t>Examine the recorded code on "</t>
    </r>
    <r>
      <rPr>
        <sz val="12"/>
        <color indexed="18"/>
        <rFont val="Arial"/>
        <family val="2"/>
      </rPr>
      <t>EnterValues</t>
    </r>
    <r>
      <rPr>
        <sz val="12"/>
        <rFont val="Arial"/>
        <family val="2"/>
      </rPr>
      <t>" and compare the code on "</t>
    </r>
    <r>
      <rPr>
        <sz val="12"/>
        <color indexed="18"/>
        <rFont val="Arial"/>
        <family val="2"/>
      </rPr>
      <t>EnterValuesV2</t>
    </r>
    <r>
      <rPr>
        <sz val="12"/>
        <rFont val="Arial"/>
        <family val="2"/>
      </rPr>
      <t>"</t>
    </r>
  </si>
  <si>
    <t>Microsoft Excel Object</t>
  </si>
  <si>
    <r>
      <t xml:space="preserve">Press </t>
    </r>
    <r>
      <rPr>
        <sz val="12"/>
        <color indexed="18"/>
        <rFont val="Arial"/>
        <family val="2"/>
      </rPr>
      <t>Alt + F11</t>
    </r>
    <r>
      <rPr>
        <sz val="12"/>
        <rFont val="Arial"/>
        <family val="2"/>
      </rPr>
      <t xml:space="preserve"> to go to </t>
    </r>
    <r>
      <rPr>
        <sz val="12"/>
        <color indexed="18"/>
        <rFont val="Arial"/>
        <family val="2"/>
      </rPr>
      <t>Microsoft Visual Basic</t>
    </r>
    <r>
      <rPr>
        <sz val="12"/>
        <rFont val="Arial"/>
        <family val="2"/>
      </rPr>
      <t xml:space="preserve">. Press </t>
    </r>
    <r>
      <rPr>
        <sz val="12"/>
        <color indexed="18"/>
        <rFont val="Arial"/>
        <family val="2"/>
      </rPr>
      <t>F1</t>
    </r>
    <r>
      <rPr>
        <sz val="12"/>
        <rFont val="Arial"/>
        <family val="2"/>
      </rPr>
      <t xml:space="preserve"> to go to </t>
    </r>
    <r>
      <rPr>
        <sz val="12"/>
        <color indexed="18"/>
        <rFont val="Arial"/>
        <family val="2"/>
      </rPr>
      <t>Microsoft Visual Basic Help</t>
    </r>
    <r>
      <rPr>
        <sz val="12"/>
        <rFont val="Arial"/>
        <family val="2"/>
      </rPr>
      <t>.</t>
    </r>
  </si>
  <si>
    <t>Basics</t>
  </si>
  <si>
    <t>Invoke Visual Basic Editor</t>
  </si>
  <si>
    <t>Absolute and Relative Reference</t>
  </si>
  <si>
    <t>Examine the code on "EnterValuesRelative".</t>
  </si>
  <si>
    <r>
      <t xml:space="preserve">If not visible, select </t>
    </r>
    <r>
      <rPr>
        <sz val="12"/>
        <color indexed="18"/>
        <rFont val="Arial"/>
        <family val="2"/>
      </rPr>
      <t xml:space="preserve">View </t>
    </r>
    <r>
      <rPr>
        <sz val="12"/>
        <color indexed="18"/>
        <rFont val="Symbol"/>
        <family val="1"/>
        <charset val="2"/>
      </rPr>
      <t>®</t>
    </r>
    <r>
      <rPr>
        <sz val="12"/>
        <color indexed="18"/>
        <rFont val="Arial"/>
        <family val="2"/>
      </rPr>
      <t xml:space="preserve"> Project Explorer</t>
    </r>
    <r>
      <rPr>
        <sz val="12"/>
        <rFont val="Arial"/>
        <family val="2"/>
      </rPr>
      <t>.</t>
    </r>
  </si>
  <si>
    <t>Code in Microsoft Excel Objects (e.g. Sheet1) or Modules (e.g. Module1)</t>
  </si>
  <si>
    <t>Double click left mouse button on Module1 to view code.</t>
  </si>
  <si>
    <r>
      <t xml:space="preserve">To insert a module, select </t>
    </r>
    <r>
      <rPr>
        <sz val="12"/>
        <color indexed="18"/>
        <rFont val="Arial"/>
        <family val="2"/>
      </rPr>
      <t xml:space="preserve">Insert </t>
    </r>
    <r>
      <rPr>
        <sz val="12"/>
        <color indexed="18"/>
        <rFont val="Symbol"/>
        <family val="1"/>
        <charset val="2"/>
      </rPr>
      <t>®</t>
    </r>
    <r>
      <rPr>
        <sz val="12"/>
        <color indexed="18"/>
        <rFont val="Arial"/>
        <family val="2"/>
      </rPr>
      <t xml:space="preserve"> Module</t>
    </r>
  </si>
  <si>
    <t>Project Explorer Window</t>
  </si>
  <si>
    <t>Entering Code</t>
  </si>
  <si>
    <r>
      <t>Place the cursor at the beginning of "</t>
    </r>
    <r>
      <rPr>
        <sz val="12"/>
        <color indexed="18"/>
        <rFont val="Arial"/>
        <family val="2"/>
      </rPr>
      <t>myFirstVBA</t>
    </r>
    <r>
      <rPr>
        <sz val="12"/>
        <rFont val="Arial"/>
        <family val="2"/>
      </rPr>
      <t xml:space="preserve">" and press </t>
    </r>
    <r>
      <rPr>
        <sz val="12"/>
        <color indexed="18"/>
        <rFont val="Arial"/>
        <family val="2"/>
      </rPr>
      <t>Run</t>
    </r>
    <r>
      <rPr>
        <sz val="12"/>
        <rFont val="Arial"/>
        <family val="2"/>
      </rPr>
      <t>.</t>
    </r>
  </si>
  <si>
    <r>
      <t xml:space="preserve">Each </t>
    </r>
    <r>
      <rPr>
        <sz val="12"/>
        <color indexed="18"/>
        <rFont val="Arial"/>
        <family val="2"/>
      </rPr>
      <t>Sub</t>
    </r>
    <r>
      <rPr>
        <sz val="12"/>
        <rFont val="Arial"/>
        <family val="2"/>
      </rPr>
      <t xml:space="preserve"> and </t>
    </r>
    <r>
      <rPr>
        <sz val="12"/>
        <color indexed="18"/>
        <rFont val="Arial"/>
        <family val="2"/>
      </rPr>
      <t>End Sub</t>
    </r>
    <r>
      <rPr>
        <sz val="12"/>
        <rFont val="Arial"/>
        <family val="2"/>
      </rPr>
      <t xml:space="preserve"> is a procedure. </t>
    </r>
    <r>
      <rPr>
        <sz val="12"/>
        <color indexed="18"/>
        <rFont val="Arial"/>
        <family val="2"/>
      </rPr>
      <t>myFirstVBA</t>
    </r>
    <r>
      <rPr>
        <sz val="12"/>
        <rFont val="Arial"/>
        <family val="2"/>
      </rPr>
      <t xml:space="preserve"> is a procedure name.</t>
    </r>
  </si>
  <si>
    <r>
      <t>MsgBox</t>
    </r>
    <r>
      <rPr>
        <sz val="12"/>
        <rFont val="Arial"/>
        <family val="2"/>
      </rPr>
      <t xml:space="preserve"> is a VBA built-in function.</t>
    </r>
  </si>
  <si>
    <r>
      <t xml:space="preserve">To get help on MsgBox, in the Code Window, right click mouse button on </t>
    </r>
    <r>
      <rPr>
        <sz val="12"/>
        <color indexed="18"/>
        <rFont val="Arial"/>
        <family val="2"/>
      </rPr>
      <t>MsgBox</t>
    </r>
    <r>
      <rPr>
        <sz val="12"/>
        <rFont val="Arial"/>
        <family val="2"/>
      </rPr>
      <t>. Select</t>
    </r>
    <r>
      <rPr>
        <sz val="12"/>
        <color indexed="18"/>
        <rFont val="Arial"/>
        <family val="2"/>
      </rPr>
      <t xml:space="preserve"> Definition</t>
    </r>
    <r>
      <rPr>
        <sz val="12"/>
        <rFont val="Arial"/>
        <family val="2"/>
      </rPr>
      <t xml:space="preserve">. Left click mouse button on </t>
    </r>
    <r>
      <rPr>
        <sz val="12"/>
        <color indexed="18"/>
        <rFont val="Arial"/>
        <family val="2"/>
      </rPr>
      <t>?</t>
    </r>
    <r>
      <rPr>
        <sz val="12"/>
        <rFont val="Arial"/>
        <family val="2"/>
      </rPr>
      <t>.</t>
    </r>
  </si>
  <si>
    <t>Adding Comments</t>
  </si>
  <si>
    <t>Getting help</t>
  </si>
  <si>
    <r>
      <t>Text after (</t>
    </r>
    <r>
      <rPr>
        <sz val="12"/>
        <color indexed="18"/>
        <rFont val="Arial"/>
        <family val="2"/>
      </rPr>
      <t>'</t>
    </r>
    <r>
      <rPr>
        <sz val="12"/>
        <rFont val="Arial"/>
        <family val="2"/>
      </rPr>
      <t>) is a comment.</t>
    </r>
  </si>
  <si>
    <t>Replace the line "Hello World" with some other text and rerun the myFirstVBA.</t>
  </si>
  <si>
    <t>Variables</t>
  </si>
  <si>
    <t>Named storage.</t>
  </si>
  <si>
    <t>Naming Variables</t>
  </si>
  <si>
    <t>Case insensitive. "aBC" is the same as "abc". If declared (e.g. "Dim aBC"), "abc" will be converted to "aBC" by VBE.</t>
  </si>
  <si>
    <t>Cannot use key words reserved by VBA (e.g. Dim, Integer, Sub)</t>
  </si>
  <si>
    <r>
      <t xml:space="preserve">Start with an alphabetic character followed by all alphabetic characters, numbers, and some punctuation characters (e.g. underscore </t>
    </r>
    <r>
      <rPr>
        <sz val="12"/>
        <color indexed="18"/>
        <rFont val="Arial"/>
        <family val="2"/>
      </rPr>
      <t>_</t>
    </r>
    <r>
      <rPr>
        <sz val="12"/>
        <rFont val="Arial"/>
        <family val="2"/>
      </rPr>
      <t xml:space="preserve"> )</t>
    </r>
  </si>
  <si>
    <r>
      <t>Cannot use space ( ), period (</t>
    </r>
    <r>
      <rPr>
        <sz val="12"/>
        <color indexed="18"/>
        <rFont val="Arial"/>
        <family val="2"/>
      </rPr>
      <t>.)</t>
    </r>
    <r>
      <rPr>
        <sz val="12"/>
        <rFont val="Arial"/>
        <family val="2"/>
      </rPr>
      <t xml:space="preserve"> , exclamation mark (</t>
    </r>
    <r>
      <rPr>
        <sz val="12"/>
        <color indexed="18"/>
        <rFont val="Arial"/>
        <family val="2"/>
      </rPr>
      <t>!)</t>
    </r>
    <r>
      <rPr>
        <sz val="12"/>
        <rFont val="Arial"/>
        <family val="2"/>
      </rPr>
      <t xml:space="preserve"> or </t>
    </r>
    <r>
      <rPr>
        <sz val="12"/>
        <color indexed="18"/>
        <rFont val="Arial"/>
        <family val="2"/>
      </rPr>
      <t>@</t>
    </r>
    <r>
      <rPr>
        <sz val="12"/>
        <rFont val="Arial"/>
        <family val="2"/>
      </rPr>
      <t xml:space="preserve">, </t>
    </r>
    <r>
      <rPr>
        <sz val="12"/>
        <color indexed="18"/>
        <rFont val="Arial"/>
        <family val="2"/>
      </rPr>
      <t>&amp;</t>
    </r>
    <r>
      <rPr>
        <sz val="12"/>
        <rFont val="Arial"/>
        <family val="2"/>
      </rPr>
      <t xml:space="preserve">, </t>
    </r>
    <r>
      <rPr>
        <sz val="12"/>
        <color indexed="18"/>
        <rFont val="Arial"/>
        <family val="2"/>
      </rPr>
      <t>$</t>
    </r>
    <r>
      <rPr>
        <sz val="12"/>
        <rFont val="Arial"/>
        <family val="2"/>
      </rPr>
      <t xml:space="preserve"> and </t>
    </r>
    <r>
      <rPr>
        <sz val="12"/>
        <color indexed="18"/>
        <rFont val="Arial"/>
        <family val="2"/>
      </rPr>
      <t>#</t>
    </r>
    <r>
      <rPr>
        <sz val="12"/>
        <rFont val="Arial"/>
        <family val="2"/>
      </rPr>
      <t>.</t>
    </r>
  </si>
  <si>
    <t>Best Practice: Variable names should be descriptive (e.g. SpotPrice, StrikePrice)</t>
  </si>
  <si>
    <t>Data Types</t>
  </si>
  <si>
    <t>Boolean (True or False) Converted from numeric types (0 to False; others to True)</t>
  </si>
  <si>
    <t>Byte (0 - 255)</t>
  </si>
  <si>
    <t>Date (date literals #9 Aug 2008#) (e.g. dateV = #9 Aug 2008#)</t>
  </si>
  <si>
    <t>Single (floating point) 32-bit</t>
  </si>
  <si>
    <t>Object (addresses to objects)</t>
  </si>
  <si>
    <t>Line Continuation</t>
  </si>
  <si>
    <r>
      <t>Continue a statement in the next line by putting a space followed by an underscore (</t>
    </r>
    <r>
      <rPr>
        <sz val="12"/>
        <color indexed="18"/>
        <rFont val="Arial"/>
        <family val="2"/>
      </rPr>
      <t>_</t>
    </r>
    <r>
      <rPr>
        <sz val="12"/>
        <rFont val="Arial"/>
        <family val="2"/>
      </rPr>
      <t>) at the end.</t>
    </r>
  </si>
  <si>
    <r>
      <t xml:space="preserve">Currency </t>
    </r>
    <r>
      <rPr>
        <sz val="12"/>
        <color indexed="18"/>
        <rFont val="Arial"/>
        <family val="2"/>
      </rPr>
      <t>@</t>
    </r>
    <r>
      <rPr>
        <sz val="12"/>
        <rFont val="Arial"/>
        <family val="2"/>
      </rPr>
      <t xml:space="preserve"> (15 digits to the left and 4 digits to the right of decimal point) 64-bit</t>
    </r>
  </si>
  <si>
    <r>
      <t xml:space="preserve">Double </t>
    </r>
    <r>
      <rPr>
        <sz val="12"/>
        <color indexed="18"/>
        <rFont val="Arial"/>
        <family val="2"/>
      </rPr>
      <t>#</t>
    </r>
    <r>
      <rPr>
        <sz val="12"/>
        <rFont val="Arial"/>
        <family val="2"/>
      </rPr>
      <t xml:space="preserve"> (floating point) 64-bit</t>
    </r>
  </si>
  <si>
    <r>
      <t xml:space="preserve">Integer </t>
    </r>
    <r>
      <rPr>
        <sz val="12"/>
        <color indexed="18"/>
        <rFont val="Arial"/>
        <family val="2"/>
      </rPr>
      <t>%</t>
    </r>
    <r>
      <rPr>
        <sz val="12"/>
        <rFont val="Arial"/>
        <family val="2"/>
      </rPr>
      <t xml:space="preserve"> (-32,768 to 32,767) 16-bit</t>
    </r>
  </si>
  <si>
    <r>
      <t xml:space="preserve">Long </t>
    </r>
    <r>
      <rPr>
        <sz val="12"/>
        <color indexed="18"/>
        <rFont val="Arial"/>
        <family val="2"/>
      </rPr>
      <t>&amp;</t>
    </r>
    <r>
      <rPr>
        <sz val="12"/>
        <rFont val="Arial"/>
        <family val="2"/>
      </rPr>
      <t xml:space="preserve"> (-2,147,483,648 to 2,147,483,647) 32-bit</t>
    </r>
  </si>
  <si>
    <r>
      <t xml:space="preserve">String </t>
    </r>
    <r>
      <rPr>
        <sz val="12"/>
        <color indexed="18"/>
        <rFont val="Arial"/>
        <family val="2"/>
      </rPr>
      <t>$</t>
    </r>
    <r>
      <rPr>
        <sz val="12"/>
        <rFont val="Arial"/>
        <family val="2"/>
      </rPr>
      <t xml:space="preserve"> (fixed length 64K characters; variable-length 2^31 characters)</t>
    </r>
  </si>
  <si>
    <t>Best Practice: Always explicitly declare your variables</t>
  </si>
  <si>
    <t>Variant (any kind of data except fixed-length String)</t>
  </si>
  <si>
    <t>Run macro "dataTypeDemo"</t>
  </si>
  <si>
    <t>Constants</t>
  </si>
  <si>
    <t>Date Constants</t>
  </si>
  <si>
    <t>vbSunday</t>
  </si>
  <si>
    <t>Sunday</t>
  </si>
  <si>
    <t>vbMonday</t>
  </si>
  <si>
    <t>Monday</t>
  </si>
  <si>
    <t>vbTuesday</t>
  </si>
  <si>
    <t>Tuesday</t>
  </si>
  <si>
    <t>vbWednesday</t>
  </si>
  <si>
    <t>Wednesday</t>
  </si>
  <si>
    <t>vbThursday</t>
  </si>
  <si>
    <t>Thursday</t>
  </si>
  <si>
    <t>vbFriday</t>
  </si>
  <si>
    <t>Friday</t>
  </si>
  <si>
    <t>vbSaturday</t>
  </si>
  <si>
    <t>Saturday</t>
  </si>
  <si>
    <t>Color Constants</t>
  </si>
  <si>
    <t>vbBlack</t>
  </si>
  <si>
    <t>0x0</t>
  </si>
  <si>
    <t>Black</t>
  </si>
  <si>
    <t>vbRed</t>
  </si>
  <si>
    <t>0xFF</t>
  </si>
  <si>
    <t>Red</t>
  </si>
  <si>
    <t>vbGreen</t>
  </si>
  <si>
    <t>0xFF00</t>
  </si>
  <si>
    <t>Green</t>
  </si>
  <si>
    <t>vbYellow</t>
  </si>
  <si>
    <t>0xFFFF</t>
  </si>
  <si>
    <t>Yellow</t>
  </si>
  <si>
    <t>vbBlue</t>
  </si>
  <si>
    <t>0xFF0000</t>
  </si>
  <si>
    <t>Blue</t>
  </si>
  <si>
    <t>vbMagenta</t>
  </si>
  <si>
    <t>0xFF00FF</t>
  </si>
  <si>
    <t>Magenta</t>
  </si>
  <si>
    <t>vbCyan</t>
  </si>
  <si>
    <t>0xFFFF00</t>
  </si>
  <si>
    <t>Cyan</t>
  </si>
  <si>
    <t>vbWhite</t>
  </si>
  <si>
    <t>0xFFFFFF</t>
  </si>
  <si>
    <t>White</t>
  </si>
  <si>
    <t>MsgBox Constants</t>
  </si>
  <si>
    <t>vbOKOnly</t>
  </si>
  <si>
    <t>OK button only (default)</t>
  </si>
  <si>
    <t>vbOKCancel</t>
  </si>
  <si>
    <t>OK and Cancel buttons</t>
  </si>
  <si>
    <t>vbAbortRetryIgnore</t>
  </si>
  <si>
    <t>Abort, Retry, and Ignore buttons</t>
  </si>
  <si>
    <t>vbYesNoCancel</t>
  </si>
  <si>
    <t>Yes, No, and Cancel buttons</t>
  </si>
  <si>
    <t>vbRetryCancel</t>
  </si>
  <si>
    <t>vbYesNo</t>
  </si>
  <si>
    <t>Yes and No buttons</t>
  </si>
  <si>
    <t>Retry and Cancel buttons</t>
  </si>
  <si>
    <t>MsgBox Arguments</t>
  </si>
  <si>
    <t>MsgBox Return Values</t>
  </si>
  <si>
    <t>vbOK</t>
  </si>
  <si>
    <t>OK button pressed</t>
  </si>
  <si>
    <t>vbCancel</t>
  </si>
  <si>
    <t>Cancel button pressed</t>
  </si>
  <si>
    <t>vbAbort</t>
  </si>
  <si>
    <t>Abort button pressed</t>
  </si>
  <si>
    <t>vbRetry</t>
  </si>
  <si>
    <t>Retry button pressed</t>
  </si>
  <si>
    <t>vbIgnore</t>
  </si>
  <si>
    <t>Ignore button pressed</t>
  </si>
  <si>
    <t>vbYes</t>
  </si>
  <si>
    <t>Yes button pressed</t>
  </si>
  <si>
    <t>vbNo</t>
  </si>
  <si>
    <t>No button pressed</t>
  </si>
  <si>
    <t>vbCritical</t>
  </si>
  <si>
    <t>Critical Message</t>
  </si>
  <si>
    <t>vbQuestion</t>
  </si>
  <si>
    <t>Warning query</t>
  </si>
  <si>
    <t>vbExclamation</t>
  </si>
  <si>
    <t>Warning message</t>
  </si>
  <si>
    <t>vbInformation</t>
  </si>
  <si>
    <t>Information message</t>
  </si>
  <si>
    <t>vbMsgBoxSetForeground</t>
  </si>
  <si>
    <t>Specifies the message box window as the foreground window</t>
  </si>
  <si>
    <t>VarType Constants</t>
  </si>
  <si>
    <t>vbEmpty</t>
  </si>
  <si>
    <t>Uninitialized (default)</t>
  </si>
  <si>
    <t>vbNull</t>
  </si>
  <si>
    <t>Contains no valid data</t>
  </si>
  <si>
    <t>vbInteger</t>
  </si>
  <si>
    <t>Integer</t>
  </si>
  <si>
    <t>vbLong</t>
  </si>
  <si>
    <t>Long integer</t>
  </si>
  <si>
    <t>vbSingle</t>
  </si>
  <si>
    <t>Single-precision floating-point number</t>
  </si>
  <si>
    <t>vbDouble</t>
  </si>
  <si>
    <t>Double-precision floating-point number</t>
  </si>
  <si>
    <t>vbCurrency</t>
  </si>
  <si>
    <t>Currency</t>
  </si>
  <si>
    <t>vbDate</t>
  </si>
  <si>
    <t>Date</t>
  </si>
  <si>
    <t>vbString</t>
  </si>
  <si>
    <t>String</t>
  </si>
  <si>
    <t>vbObject</t>
  </si>
  <si>
    <t>vbError</t>
  </si>
  <si>
    <t>Error</t>
  </si>
  <si>
    <t>vbBoolean</t>
  </si>
  <si>
    <t>Boolean</t>
  </si>
  <si>
    <t>vbVariant</t>
  </si>
  <si>
    <t>Variant (used only for arrays of variants)</t>
  </si>
  <si>
    <t>vbDataObject</t>
  </si>
  <si>
    <t>Data access object</t>
  </si>
  <si>
    <t>vbDecimal</t>
  </si>
  <si>
    <t>Decimal</t>
  </si>
  <si>
    <t>vbByte</t>
  </si>
  <si>
    <t>Byte</t>
  </si>
  <si>
    <t>vbUserDefinedType</t>
  </si>
  <si>
    <t>Variants that contain user-defined types</t>
  </si>
  <si>
    <t>vbArray</t>
  </si>
  <si>
    <t>Array</t>
  </si>
  <si>
    <t>Operators</t>
  </si>
  <si>
    <t>&amp;</t>
  </si>
  <si>
    <t>result = expression1 &amp; expression2</t>
  </si>
  <si>
    <t>result = number1*number2</t>
  </si>
  <si>
    <t>*</t>
  </si>
  <si>
    <t>concatenation</t>
  </si>
  <si>
    <t>multiply</t>
  </si>
  <si>
    <t>result = expression1+expression2</t>
  </si>
  <si>
    <t>+</t>
  </si>
  <si>
    <t>add, concatenation</t>
  </si>
  <si>
    <t>-</t>
  </si>
  <si>
    <t>difference</t>
  </si>
  <si>
    <t>result = number1-number2</t>
  </si>
  <si>
    <t>result = number1/number2</t>
  </si>
  <si>
    <t>divide</t>
  </si>
  <si>
    <t>/</t>
  </si>
  <si>
    <t>\</t>
  </si>
  <si>
    <t>result = number1\number2</t>
  </si>
  <si>
    <t>divide (return integer)</t>
  </si>
  <si>
    <t>result = number^exponent</t>
  </si>
  <si>
    <t>exponent</t>
  </si>
  <si>
    <t>^</t>
  </si>
  <si>
    <t>variable = value</t>
  </si>
  <si>
    <t>=</t>
  </si>
  <si>
    <t>assign</t>
  </si>
  <si>
    <t>And</t>
  </si>
  <si>
    <t>and</t>
  </si>
  <si>
    <t>result = expression1 And expression2</t>
  </si>
  <si>
    <t>Or</t>
  </si>
  <si>
    <t>or</t>
  </si>
  <si>
    <t>result = expression1 Or expression2</t>
  </si>
  <si>
    <t>Mod</t>
  </si>
  <si>
    <t>remainder</t>
  </si>
  <si>
    <t>result = number1 Mod number2</t>
  </si>
  <si>
    <t>Xor</t>
  </si>
  <si>
    <t>logical exclusion</t>
  </si>
  <si>
    <t>[result =] expression1 Xor expression2</t>
  </si>
  <si>
    <t>Not</t>
  </si>
  <si>
    <t>logical negation</t>
  </si>
  <si>
    <t>result = Not expression</t>
  </si>
  <si>
    <t>Common Operators</t>
  </si>
  <si>
    <t>Comparison Operators</t>
  </si>
  <si>
    <t>&lt;</t>
  </si>
  <si>
    <t>less than</t>
  </si>
  <si>
    <t>&lt;=</t>
  </si>
  <si>
    <t>less than or equal to</t>
  </si>
  <si>
    <t>&gt;=</t>
  </si>
  <si>
    <t>&gt;</t>
  </si>
  <si>
    <t>greater than or equal to</t>
  </si>
  <si>
    <t>greater than</t>
  </si>
  <si>
    <t>equal to</t>
  </si>
  <si>
    <t>&lt;&gt;</t>
  </si>
  <si>
    <t>not equal to</t>
  </si>
  <si>
    <t>result = expression1 comparisonoperator expression2</t>
  </si>
  <si>
    <t>Other Operators</t>
  </si>
  <si>
    <t>Is</t>
  </si>
  <si>
    <t>compare two objects</t>
  </si>
  <si>
    <t>object1 Is object2</t>
  </si>
  <si>
    <t>Run macro "constantsDemo"</t>
  </si>
  <si>
    <r>
      <t xml:space="preserve">In the </t>
    </r>
    <r>
      <rPr>
        <sz val="12"/>
        <color indexed="18"/>
        <rFont val="Arial"/>
        <family val="2"/>
      </rPr>
      <t>Project Explorer</t>
    </r>
    <r>
      <rPr>
        <sz val="12"/>
        <rFont val="Arial"/>
        <family val="2"/>
      </rPr>
      <t xml:space="preserve"> Window, double click left mouse on </t>
    </r>
    <r>
      <rPr>
        <sz val="12"/>
        <color indexed="18"/>
        <rFont val="Arial"/>
        <family val="2"/>
      </rPr>
      <t>Sheet(Basic)</t>
    </r>
    <r>
      <rPr>
        <sz val="12"/>
        <rFont val="Arial"/>
        <family val="2"/>
      </rPr>
      <t xml:space="preserve"> to view code.</t>
    </r>
  </si>
  <si>
    <t>Statements</t>
  </si>
  <si>
    <t>If…Then…Else</t>
  </si>
  <si>
    <t>End If</t>
  </si>
  <si>
    <t>[Else</t>
  </si>
  <si>
    <r>
      <t xml:space="preserve">If </t>
    </r>
    <r>
      <rPr>
        <i/>
        <sz val="12"/>
        <rFont val="Arial"/>
        <family val="2"/>
      </rPr>
      <t>condition</t>
    </r>
    <r>
      <rPr>
        <sz val="12"/>
        <rFont val="Arial"/>
        <family val="2"/>
      </rPr>
      <t xml:space="preserve"> Then [</t>
    </r>
    <r>
      <rPr>
        <i/>
        <sz val="12"/>
        <rFont val="Arial"/>
        <family val="2"/>
      </rPr>
      <t>statements</t>
    </r>
    <r>
      <rPr>
        <sz val="12"/>
        <rFont val="Arial"/>
        <family val="2"/>
      </rPr>
      <t xml:space="preserve">] [Else </t>
    </r>
    <r>
      <rPr>
        <i/>
        <sz val="12"/>
        <rFont val="Arial"/>
        <family val="2"/>
      </rPr>
      <t>elsestatements</t>
    </r>
    <r>
      <rPr>
        <sz val="12"/>
        <rFont val="Arial"/>
        <family val="2"/>
      </rPr>
      <t>]</t>
    </r>
  </si>
  <si>
    <r>
      <t xml:space="preserve">If </t>
    </r>
    <r>
      <rPr>
        <i/>
        <sz val="12"/>
        <rFont val="Arial"/>
        <family val="2"/>
      </rPr>
      <t>condition</t>
    </r>
    <r>
      <rPr>
        <sz val="12"/>
        <rFont val="Arial"/>
        <family val="2"/>
      </rPr>
      <t xml:space="preserve"> Then</t>
    </r>
  </si>
  <si>
    <r>
      <t>[</t>
    </r>
    <r>
      <rPr>
        <i/>
        <sz val="12"/>
        <rFont val="Arial"/>
        <family val="2"/>
      </rPr>
      <t>statements</t>
    </r>
    <r>
      <rPr>
        <sz val="12"/>
        <rFont val="Arial"/>
        <family val="2"/>
      </rPr>
      <t>]</t>
    </r>
  </si>
  <si>
    <r>
      <t>[</t>
    </r>
    <r>
      <rPr>
        <i/>
        <sz val="12"/>
        <rFont val="Arial"/>
        <family val="2"/>
      </rPr>
      <t>elseifstatements</t>
    </r>
    <r>
      <rPr>
        <sz val="12"/>
        <rFont val="Arial"/>
        <family val="2"/>
      </rPr>
      <t>] ...</t>
    </r>
  </si>
  <si>
    <r>
      <t>[</t>
    </r>
    <r>
      <rPr>
        <i/>
        <sz val="12"/>
        <rFont val="Arial"/>
        <family val="2"/>
      </rPr>
      <t>elsestatements</t>
    </r>
    <r>
      <rPr>
        <sz val="12"/>
        <rFont val="Arial"/>
        <family val="2"/>
      </rPr>
      <t>]]</t>
    </r>
  </si>
  <si>
    <r>
      <t xml:space="preserve">[ElseIf </t>
    </r>
    <r>
      <rPr>
        <i/>
        <sz val="12"/>
        <rFont val="Arial"/>
        <family val="2"/>
      </rPr>
      <t>condition</t>
    </r>
    <r>
      <rPr>
        <sz val="12"/>
        <rFont val="Arial"/>
        <family val="2"/>
      </rPr>
      <t xml:space="preserve"> Then</t>
    </r>
  </si>
  <si>
    <t>Select Case</t>
  </si>
  <si>
    <t>End Select</t>
  </si>
  <si>
    <r>
      <t xml:space="preserve">Select Case </t>
    </r>
    <r>
      <rPr>
        <i/>
        <sz val="12"/>
        <rFont val="Arial"/>
        <family val="2"/>
      </rPr>
      <t>testexpression</t>
    </r>
  </si>
  <si>
    <t>[Case Else</t>
  </si>
  <si>
    <r>
      <t xml:space="preserve">[Case </t>
    </r>
    <r>
      <rPr>
        <i/>
        <sz val="12"/>
        <rFont val="Arial"/>
        <family val="2"/>
      </rPr>
      <t>expressionlist</t>
    </r>
  </si>
  <si>
    <r>
      <t>[</t>
    </r>
    <r>
      <rPr>
        <i/>
        <sz val="12"/>
        <rFont val="Arial"/>
        <family val="2"/>
      </rPr>
      <t>statements</t>
    </r>
    <r>
      <rPr>
        <sz val="12"/>
        <rFont val="Arial"/>
        <family val="2"/>
      </rPr>
      <t>]] ...</t>
    </r>
  </si>
  <si>
    <t>For…Next</t>
  </si>
  <si>
    <r>
      <t xml:space="preserve">For </t>
    </r>
    <r>
      <rPr>
        <i/>
        <sz val="12"/>
        <rFont val="Arial"/>
        <family val="2"/>
      </rPr>
      <t>counter</t>
    </r>
    <r>
      <rPr>
        <sz val="12"/>
        <rFont val="Arial"/>
        <family val="2"/>
      </rPr>
      <t xml:space="preserve"> = </t>
    </r>
    <r>
      <rPr>
        <i/>
        <sz val="12"/>
        <rFont val="Arial"/>
        <family val="2"/>
      </rPr>
      <t>start</t>
    </r>
    <r>
      <rPr>
        <sz val="12"/>
        <rFont val="Arial"/>
        <family val="2"/>
      </rPr>
      <t xml:space="preserve"> To </t>
    </r>
    <r>
      <rPr>
        <i/>
        <sz val="12"/>
        <rFont val="Arial"/>
        <family val="2"/>
      </rPr>
      <t>end</t>
    </r>
    <r>
      <rPr>
        <sz val="12"/>
        <rFont val="Arial"/>
        <family val="2"/>
      </rPr>
      <t xml:space="preserve"> [Step </t>
    </r>
    <r>
      <rPr>
        <i/>
        <sz val="12"/>
        <rFont val="Arial"/>
        <family val="2"/>
      </rPr>
      <t>step</t>
    </r>
    <r>
      <rPr>
        <sz val="12"/>
        <rFont val="Arial"/>
        <family val="2"/>
      </rPr>
      <t>]</t>
    </r>
  </si>
  <si>
    <t>[Exit For]</t>
  </si>
  <si>
    <r>
      <t>Next [</t>
    </r>
    <r>
      <rPr>
        <i/>
        <sz val="12"/>
        <rFont val="Arial"/>
        <family val="2"/>
      </rPr>
      <t>counter</t>
    </r>
    <r>
      <rPr>
        <sz val="12"/>
        <rFont val="Arial"/>
        <family val="2"/>
      </rPr>
      <t>]</t>
    </r>
  </si>
  <si>
    <t>For Each…Next</t>
  </si>
  <si>
    <r>
      <t xml:space="preserve">For Each </t>
    </r>
    <r>
      <rPr>
        <i/>
        <sz val="12"/>
        <rFont val="Arial"/>
        <family val="2"/>
      </rPr>
      <t>element</t>
    </r>
    <r>
      <rPr>
        <sz val="12"/>
        <rFont val="Arial"/>
        <family val="2"/>
      </rPr>
      <t xml:space="preserve"> In </t>
    </r>
    <r>
      <rPr>
        <i/>
        <sz val="12"/>
        <rFont val="Arial"/>
        <family val="2"/>
      </rPr>
      <t>group</t>
    </r>
  </si>
  <si>
    <r>
      <t>Next [</t>
    </r>
    <r>
      <rPr>
        <i/>
        <sz val="12"/>
        <rFont val="Arial"/>
        <family val="2"/>
      </rPr>
      <t>element</t>
    </r>
    <r>
      <rPr>
        <sz val="12"/>
        <rFont val="Arial"/>
        <family val="2"/>
      </rPr>
      <t>]</t>
    </r>
  </si>
  <si>
    <t>Do…Loop</t>
  </si>
  <si>
    <t>Loop</t>
  </si>
  <si>
    <r>
      <t xml:space="preserve">Do [{While | Until} </t>
    </r>
    <r>
      <rPr>
        <i/>
        <sz val="12"/>
        <rFont val="Arial"/>
        <family val="2"/>
      </rPr>
      <t>condition</t>
    </r>
    <r>
      <rPr>
        <sz val="12"/>
        <rFont val="Arial"/>
        <family val="2"/>
      </rPr>
      <t>]</t>
    </r>
  </si>
  <si>
    <t>[Exit Do]</t>
  </si>
  <si>
    <t>Do</t>
  </si>
  <si>
    <r>
      <t xml:space="preserve">Loop [{While | Until} </t>
    </r>
    <r>
      <rPr>
        <i/>
        <sz val="12"/>
        <rFont val="Arial"/>
        <family val="2"/>
      </rPr>
      <t>condition</t>
    </r>
    <r>
      <rPr>
        <sz val="12"/>
        <rFont val="Arial"/>
        <family val="2"/>
      </rPr>
      <t>]</t>
    </r>
  </si>
  <si>
    <t>fixed-size array</t>
  </si>
  <si>
    <t>dynamic array</t>
  </si>
  <si>
    <t>Dim</t>
  </si>
  <si>
    <r>
      <t xml:space="preserve">ReDim [Preserve] </t>
    </r>
    <r>
      <rPr>
        <i/>
        <sz val="12"/>
        <rFont val="Arial"/>
        <family val="2"/>
      </rPr>
      <t>varname</t>
    </r>
    <r>
      <rPr>
        <sz val="12"/>
        <rFont val="Arial"/>
        <family val="2"/>
      </rPr>
      <t>(</t>
    </r>
    <r>
      <rPr>
        <i/>
        <sz val="12"/>
        <rFont val="Arial"/>
        <family val="2"/>
      </rPr>
      <t>subscripts</t>
    </r>
    <r>
      <rPr>
        <sz val="12"/>
        <rFont val="Arial"/>
        <family val="2"/>
      </rPr>
      <t xml:space="preserve">)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 xml:space="preserve">] [, </t>
    </r>
    <r>
      <rPr>
        <i/>
        <sz val="12"/>
        <rFont val="Arial"/>
        <family val="2"/>
      </rPr>
      <t>varname</t>
    </r>
    <r>
      <rPr>
        <sz val="12"/>
        <rFont val="Arial"/>
        <family val="2"/>
      </rPr>
      <t>(</t>
    </r>
    <r>
      <rPr>
        <i/>
        <sz val="12"/>
        <rFont val="Arial"/>
        <family val="2"/>
      </rPr>
      <t>subscripts</t>
    </r>
    <r>
      <rPr>
        <sz val="12"/>
        <rFont val="Arial"/>
        <family val="2"/>
      </rPr>
      <t xml:space="preserve">)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>]] . . .</t>
    </r>
  </si>
  <si>
    <t>Preserve</t>
  </si>
  <si>
    <t>preserve data in an existing array</t>
  </si>
  <si>
    <t>can resize only the last array dimension</t>
  </si>
  <si>
    <t>can only change the upper bound</t>
  </si>
  <si>
    <t>ReDim - reallocate storage space for dynamic array variables</t>
  </si>
  <si>
    <r>
      <t xml:space="preserve">without </t>
    </r>
    <r>
      <rPr>
        <sz val="12"/>
        <color indexed="18"/>
        <rFont val="Arial"/>
        <family val="2"/>
      </rPr>
      <t>Preserve</t>
    </r>
  </si>
  <si>
    <t>numeric variable is initialized to 0</t>
  </si>
  <si>
    <t>variable-length string is initialized to zero-length string ("")</t>
  </si>
  <si>
    <t>fix-length string is filled with zeros</t>
  </si>
  <si>
    <t>variant variables are initialized to Empty</t>
  </si>
  <si>
    <t>object variable has special value Nothing</t>
  </si>
  <si>
    <t>known fixed storage</t>
  </si>
  <si>
    <t>dynamic storage, can be reallocated using ReDim or released using Erase</t>
  </si>
  <si>
    <r>
      <t>Dim [Preserve]</t>
    </r>
    <r>
      <rPr>
        <i/>
        <sz val="12"/>
        <rFont val="Arial"/>
        <family val="2"/>
      </rPr>
      <t xml:space="preserve"> varname</t>
    </r>
    <r>
      <rPr>
        <sz val="12"/>
        <rFont val="Arial"/>
        <family val="2"/>
      </rPr>
      <t>(</t>
    </r>
    <r>
      <rPr>
        <i/>
        <sz val="12"/>
        <rFont val="Arial"/>
        <family val="2"/>
      </rPr>
      <t>subscripts</t>
    </r>
    <r>
      <rPr>
        <sz val="12"/>
        <rFont val="Arial"/>
        <family val="2"/>
      </rPr>
      <t xml:space="preserve">)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 xml:space="preserve">] [, </t>
    </r>
    <r>
      <rPr>
        <i/>
        <sz val="12"/>
        <rFont val="Arial"/>
        <family val="2"/>
      </rPr>
      <t>varname</t>
    </r>
    <r>
      <rPr>
        <sz val="12"/>
        <rFont val="Arial"/>
        <family val="2"/>
      </rPr>
      <t>(</t>
    </r>
    <r>
      <rPr>
        <i/>
        <sz val="12"/>
        <rFont val="Arial"/>
        <family val="2"/>
      </rPr>
      <t>subscripts</t>
    </r>
    <r>
      <rPr>
        <sz val="12"/>
        <rFont val="Arial"/>
        <family val="2"/>
      </rPr>
      <t xml:space="preserve">)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>]] . . .</t>
    </r>
  </si>
  <si>
    <t>Dim iDynamicArray() as Integer</t>
  </si>
  <si>
    <t>Erase</t>
  </si>
  <si>
    <r>
      <t xml:space="preserve">Erase </t>
    </r>
    <r>
      <rPr>
        <i/>
        <sz val="12"/>
        <rFont val="Arial"/>
        <family val="2"/>
      </rPr>
      <t>arraylist</t>
    </r>
  </si>
  <si>
    <t>fixed-size</t>
  </si>
  <si>
    <t>Dim iFixedSizeArray(10) as Integer</t>
  </si>
  <si>
    <t>reinitialize, recovers no memory</t>
  </si>
  <si>
    <t>dynamic</t>
  </si>
  <si>
    <t>frees memory</t>
  </si>
  <si>
    <t>Array(arglist)</t>
  </si>
  <si>
    <t>Array - returns a variant containing an array</t>
  </si>
  <si>
    <t>Example</t>
  </si>
  <si>
    <t>Dim A As Variant</t>
  </si>
  <si>
    <t>A = Array(1,2,3,4)</t>
  </si>
  <si>
    <t>Array Copy</t>
  </si>
  <si>
    <t>Best Practice: Use only for redimensioning. Do not use as a declarative statement</t>
  </si>
  <si>
    <t>Dim dFArray(1, 2) As Double</t>
  </si>
  <si>
    <t>Dim dFArray2(1, 2) As Double</t>
  </si>
  <si>
    <t>dFArray2 = dFArray</t>
  </si>
  <si>
    <r>
      <t>Cannot</t>
    </r>
    <r>
      <rPr>
        <sz val="12"/>
        <rFont val="Arial"/>
        <family val="2"/>
      </rPr>
      <t xml:space="preserve"> assign to fixed-size array</t>
    </r>
  </si>
  <si>
    <t>Dim dDArray() As Double</t>
  </si>
  <si>
    <t>dDArray = dFArray</t>
  </si>
  <si>
    <r>
      <t xml:space="preserve">Assign to Variant </t>
    </r>
    <r>
      <rPr>
        <b/>
        <sz val="12"/>
        <rFont val="Arial"/>
        <family val="2"/>
      </rPr>
      <t>OK</t>
    </r>
  </si>
  <si>
    <r>
      <t xml:space="preserve">Assign to dynamic </t>
    </r>
    <r>
      <rPr>
        <b/>
        <sz val="12"/>
        <rFont val="Arial"/>
        <family val="2"/>
      </rPr>
      <t>OK</t>
    </r>
  </si>
  <si>
    <t>Dim vArray As Variant</t>
  </si>
  <si>
    <t>vArray = dFArray</t>
  </si>
  <si>
    <t>Run macro "copyArray"</t>
  </si>
  <si>
    <t>Run macro "fixedArray" and "dynamicArray"</t>
  </si>
  <si>
    <t>=CellF()</t>
  </si>
  <si>
    <t>Copy to and From Worksheets</t>
  </si>
  <si>
    <t>ActiveCell.Range("A1:C2").Value = vArray</t>
  </si>
  <si>
    <t>ReDim vArray(1, 2) As Integer</t>
  </si>
  <si>
    <r>
      <t xml:space="preserve">Copy Variant/Array to Worksheet </t>
    </r>
    <r>
      <rPr>
        <b/>
        <sz val="12"/>
        <rFont val="Arial"/>
        <family val="2"/>
      </rPr>
      <t>OK</t>
    </r>
  </si>
  <si>
    <r>
      <t xml:space="preserve">Copy fixed-size Array to Worksheet </t>
    </r>
    <r>
      <rPr>
        <b/>
        <sz val="12"/>
        <rFont val="Arial"/>
        <family val="2"/>
      </rPr>
      <t>OK</t>
    </r>
  </si>
  <si>
    <t>Dim iFArray(1, 2) As Integer</t>
  </si>
  <si>
    <t>ActiveCell.Range("A1:C2").Value = iFArray</t>
  </si>
  <si>
    <r>
      <t xml:space="preserve">Copy from Worksheet to Variant </t>
    </r>
    <r>
      <rPr>
        <b/>
        <sz val="12"/>
        <rFont val="Arial"/>
        <family val="2"/>
      </rPr>
      <t>OK</t>
    </r>
  </si>
  <si>
    <t>Dim vArray2 As Variant</t>
  </si>
  <si>
    <t>vArray2 = ActiveCell.Range("A1:C2").Value</t>
  </si>
  <si>
    <t>Dim iFArray2(1 To 2, 1 To 3) As Integer</t>
  </si>
  <si>
    <t>iFArray2 = ActiveCell.Range("A1:C2").Value</t>
  </si>
  <si>
    <t>Run macro "arrayToFromSheet"</t>
  </si>
  <si>
    <r>
      <t xml:space="preserve">Selct Me </t>
    </r>
    <r>
      <rPr>
        <sz val="12"/>
        <color indexed="20"/>
        <rFont val="Arial"/>
        <family val="2"/>
      </rPr>
      <t>before running macro "arrayToFromSheet"</t>
    </r>
  </si>
  <si>
    <t>Scope</t>
  </si>
  <si>
    <t>Static</t>
  </si>
  <si>
    <t>Project-Level</t>
  </si>
  <si>
    <t>Module-Level</t>
  </si>
  <si>
    <t>Procedure-Level</t>
  </si>
  <si>
    <t>Available to all procedures as long as code (project) is running.</t>
  </si>
  <si>
    <r>
      <t xml:space="preserve">Declared using </t>
    </r>
    <r>
      <rPr>
        <sz val="12"/>
        <color indexed="18"/>
        <rFont val="Arial"/>
        <family val="2"/>
      </rPr>
      <t>Public</t>
    </r>
    <r>
      <rPr>
        <sz val="12"/>
        <rFont val="Arial"/>
        <family val="2"/>
      </rPr>
      <t xml:space="preserve"> at the beginning (before 1st procedure) of one of the modules.</t>
    </r>
  </si>
  <si>
    <r>
      <t xml:space="preserve">Declared within procedure using </t>
    </r>
    <r>
      <rPr>
        <sz val="12"/>
        <color indexed="18"/>
        <rFont val="Arial"/>
        <family val="2"/>
      </rPr>
      <t>Static</t>
    </r>
    <r>
      <rPr>
        <sz val="12"/>
        <rFont val="Arial"/>
        <family val="2"/>
      </rPr>
      <t>. Available as long as code (project) is running (even after procedure has ended).</t>
    </r>
  </si>
  <si>
    <t>Variables not explicitly declared are treated as procedure-level variables.</t>
  </si>
  <si>
    <r>
      <t xml:space="preserve">Declared within procedure using </t>
    </r>
    <r>
      <rPr>
        <sz val="12"/>
        <color indexed="18"/>
        <rFont val="Arial"/>
        <family val="2"/>
      </rPr>
      <t xml:space="preserve">Dim. </t>
    </r>
    <r>
      <rPr>
        <sz val="12"/>
        <rFont val="Arial"/>
        <family val="2"/>
      </rPr>
      <t xml:space="preserve">Available only within procedure of declaration. </t>
    </r>
  </si>
  <si>
    <r>
      <t xml:space="preserve">Declared before 1st procedure of module using </t>
    </r>
    <r>
      <rPr>
        <sz val="12"/>
        <color indexed="18"/>
        <rFont val="Arial"/>
        <family val="2"/>
      </rPr>
      <t>Dim</t>
    </r>
    <r>
      <rPr>
        <sz val="12"/>
        <rFont val="Arial"/>
        <family val="2"/>
      </rPr>
      <t xml:space="preserve"> or </t>
    </r>
    <r>
      <rPr>
        <sz val="12"/>
        <color indexed="18"/>
        <rFont val="Arial"/>
        <family val="2"/>
      </rPr>
      <t>Private</t>
    </r>
    <r>
      <rPr>
        <sz val="12"/>
        <rFont val="Arial"/>
        <family val="2"/>
      </rPr>
      <t>. Available as long as code (project) is running.</t>
    </r>
  </si>
  <si>
    <t>Best Practice: Declare variables with "narrowest" possible scope (Encapsulation).</t>
  </si>
  <si>
    <t>Sub &amp; Function</t>
  </si>
  <si>
    <t>Sub</t>
  </si>
  <si>
    <t>End Sub</t>
  </si>
  <si>
    <t>[Exit Sub]</t>
  </si>
  <si>
    <t>Public</t>
  </si>
  <si>
    <t>Private</t>
  </si>
  <si>
    <t>Accessible to other procedures in module where it is declared</t>
  </si>
  <si>
    <r>
      <t xml:space="preserve">[Private | Public] [Static] Sub </t>
    </r>
    <r>
      <rPr>
        <i/>
        <sz val="12"/>
        <rFont val="Arial"/>
        <family val="2"/>
      </rPr>
      <t>name</t>
    </r>
    <r>
      <rPr>
        <sz val="12"/>
        <rFont val="Arial"/>
        <family val="2"/>
      </rPr>
      <t xml:space="preserve"> [(</t>
    </r>
    <r>
      <rPr>
        <i/>
        <sz val="12"/>
        <rFont val="Arial"/>
        <family val="2"/>
      </rPr>
      <t>arglist</t>
    </r>
    <r>
      <rPr>
        <sz val="12"/>
        <rFont val="Arial"/>
        <family val="2"/>
      </rPr>
      <t>)]</t>
    </r>
  </si>
  <si>
    <t>Accessible to all other procedures in all modules (default)</t>
  </si>
  <si>
    <r>
      <t xml:space="preserve">Procedure's local variables are preserved between calls (default: </t>
    </r>
    <r>
      <rPr>
        <b/>
        <sz val="12"/>
        <rFont val="Arial"/>
        <family val="2"/>
      </rPr>
      <t>NOT</t>
    </r>
    <r>
      <rPr>
        <sz val="12"/>
        <rFont val="Arial"/>
        <family val="2"/>
      </rPr>
      <t xml:space="preserve"> Static)</t>
    </r>
  </si>
  <si>
    <t>arglist</t>
  </si>
  <si>
    <r>
      <t xml:space="preserve">[Optional] [ByVal | ByRef] [ParamArray] </t>
    </r>
    <r>
      <rPr>
        <i/>
        <sz val="12"/>
        <rFont val="Arial"/>
        <family val="2"/>
      </rPr>
      <t>varname</t>
    </r>
    <r>
      <rPr>
        <sz val="12"/>
        <rFont val="Arial"/>
        <family val="2"/>
      </rPr>
      <t xml:space="preserve">[( )]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 xml:space="preserve">] [= </t>
    </r>
    <r>
      <rPr>
        <i/>
        <sz val="12"/>
        <rFont val="Arial"/>
        <family val="2"/>
      </rPr>
      <t>defaultvalue</t>
    </r>
    <r>
      <rPr>
        <sz val="12"/>
        <rFont val="Arial"/>
        <family val="2"/>
      </rPr>
      <t>]</t>
    </r>
  </si>
  <si>
    <t>Optional</t>
  </si>
  <si>
    <t>If used, all subsequent arguments must also be declared optional</t>
  </si>
  <si>
    <t>ParamArray</t>
  </si>
  <si>
    <t>Optionally used only as last argument to indicate an array of Variant elements</t>
  </si>
  <si>
    <t>Run macro "runParamArrayDemo"</t>
  </si>
  <si>
    <t>Function</t>
  </si>
  <si>
    <t>End Function</t>
  </si>
  <si>
    <t>[Exit Function]</t>
  </si>
  <si>
    <r>
      <t>[</t>
    </r>
    <r>
      <rPr>
        <i/>
        <sz val="12"/>
        <rFont val="Arial"/>
        <family val="2"/>
      </rPr>
      <t>name</t>
    </r>
    <r>
      <rPr>
        <sz val="12"/>
        <rFont val="Arial"/>
        <family val="2"/>
      </rPr>
      <t xml:space="preserve"> = </t>
    </r>
    <r>
      <rPr>
        <i/>
        <sz val="12"/>
        <rFont val="Arial"/>
        <family val="2"/>
      </rPr>
      <t>expression</t>
    </r>
    <r>
      <rPr>
        <sz val="12"/>
        <rFont val="Arial"/>
        <family val="2"/>
      </rPr>
      <t>]</t>
    </r>
  </si>
  <si>
    <r>
      <t xml:space="preserve">[Public | Private] [Static] Function </t>
    </r>
    <r>
      <rPr>
        <i/>
        <sz val="12"/>
        <rFont val="Arial"/>
        <family val="2"/>
      </rPr>
      <t>name</t>
    </r>
    <r>
      <rPr>
        <sz val="12"/>
        <rFont val="Arial"/>
        <family val="2"/>
      </rPr>
      <t xml:space="preserve"> [(</t>
    </r>
    <r>
      <rPr>
        <i/>
        <sz val="12"/>
        <rFont val="Arial"/>
        <family val="2"/>
      </rPr>
      <t>arglist</t>
    </r>
    <r>
      <rPr>
        <sz val="12"/>
        <rFont val="Arial"/>
        <family val="2"/>
      </rPr>
      <t xml:space="preserve">)]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>]</t>
    </r>
  </si>
  <si>
    <t>ByRef</t>
  </si>
  <si>
    <t>ByVal</t>
  </si>
  <si>
    <r>
      <t xml:space="preserve">pass-by-value - argument </t>
    </r>
    <r>
      <rPr>
        <b/>
        <sz val="12"/>
        <rFont val="Arial"/>
        <family val="2"/>
      </rPr>
      <t>NOT</t>
    </r>
    <r>
      <rPr>
        <sz val="12"/>
        <rFont val="Arial"/>
        <family val="2"/>
      </rPr>
      <t xml:space="preserve"> changed upon return of procedure (default)</t>
    </r>
  </si>
  <si>
    <r>
      <t xml:space="preserve">pass-by-reference - can </t>
    </r>
    <r>
      <rPr>
        <b/>
        <sz val="12"/>
        <rFont val="Arial"/>
        <family val="2"/>
      </rPr>
      <t>modify</t>
    </r>
    <r>
      <rPr>
        <sz val="12"/>
        <rFont val="Arial"/>
        <family val="2"/>
      </rPr>
      <t xml:space="preserve"> the argument. (default)</t>
    </r>
  </si>
  <si>
    <t>Run macro "testByRefByVal"</t>
  </si>
  <si>
    <t>Returning an array</t>
  </si>
  <si>
    <t>"=returnArray()" is entered as an array function in the yellow cells below. "Function returnArray()" in Module1.</t>
  </si>
  <si>
    <r>
      <t xml:space="preserve">use </t>
    </r>
    <r>
      <rPr>
        <sz val="12"/>
        <color indexed="18"/>
        <rFont val="Arial"/>
        <family val="2"/>
      </rPr>
      <t>Shift + Ctrl + Enter</t>
    </r>
    <r>
      <rPr>
        <sz val="12"/>
        <color indexed="57"/>
        <rFont val="Arial"/>
        <family val="2"/>
      </rPr>
      <t xml:space="preserve"> to enter array formula</t>
    </r>
  </si>
  <si>
    <t>Passing a range as an argument</t>
  </si>
  <si>
    <t>"Function sumof(vArray as Variant) as double" in Module1.</t>
  </si>
  <si>
    <t>Black-Scholes</t>
  </si>
  <si>
    <t>Option Input</t>
  </si>
  <si>
    <t>Spot Price</t>
  </si>
  <si>
    <t>Strike Price</t>
  </si>
  <si>
    <t>Maturity (time to maturity in days)</t>
  </si>
  <si>
    <t>Interest Rate</t>
  </si>
  <si>
    <t>Volatilty</t>
  </si>
  <si>
    <t>Dividend</t>
  </si>
  <si>
    <t xml:space="preserve"> </t>
  </si>
  <si>
    <t>Calculations</t>
  </si>
  <si>
    <t>Maturity (time to maturity in years)</t>
  </si>
  <si>
    <t>Use 365.25 days for 1 year</t>
  </si>
  <si>
    <t>Interest Rate (Continuous Compounding)</t>
  </si>
  <si>
    <t>Dividend (Continuous Compounding)</t>
  </si>
  <si>
    <t>d_1</t>
  </si>
  <si>
    <t>d_2</t>
  </si>
  <si>
    <t>Call Premium</t>
  </si>
  <si>
    <t>Put Premium</t>
  </si>
  <si>
    <t>Call</t>
  </si>
  <si>
    <t>Put</t>
  </si>
  <si>
    <t>Volatility</t>
  </si>
  <si>
    <t>Built-In Function</t>
  </si>
  <si>
    <t>VBA</t>
  </si>
  <si>
    <r>
      <t xml:space="preserve">Press </t>
    </r>
    <r>
      <rPr>
        <sz val="12"/>
        <color indexed="18"/>
        <rFont val="Arial"/>
        <family val="2"/>
      </rPr>
      <t>Alt + F11</t>
    </r>
    <r>
      <rPr>
        <sz val="12"/>
        <rFont val="Arial"/>
        <family val="2"/>
      </rPr>
      <t xml:space="preserve"> to go to </t>
    </r>
    <r>
      <rPr>
        <sz val="12"/>
        <color indexed="18"/>
        <rFont val="Arial"/>
        <family val="2"/>
      </rPr>
      <t>Microsoft Visual Basic</t>
    </r>
    <r>
      <rPr>
        <sz val="12"/>
        <rFont val="Arial"/>
        <family val="2"/>
      </rPr>
      <t xml:space="preserve">. In the </t>
    </r>
    <r>
      <rPr>
        <sz val="12"/>
        <color indexed="18"/>
        <rFont val="Arial"/>
        <family val="2"/>
      </rPr>
      <t>standard toolbar</t>
    </r>
    <r>
      <rPr>
        <sz val="12"/>
        <rFont val="Arial"/>
        <family val="2"/>
      </rPr>
      <t xml:space="preserve">, left click mouse button on </t>
    </r>
    <r>
      <rPr>
        <sz val="12"/>
        <color indexed="18"/>
        <rFont val="Arial"/>
        <family val="2"/>
      </rPr>
      <t>Object Browser</t>
    </r>
    <r>
      <rPr>
        <sz val="12"/>
        <rFont val="Arial"/>
        <family val="2"/>
      </rPr>
      <t>.</t>
    </r>
  </si>
  <si>
    <t>Math</t>
  </si>
  <si>
    <t>Abs, Atn, Cos, Exp, Log, Randomize (seed), Rnd (random number generator), Round, Sgn, Sin, Sqr, Tan</t>
  </si>
  <si>
    <t>Strings</t>
  </si>
  <si>
    <t>LCase, UCase, Len, Left, Right, Replace, LTrim, Rtrim, StrComp, Join, Space, Chr</t>
  </si>
  <si>
    <t>Financial</t>
  </si>
  <si>
    <t>FV, IRR, Nper, NPV, Pmt, PV, Rate</t>
  </si>
  <si>
    <t>DateTime</t>
  </si>
  <si>
    <t>Date, DateAdd, DateDiff, DateSerial, DateValue, Time, Timer, TimeSerial, TimeValue, Weekday, Year, Month, Day, Hour, Minute, Second, Now</t>
  </si>
  <si>
    <t>Information</t>
  </si>
  <si>
    <t>IsArray, IsDate, IsEmpty, IsError, IsNull, IsObject, TypeName, VarType</t>
  </si>
  <si>
    <t>Interaction</t>
  </si>
  <si>
    <t>MsgBox, InputBox, Environ, SendKeys, Shell</t>
  </si>
  <si>
    <t>Excel</t>
  </si>
  <si>
    <t>WorksheetFunction</t>
  </si>
  <si>
    <t>Uniform</t>
  </si>
  <si>
    <t>max</t>
  </si>
  <si>
    <t>min</t>
  </si>
  <si>
    <t>Bin</t>
  </si>
  <si>
    <t>Count</t>
  </si>
  <si>
    <t>VBA Introduction</t>
  </si>
  <si>
    <r>
      <t>Note that macro "</t>
    </r>
    <r>
      <rPr>
        <sz val="12"/>
        <color indexed="18"/>
        <rFont val="Arial"/>
        <family val="2"/>
      </rPr>
      <t>EnterValues</t>
    </r>
    <r>
      <rPr>
        <sz val="12"/>
        <rFont val="Arial"/>
        <family val="2"/>
      </rPr>
      <t>" was recorded using absolute reference (default).</t>
    </r>
  </si>
  <si>
    <t>Exercise: Go to Module 1 and fill in the code for the "boxMuller" function.</t>
  </si>
  <si>
    <r>
      <t xml:space="preserve">Exercise: Go to Module 1, complete the code for "callBS" and "putBS". </t>
    </r>
    <r>
      <rPr>
        <b/>
        <sz val="14"/>
        <color indexed="41"/>
        <rFont val="Arial"/>
        <family val="2"/>
      </rPr>
      <t>blue</t>
    </r>
    <r>
      <rPr>
        <b/>
        <sz val="14"/>
        <color indexed="50"/>
        <rFont val="Arial"/>
        <family val="2"/>
      </rPr>
      <t xml:space="preserve"> boxes.</t>
    </r>
  </si>
  <si>
    <r>
      <t xml:space="preserve">                   </t>
    </r>
    <r>
      <rPr>
        <b/>
        <sz val="14"/>
        <color indexed="17"/>
        <rFont val="Arial"/>
        <family val="2"/>
      </rPr>
      <t xml:space="preserve">The functions are used in the </t>
    </r>
    <r>
      <rPr>
        <b/>
        <sz val="14"/>
        <color indexed="15"/>
        <rFont val="Arial"/>
        <family val="2"/>
      </rPr>
      <t xml:space="preserve">blue </t>
    </r>
    <r>
      <rPr>
        <b/>
        <sz val="14"/>
        <color indexed="17"/>
        <rFont val="Arial"/>
        <family val="2"/>
      </rPr>
      <t>boxes below.</t>
    </r>
  </si>
  <si>
    <t xml:space="preserve">                   Chart "Call/Put Premium" against "Volatility"</t>
  </si>
  <si>
    <t>Exercise: Use Data Table to calculate the "Call/Put Premium" for varies "Volatility"</t>
  </si>
  <si>
    <t xml:space="preserve">                   Complete the code in sub "fillData" to copy the data to columns "Uniform" and column "Normal Box Muller".</t>
  </si>
  <si>
    <t>Run macro "builtInFunctionDemo"</t>
  </si>
  <si>
    <t>Repeat the above to assign macro "clearGreen" to button "Clear".</t>
  </si>
  <si>
    <r>
      <t xml:space="preserve">Left click </t>
    </r>
    <r>
      <rPr>
        <sz val="12"/>
        <color indexed="18"/>
        <rFont val="Arial"/>
        <family val="2"/>
      </rPr>
      <t xml:space="preserve">Office Button. </t>
    </r>
    <r>
      <rPr>
        <sz val="12"/>
        <rFont val="Arial"/>
        <family val="2"/>
      </rPr>
      <t xml:space="preserve">Left click </t>
    </r>
    <r>
      <rPr>
        <sz val="12"/>
        <color indexed="18"/>
        <rFont val="Arial"/>
        <family val="2"/>
      </rPr>
      <t xml:space="preserve">Excel Options. </t>
    </r>
    <r>
      <rPr>
        <sz val="12"/>
        <rFont val="Arial"/>
        <family val="2"/>
      </rPr>
      <t>Check "</t>
    </r>
    <r>
      <rPr>
        <sz val="12"/>
        <color rgb="FF000066"/>
        <rFont val="Arial"/>
        <family val="2"/>
      </rPr>
      <t>Show Developer tab in the Ribbon</t>
    </r>
    <r>
      <rPr>
        <sz val="12"/>
        <color theme="3"/>
        <rFont val="Arial"/>
        <family val="2"/>
      </rPr>
      <t>"</t>
    </r>
    <r>
      <rPr>
        <sz val="12"/>
        <rFont val="Arial"/>
        <family val="2"/>
      </rPr>
      <t>. Left click "</t>
    </r>
    <r>
      <rPr>
        <sz val="12"/>
        <color rgb="FF000066"/>
        <rFont val="Arial"/>
        <family val="2"/>
      </rPr>
      <t>OK</t>
    </r>
    <r>
      <rPr>
        <sz val="12"/>
        <rFont val="Arial"/>
        <family val="2"/>
      </rPr>
      <t>".</t>
    </r>
  </si>
  <si>
    <r>
      <t xml:space="preserve">Select  </t>
    </r>
    <r>
      <rPr>
        <sz val="12"/>
        <color rgb="FF000066"/>
        <rFont val="Arial"/>
        <family val="2"/>
      </rPr>
      <t xml:space="preserve">Developer </t>
    </r>
    <r>
      <rPr>
        <sz val="12"/>
        <rFont val="Arial"/>
        <family val="2"/>
      </rPr>
      <t xml:space="preserve">tab. Left click on </t>
    </r>
    <r>
      <rPr>
        <sz val="12"/>
        <color rgb="FF000066"/>
        <rFont val="Arial"/>
        <family val="2"/>
      </rPr>
      <t xml:space="preserve">Macro </t>
    </r>
    <r>
      <rPr>
        <sz val="12"/>
        <color indexed="18"/>
        <rFont val="Arial"/>
        <family val="2"/>
      </rPr>
      <t>Security</t>
    </r>
    <r>
      <rPr>
        <sz val="12"/>
        <rFont val="Arial"/>
        <family val="2"/>
      </rPr>
      <t>.</t>
    </r>
  </si>
  <si>
    <r>
      <t xml:space="preserve">Check </t>
    </r>
    <r>
      <rPr>
        <sz val="12"/>
        <color rgb="FF000066"/>
        <rFont val="Arial"/>
        <family val="2"/>
      </rPr>
      <t xml:space="preserve">Enable all macros </t>
    </r>
    <r>
      <rPr>
        <sz val="12"/>
        <rFont val="Arial"/>
        <family val="2"/>
      </rPr>
      <t xml:space="preserve">and </t>
    </r>
    <r>
      <rPr>
        <sz val="12"/>
        <color rgb="FF000066"/>
        <rFont val="Arial"/>
        <family val="2"/>
      </rPr>
      <t>Trust access to the VBA project object model</t>
    </r>
    <r>
      <rPr>
        <sz val="12"/>
        <rFont val="Arial"/>
        <family val="2"/>
      </rPr>
      <t>. Left click "</t>
    </r>
    <r>
      <rPr>
        <sz val="12"/>
        <color rgb="FF000066"/>
        <rFont val="Arial"/>
        <family val="2"/>
      </rPr>
      <t>OK</t>
    </r>
    <r>
      <rPr>
        <sz val="12"/>
        <rFont val="Arial"/>
        <family val="2"/>
      </rPr>
      <t>".</t>
    </r>
  </si>
  <si>
    <r>
      <t xml:space="preserve">Under the </t>
    </r>
    <r>
      <rPr>
        <sz val="12"/>
        <color rgb="FF000066"/>
        <rFont val="Arial"/>
        <family val="2"/>
      </rPr>
      <t xml:space="preserve">Developer </t>
    </r>
    <r>
      <rPr>
        <sz val="12"/>
        <rFont val="Arial"/>
        <family val="2"/>
      </rPr>
      <t>tab, left click on "</t>
    </r>
    <r>
      <rPr>
        <sz val="12"/>
        <color indexed="18"/>
        <rFont val="Arial"/>
        <family val="2"/>
      </rPr>
      <t>Record Macro</t>
    </r>
    <r>
      <rPr>
        <sz val="12"/>
        <rFont val="Arial"/>
        <family val="2"/>
      </rPr>
      <t>". In the "</t>
    </r>
    <r>
      <rPr>
        <sz val="12"/>
        <color indexed="18"/>
        <rFont val="Arial"/>
        <family val="2"/>
      </rPr>
      <t>Record Macro</t>
    </r>
    <r>
      <rPr>
        <sz val="12"/>
        <rFont val="Arial"/>
        <family val="2"/>
      </rPr>
      <t>" dialog, enter "</t>
    </r>
    <r>
      <rPr>
        <sz val="12"/>
        <color indexed="18"/>
        <rFont val="Arial"/>
        <family val="2"/>
      </rPr>
      <t>myCopy</t>
    </r>
    <r>
      <rPr>
        <sz val="12"/>
        <rFont val="Arial"/>
        <family val="2"/>
      </rPr>
      <t>" for "</t>
    </r>
    <r>
      <rPr>
        <sz val="12"/>
        <color indexed="18"/>
        <rFont val="Arial"/>
        <family val="2"/>
      </rPr>
      <t>Macro Name</t>
    </r>
    <r>
      <rPr>
        <sz val="12"/>
        <rFont val="Arial"/>
        <family val="2"/>
      </rPr>
      <t>:" and click "</t>
    </r>
    <r>
      <rPr>
        <sz val="12"/>
        <color indexed="18"/>
        <rFont val="Arial"/>
        <family val="2"/>
      </rPr>
      <t>OK</t>
    </r>
    <r>
      <rPr>
        <sz val="12"/>
        <rFont val="Arial"/>
        <family val="2"/>
      </rPr>
      <t>" .</t>
    </r>
  </si>
  <si>
    <r>
      <t>Press "</t>
    </r>
    <r>
      <rPr>
        <sz val="12"/>
        <color indexed="18"/>
        <rFont val="Arial"/>
        <family val="2"/>
      </rPr>
      <t>Alt + F8</t>
    </r>
    <r>
      <rPr>
        <sz val="12"/>
        <rFont val="Arial"/>
        <family val="2"/>
      </rPr>
      <t xml:space="preserve">" or under the </t>
    </r>
    <r>
      <rPr>
        <sz val="12"/>
        <color rgb="FF000066"/>
        <rFont val="Arial"/>
        <family val="2"/>
      </rPr>
      <t xml:space="preserve">Developer </t>
    </r>
    <r>
      <rPr>
        <sz val="12"/>
        <rFont val="Arial"/>
        <family val="2"/>
      </rPr>
      <t xml:space="preserve">tab, left click </t>
    </r>
    <r>
      <rPr>
        <sz val="12"/>
        <color indexed="18"/>
        <rFont val="Arial"/>
        <family val="2"/>
      </rPr>
      <t>Macros.</t>
    </r>
    <r>
      <rPr>
        <sz val="12"/>
        <rFont val="Arial"/>
        <family val="2"/>
      </rPr>
      <t xml:space="preserve"> Select "</t>
    </r>
    <r>
      <rPr>
        <sz val="12"/>
        <color indexed="18"/>
        <rFont val="Arial"/>
        <family val="2"/>
      </rPr>
      <t>myCopy</t>
    </r>
    <r>
      <rPr>
        <sz val="12"/>
        <rFont val="Arial"/>
        <family val="2"/>
      </rPr>
      <t>" and left click mouse button on "</t>
    </r>
    <r>
      <rPr>
        <sz val="12"/>
        <color indexed="18"/>
        <rFont val="Arial"/>
        <family val="2"/>
      </rPr>
      <t>Edit</t>
    </r>
    <r>
      <rPr>
        <sz val="12"/>
        <rFont val="Arial"/>
        <family val="2"/>
      </rPr>
      <t xml:space="preserve">" to look at the macro. </t>
    </r>
  </si>
  <si>
    <r>
      <t>Select Developer tab. Left click on "</t>
    </r>
    <r>
      <rPr>
        <sz val="12"/>
        <color indexed="18"/>
        <rFont val="Arial"/>
        <family val="2"/>
      </rPr>
      <t>Insert</t>
    </r>
    <r>
      <rPr>
        <sz val="12"/>
        <rFont val="Arial"/>
        <family val="2"/>
      </rPr>
      <t xml:space="preserve">". Under </t>
    </r>
    <r>
      <rPr>
        <sz val="12"/>
        <color indexed="18"/>
        <rFont val="Arial"/>
        <family val="2"/>
      </rPr>
      <t>Form Control</t>
    </r>
    <r>
      <rPr>
        <sz val="12"/>
        <rFont val="Arial"/>
        <family val="2"/>
      </rPr>
      <t xml:space="preserve">, left click </t>
    </r>
    <r>
      <rPr>
        <sz val="12"/>
        <color indexed="18"/>
        <rFont val="Arial"/>
        <family val="2"/>
      </rPr>
      <t>Button</t>
    </r>
    <r>
      <rPr>
        <sz val="12"/>
        <rFont val="Arial"/>
        <family val="2"/>
      </rPr>
      <t>.</t>
    </r>
  </si>
  <si>
    <r>
      <t>In the "</t>
    </r>
    <r>
      <rPr>
        <sz val="12"/>
        <color rgb="FF000066"/>
        <rFont val="Arial"/>
        <family val="2"/>
      </rPr>
      <t>Assign Macro</t>
    </r>
    <r>
      <rPr>
        <sz val="12"/>
        <rFont val="Arial"/>
        <family val="2"/>
      </rPr>
      <t>" dialogue, select "myCopy" and click "</t>
    </r>
    <r>
      <rPr>
        <sz val="12"/>
        <color rgb="FF000066"/>
        <rFont val="Arial"/>
        <family val="2"/>
      </rPr>
      <t>OK</t>
    </r>
    <r>
      <rPr>
        <sz val="12"/>
        <rFont val="Arial"/>
        <family val="2"/>
      </rPr>
      <t>".</t>
    </r>
  </si>
  <si>
    <r>
      <t>If a row is inserted before row 38, "</t>
    </r>
    <r>
      <rPr>
        <sz val="12"/>
        <color indexed="18"/>
        <rFont val="Arial"/>
        <family val="2"/>
      </rPr>
      <t>EnterValues</t>
    </r>
    <r>
      <rPr>
        <sz val="12"/>
        <rFont val="Arial"/>
        <family val="2"/>
      </rPr>
      <t xml:space="preserve">" would still enter the values start at cell B40. </t>
    </r>
    <r>
      <rPr>
        <b/>
        <sz val="12"/>
        <color indexed="18"/>
        <rFont val="Arial"/>
        <family val="2"/>
      </rPr>
      <t>Try</t>
    </r>
    <r>
      <rPr>
        <sz val="12"/>
        <rFont val="Arial"/>
        <family val="2"/>
      </rPr>
      <t>!</t>
    </r>
  </si>
  <si>
    <r>
      <t xml:space="preserve">Clear the mess by selecting </t>
    </r>
    <r>
      <rPr>
        <sz val="12"/>
        <color indexed="18"/>
        <rFont val="Arial"/>
        <family val="2"/>
      </rPr>
      <t>B40:B44</t>
    </r>
    <r>
      <rPr>
        <sz val="12"/>
        <rFont val="Arial"/>
        <family val="2"/>
      </rPr>
      <t xml:space="preserve"> and press </t>
    </r>
    <r>
      <rPr>
        <sz val="12"/>
        <color indexed="18"/>
        <rFont val="Arial"/>
        <family val="2"/>
      </rPr>
      <t>Delete</t>
    </r>
    <r>
      <rPr>
        <sz val="12"/>
        <rFont val="Arial"/>
        <family val="2"/>
      </rPr>
      <t>.</t>
    </r>
  </si>
  <si>
    <t>Now select B41 and run macro "EnterValuesRelative".</t>
  </si>
  <si>
    <r>
      <t>To record macro using relative reference, press "</t>
    </r>
    <r>
      <rPr>
        <sz val="12"/>
        <color rgb="FF002060"/>
        <rFont val="Arial"/>
        <family val="2"/>
      </rPr>
      <t xml:space="preserve">Use </t>
    </r>
    <r>
      <rPr>
        <sz val="12"/>
        <color indexed="18"/>
        <rFont val="Arial"/>
        <family val="2"/>
      </rPr>
      <t>Relative Reference</t>
    </r>
    <r>
      <rPr>
        <sz val="12"/>
        <rFont val="Arial"/>
        <family val="2"/>
      </rPr>
      <t>"</t>
    </r>
    <r>
      <rPr>
        <sz val="12"/>
        <rFont val="Arial"/>
        <family val="2"/>
      </rPr>
      <t xml:space="preserve">. </t>
    </r>
  </si>
  <si>
    <r>
      <t xml:space="preserve">Under the </t>
    </r>
    <r>
      <rPr>
        <sz val="12"/>
        <color indexed="18"/>
        <rFont val="Arial"/>
        <family val="2"/>
      </rPr>
      <t>Excel Help</t>
    </r>
    <r>
      <rPr>
        <sz val="12"/>
        <rFont val="Arial"/>
        <family val="2"/>
      </rPr>
      <t>, left click "</t>
    </r>
    <r>
      <rPr>
        <sz val="12"/>
        <color indexed="18"/>
        <rFont val="Arial"/>
        <family val="2"/>
      </rPr>
      <t>Excel Object Model Reference</t>
    </r>
    <r>
      <rPr>
        <sz val="12"/>
        <rFont val="Arial"/>
        <family val="2"/>
      </rPr>
      <t>".</t>
    </r>
  </si>
  <si>
    <r>
      <t xml:space="preserve">Press </t>
    </r>
    <r>
      <rPr>
        <sz val="12"/>
        <color indexed="18"/>
        <rFont val="Arial"/>
        <family val="2"/>
      </rPr>
      <t>Alt + F11</t>
    </r>
    <r>
      <rPr>
        <sz val="12"/>
        <rFont val="Arial"/>
        <family val="2"/>
      </rPr>
      <t xml:space="preserve"> or under </t>
    </r>
    <r>
      <rPr>
        <sz val="12"/>
        <color theme="3" tint="-0.249977111117893"/>
        <rFont val="Arial"/>
        <family val="2"/>
      </rPr>
      <t xml:space="preserve">Developer </t>
    </r>
    <r>
      <rPr>
        <sz val="12"/>
        <rFont val="Arial"/>
        <family val="2"/>
      </rPr>
      <t xml:space="preserve">tab, left click </t>
    </r>
    <r>
      <rPr>
        <sz val="12"/>
        <color indexed="18"/>
        <rFont val="Arial"/>
        <family val="2"/>
      </rPr>
      <t>Visual Basic</t>
    </r>
    <r>
      <rPr>
        <sz val="12"/>
        <rFont val="Arial"/>
        <family val="2"/>
      </rPr>
      <t>.</t>
    </r>
  </si>
  <si>
    <r>
      <t xml:space="preserve">To remove a module, select the module, right click and select </t>
    </r>
    <r>
      <rPr>
        <sz val="12"/>
        <color theme="3" tint="-0.249977111117893"/>
        <rFont val="Arial"/>
        <family val="2"/>
      </rPr>
      <t>Remove Module</t>
    </r>
  </si>
  <si>
    <r>
      <t>"Finding a Local Minimum Using the Excel Solver"</t>
    </r>
    <r>
      <rPr>
        <b/>
        <i/>
        <sz val="10"/>
        <rFont val="Verdana"/>
        <family val="2"/>
      </rPr>
      <t xml:space="preserve"> </t>
    </r>
  </si>
  <si>
    <t>Goal:</t>
  </si>
  <si>
    <r>
      <t xml:space="preserve">Find the value of </t>
    </r>
    <r>
      <rPr>
        <i/>
        <sz val="10"/>
        <rFont val="Verdana"/>
        <family val="2"/>
      </rPr>
      <t>x</t>
    </r>
    <r>
      <rPr>
        <sz val="10"/>
        <rFont val="Arial"/>
        <family val="2"/>
      </rPr>
      <t xml:space="preserve"> that minimizes </t>
    </r>
    <r>
      <rPr>
        <i/>
        <sz val="10"/>
        <rFont val="Verdana"/>
        <family val="2"/>
      </rPr>
      <t>f</t>
    </r>
    <r>
      <rPr>
        <sz val="10"/>
        <rFont val="Arial"/>
        <family val="2"/>
      </rPr>
      <t>,</t>
    </r>
  </si>
  <si>
    <t>x (min)</t>
  </si>
  <si>
    <r>
      <t xml:space="preserve">subject to -1 ≤ </t>
    </r>
    <r>
      <rPr>
        <i/>
        <sz val="10"/>
        <rFont val="Verdana"/>
        <family val="2"/>
      </rPr>
      <t>x</t>
    </r>
    <r>
      <rPr>
        <sz val="10"/>
        <rFont val="Arial"/>
        <family val="2"/>
      </rPr>
      <t xml:space="preserve"> ≤ 5 </t>
    </r>
  </si>
  <si>
    <t>x (max)</t>
  </si>
  <si>
    <t>x</t>
  </si>
  <si>
    <t>f</t>
  </si>
  <si>
    <t>Objective Function</t>
  </si>
  <si>
    <t>Design Variables</t>
  </si>
  <si>
    <t>Constraints</t>
  </si>
  <si>
    <t>x ≥</t>
  </si>
  <si>
    <t>x 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</si>
</sst>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-* #,##0.00_-;\-* #,##0.00_-;_-* &quot;-&quot;??_-;_-@_-"/>
    <numFmt numFmtId="177" formatCode="0.0000"/>
    <numFmt numFmtId="178" formatCode="#,##0.0000_ "/>
  </numFmts>
  <fonts count="58"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20"/>
      <color indexed="13"/>
      <name val="Arial"/>
      <family val="2"/>
    </font>
    <font>
      <sz val="16"/>
      <color indexed="13"/>
      <name val="Arial"/>
      <family val="2"/>
    </font>
    <font>
      <b/>
      <sz val="22"/>
      <name val="Book Antiqua"/>
      <family val="1"/>
    </font>
    <font>
      <sz val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9"/>
      <name val="細明體"/>
      <family val="3"/>
      <charset val="136"/>
    </font>
    <font>
      <u/>
      <sz val="10"/>
      <color indexed="12"/>
      <name val="Arial"/>
      <family val="2"/>
    </font>
    <font>
      <sz val="22"/>
      <color indexed="13"/>
      <name val="Times New Roman"/>
      <family val="1"/>
    </font>
    <font>
      <sz val="12"/>
      <color indexed="18"/>
      <name val="Arial"/>
      <family val="2"/>
    </font>
    <font>
      <sz val="12"/>
      <color indexed="16"/>
      <name val="Arial"/>
      <family val="2"/>
    </font>
    <font>
      <b/>
      <sz val="14"/>
      <name val="Arial"/>
      <family val="2"/>
    </font>
    <font>
      <sz val="10"/>
      <color indexed="47"/>
      <name val="Arial"/>
      <family val="2"/>
    </font>
    <font>
      <b/>
      <sz val="12"/>
      <color indexed="18"/>
      <name val="Arial"/>
      <family val="2"/>
    </font>
    <font>
      <sz val="11"/>
      <color indexed="13"/>
      <name val="Arial"/>
      <family val="2"/>
    </font>
    <font>
      <sz val="11"/>
      <name val="Arial"/>
      <family val="2"/>
    </font>
    <font>
      <sz val="12"/>
      <color indexed="18"/>
      <name val="Symbol"/>
      <family val="1"/>
      <charset val="2"/>
    </font>
    <font>
      <sz val="12"/>
      <color indexed="42"/>
      <name val="Arial"/>
      <family val="2"/>
    </font>
    <font>
      <sz val="14"/>
      <name val="Arial"/>
      <family val="2"/>
    </font>
    <font>
      <sz val="12"/>
      <color indexed="20"/>
      <name val="Arial"/>
      <family val="2"/>
    </font>
    <font>
      <i/>
      <sz val="12"/>
      <name val="Arial"/>
      <family val="2"/>
    </font>
    <font>
      <sz val="12"/>
      <color indexed="10"/>
      <name val="Arial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57"/>
      <name val="Arial"/>
      <family val="2"/>
    </font>
    <font>
      <u/>
      <sz val="12"/>
      <color indexed="12"/>
      <name val="Arial"/>
      <family val="2"/>
    </font>
    <font>
      <b/>
      <sz val="12"/>
      <color indexed="20"/>
      <name val="Arial"/>
      <family val="2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22"/>
      <color indexed="13"/>
      <name val="Arial"/>
      <family val="2"/>
    </font>
    <font>
      <b/>
      <sz val="14"/>
      <color indexed="17"/>
      <name val="Arial"/>
      <family val="2"/>
    </font>
    <font>
      <b/>
      <sz val="14"/>
      <color indexed="41"/>
      <name val="Arial"/>
      <family val="2"/>
    </font>
    <font>
      <b/>
      <sz val="14"/>
      <color indexed="50"/>
      <name val="Arial"/>
      <family val="2"/>
    </font>
    <font>
      <i/>
      <sz val="14"/>
      <name val="Arial"/>
      <family val="2"/>
    </font>
    <font>
      <b/>
      <sz val="12"/>
      <color indexed="17"/>
      <name val="Arial"/>
      <family val="2"/>
    </font>
    <font>
      <sz val="14"/>
      <color indexed="18"/>
      <name val="Arial"/>
      <family val="2"/>
    </font>
    <font>
      <b/>
      <sz val="14"/>
      <color indexed="15"/>
      <name val="Arial"/>
      <family val="2"/>
    </font>
    <font>
      <sz val="12"/>
      <color theme="3"/>
      <name val="Arial"/>
      <family val="2"/>
    </font>
    <font>
      <sz val="12"/>
      <color rgb="FF000066"/>
      <name val="Arial"/>
      <family val="2"/>
    </font>
    <font>
      <sz val="12"/>
      <color theme="3" tint="-0.249977111117893"/>
      <name val="Arial"/>
      <family val="2"/>
    </font>
    <font>
      <sz val="12"/>
      <color rgb="FF002060"/>
      <name val="Arial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i/>
      <sz val="10"/>
      <name val="Verdana"/>
      <family val="2"/>
    </font>
    <font>
      <b/>
      <sz val="10"/>
      <color indexed="9"/>
      <name val="Verdana"/>
      <family val="2"/>
    </font>
    <font>
      <sz val="10"/>
      <color indexed="9"/>
      <name val="Verdana"/>
      <family val="2"/>
    </font>
    <font>
      <b/>
      <i/>
      <sz val="10"/>
      <name val="Times New Roman"/>
      <family val="1"/>
    </font>
    <font>
      <sz val="10"/>
      <name val="Verdana"/>
      <family val="2"/>
    </font>
    <font>
      <sz val="9"/>
      <color indexed="8"/>
      <name val="Verdana"/>
      <family val="2"/>
    </font>
    <font>
      <b/>
      <sz val="8"/>
      <color indexed="8"/>
      <name val="Verdana"/>
      <family val="2"/>
    </font>
    <font>
      <sz val="9"/>
      <name val="宋体"/>
      <family val="3"/>
      <charset val="134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56"/>
      </bottom>
      <diagonal/>
    </border>
  </borders>
  <cellStyleXfs count="5">
    <xf numFmtId="0" fontId="0" fillId="0" borderId="0"/>
    <xf numFmtId="176" fontId="2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32" fillId="0" borderId="0"/>
    <xf numFmtId="9" fontId="2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Border="1"/>
    <xf numFmtId="0" fontId="0" fillId="2" borderId="0" xfId="0" applyFill="1"/>
    <xf numFmtId="0" fontId="6" fillId="0" borderId="0" xfId="0" applyFont="1"/>
    <xf numFmtId="0" fontId="0" fillId="0" borderId="0" xfId="0" applyFill="1" applyBorder="1"/>
    <xf numFmtId="0" fontId="3" fillId="3" borderId="0" xfId="0" applyFont="1" applyFill="1" applyBorder="1" applyAlignment="1">
      <alignment vertical="top" wrapText="1"/>
    </xf>
    <xf numFmtId="0" fontId="4" fillId="4" borderId="0" xfId="2" applyFont="1" applyFill="1" applyAlignment="1" applyProtection="1">
      <alignment horizontal="left" vertical="center"/>
    </xf>
    <xf numFmtId="0" fontId="4" fillId="4" borderId="0" xfId="0" applyFont="1" applyFill="1" applyAlignment="1">
      <alignment horizontal="left" vertical="center"/>
    </xf>
    <xf numFmtId="0" fontId="11" fillId="3" borderId="1" xfId="0" applyFont="1" applyFill="1" applyBorder="1"/>
    <xf numFmtId="0" fontId="0" fillId="5" borderId="0" xfId="0" applyFill="1"/>
    <xf numFmtId="0" fontId="12" fillId="6" borderId="0" xfId="0" applyFont="1" applyFill="1"/>
    <xf numFmtId="0" fontId="6" fillId="6" borderId="0" xfId="0" applyFont="1" applyFill="1"/>
    <xf numFmtId="0" fontId="15" fillId="5" borderId="0" xfId="0" applyFont="1" applyFill="1"/>
    <xf numFmtId="0" fontId="5" fillId="6" borderId="0" xfId="0" applyFont="1" applyFill="1" applyAlignment="1">
      <alignment horizontal="center" vertical="center"/>
    </xf>
    <xf numFmtId="0" fontId="17" fillId="3" borderId="0" xfId="0" applyFont="1" applyFill="1" applyBorder="1"/>
    <xf numFmtId="0" fontId="18" fillId="0" borderId="0" xfId="0" applyFont="1"/>
    <xf numFmtId="0" fontId="6" fillId="7" borderId="0" xfId="0" applyFont="1" applyFill="1"/>
    <xf numFmtId="0" fontId="6" fillId="8" borderId="0" xfId="0" applyFont="1" applyFill="1"/>
    <xf numFmtId="0" fontId="20" fillId="9" borderId="2" xfId="0" applyFont="1" applyFill="1" applyBorder="1"/>
    <xf numFmtId="0" fontId="20" fillId="9" borderId="3" xfId="0" applyFont="1" applyFill="1" applyBorder="1"/>
    <xf numFmtId="0" fontId="20" fillId="9" borderId="4" xfId="0" applyFont="1" applyFill="1" applyBorder="1"/>
    <xf numFmtId="0" fontId="20" fillId="9" borderId="5" xfId="0" applyFont="1" applyFill="1" applyBorder="1"/>
    <xf numFmtId="0" fontId="20" fillId="9" borderId="0" xfId="0" applyFont="1" applyFill="1" applyBorder="1"/>
    <xf numFmtId="0" fontId="20" fillId="9" borderId="6" xfId="0" applyFont="1" applyFill="1" applyBorder="1"/>
    <xf numFmtId="0" fontId="20" fillId="9" borderId="1" xfId="0" applyFont="1" applyFill="1" applyBorder="1"/>
    <xf numFmtId="0" fontId="20" fillId="9" borderId="7" xfId="0" applyFont="1" applyFill="1" applyBorder="1"/>
    <xf numFmtId="0" fontId="20" fillId="9" borderId="8" xfId="0" applyFont="1" applyFill="1" applyBorder="1"/>
    <xf numFmtId="0" fontId="7" fillId="8" borderId="0" xfId="0" applyFont="1" applyFill="1"/>
    <xf numFmtId="0" fontId="6" fillId="0" borderId="0" xfId="0" applyFont="1" applyFill="1"/>
    <xf numFmtId="0" fontId="14" fillId="6" borderId="0" xfId="0" applyFont="1" applyFill="1"/>
    <xf numFmtId="0" fontId="21" fillId="6" borderId="0" xfId="0" applyFont="1" applyFill="1"/>
    <xf numFmtId="0" fontId="21" fillId="0" borderId="0" xfId="0" applyFont="1"/>
    <xf numFmtId="0" fontId="4" fillId="0" borderId="0" xfId="2" applyFont="1" applyFill="1" applyBorder="1" applyAlignment="1" applyProtection="1">
      <alignment horizontal="left" vertical="center"/>
    </xf>
    <xf numFmtId="0" fontId="6" fillId="5" borderId="0" xfId="0" applyFont="1" applyFill="1"/>
    <xf numFmtId="0" fontId="7" fillId="6" borderId="0" xfId="0" quotePrefix="1" applyFont="1" applyFill="1"/>
    <xf numFmtId="0" fontId="13" fillId="6" borderId="0" xfId="0" applyFont="1" applyFill="1"/>
    <xf numFmtId="0" fontId="22" fillId="6" borderId="0" xfId="0" applyFont="1" applyFill="1"/>
    <xf numFmtId="0" fontId="0" fillId="0" borderId="0" xfId="0" applyAlignment="1">
      <alignment vertical="top" wrapText="1"/>
    </xf>
    <xf numFmtId="0" fontId="1" fillId="0" borderId="0" xfId="0" applyFont="1" applyAlignment="1">
      <alignment vertical="top" wrapText="1"/>
    </xf>
    <xf numFmtId="0" fontId="23" fillId="6" borderId="0" xfId="0" applyFont="1" applyFill="1"/>
    <xf numFmtId="0" fontId="24" fillId="6" borderId="0" xfId="0" applyFont="1" applyFill="1"/>
    <xf numFmtId="0" fontId="10" fillId="0" borderId="0" xfId="2" applyAlignment="1" applyProtection="1">
      <alignment vertical="top" wrapText="1"/>
    </xf>
    <xf numFmtId="1" fontId="6" fillId="6" borderId="0" xfId="0" applyNumberFormat="1" applyFont="1" applyFill="1"/>
    <xf numFmtId="0" fontId="6" fillId="6" borderId="0" xfId="0" quotePrefix="1" applyFont="1" applyFill="1"/>
    <xf numFmtId="0" fontId="23" fillId="0" borderId="0" xfId="0" applyFont="1" applyFill="1"/>
    <xf numFmtId="0" fontId="22" fillId="0" borderId="0" xfId="0" applyFont="1" applyFill="1"/>
    <xf numFmtId="1" fontId="6" fillId="0" borderId="0" xfId="0" applyNumberFormat="1" applyFont="1" applyFill="1"/>
    <xf numFmtId="0" fontId="29" fillId="6" borderId="0" xfId="0" applyFont="1" applyFill="1"/>
    <xf numFmtId="0" fontId="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30" fillId="0" borderId="0" xfId="2" applyFont="1" applyAlignment="1" applyProtection="1">
      <alignment vertical="top" wrapText="1"/>
    </xf>
    <xf numFmtId="0" fontId="7" fillId="6" borderId="0" xfId="0" applyFont="1" applyFill="1"/>
    <xf numFmtId="0" fontId="6" fillId="6" borderId="0" xfId="0" applyFont="1" applyFill="1" applyBorder="1"/>
    <xf numFmtId="0" fontId="31" fillId="7" borderId="0" xfId="0" applyFont="1" applyFill="1" applyBorder="1"/>
    <xf numFmtId="1" fontId="6" fillId="5" borderId="0" xfId="0" applyNumberFormat="1" applyFont="1" applyFill="1"/>
    <xf numFmtId="1" fontId="6" fillId="9" borderId="0" xfId="0" applyNumberFormat="1" applyFont="1" applyFill="1"/>
    <xf numFmtId="0" fontId="34" fillId="3" borderId="1" xfId="0" applyFont="1" applyFill="1" applyBorder="1"/>
    <xf numFmtId="0" fontId="34" fillId="3" borderId="0" xfId="0" applyFont="1" applyFill="1" applyBorder="1"/>
    <xf numFmtId="0" fontId="6" fillId="0" borderId="0" xfId="3" applyFont="1"/>
    <xf numFmtId="0" fontId="12" fillId="0" borderId="0" xfId="3" applyFont="1" applyFill="1" applyBorder="1"/>
    <xf numFmtId="0" fontId="35" fillId="0" borderId="0" xfId="0" applyFont="1" applyFill="1"/>
    <xf numFmtId="0" fontId="14" fillId="0" borderId="0" xfId="3" applyFont="1"/>
    <xf numFmtId="0" fontId="14" fillId="10" borderId="9" xfId="3" applyFont="1" applyFill="1" applyBorder="1" applyAlignment="1">
      <alignment horizontal="left"/>
    </xf>
    <xf numFmtId="0" fontId="6" fillId="6" borderId="5" xfId="3" applyFont="1" applyFill="1" applyBorder="1"/>
    <xf numFmtId="0" fontId="6" fillId="6" borderId="3" xfId="3" applyFont="1" applyFill="1" applyBorder="1"/>
    <xf numFmtId="2" fontId="6" fillId="5" borderId="10" xfId="1" applyNumberFormat="1" applyFont="1" applyFill="1" applyBorder="1"/>
    <xf numFmtId="0" fontId="6" fillId="6" borderId="0" xfId="3" applyFont="1" applyFill="1" applyBorder="1"/>
    <xf numFmtId="2" fontId="6" fillId="5" borderId="10" xfId="3" applyNumberFormat="1" applyFont="1" applyFill="1" applyBorder="1"/>
    <xf numFmtId="0" fontId="24" fillId="0" borderId="0" xfId="3" applyFont="1"/>
    <xf numFmtId="1" fontId="6" fillId="5" borderId="10" xfId="4" applyNumberFormat="1" applyFont="1" applyFill="1" applyBorder="1"/>
    <xf numFmtId="10" fontId="6" fillId="5" borderId="10" xfId="3" applyNumberFormat="1" applyFont="1" applyFill="1" applyBorder="1"/>
    <xf numFmtId="10" fontId="6" fillId="5" borderId="10" xfId="4" applyNumberFormat="1" applyFont="1" applyFill="1" applyBorder="1"/>
    <xf numFmtId="0" fontId="6" fillId="6" borderId="1" xfId="3" applyFont="1" applyFill="1" applyBorder="1"/>
    <xf numFmtId="0" fontId="6" fillId="6" borderId="7" xfId="3" applyFont="1" applyFill="1" applyBorder="1"/>
    <xf numFmtId="10" fontId="6" fillId="5" borderId="11" xfId="4" applyNumberFormat="1" applyFont="1" applyFill="1" applyBorder="1"/>
    <xf numFmtId="0" fontId="6" fillId="0" borderId="0" xfId="3" applyFont="1" applyFill="1" applyBorder="1"/>
    <xf numFmtId="176" fontId="6" fillId="0" borderId="0" xfId="3" applyNumberFormat="1" applyFont="1"/>
    <xf numFmtId="0" fontId="14" fillId="11" borderId="9" xfId="3" applyFont="1" applyFill="1" applyBorder="1" applyAlignment="1">
      <alignment horizontal="left"/>
    </xf>
    <xf numFmtId="0" fontId="6" fillId="0" borderId="1" xfId="3" applyFont="1" applyBorder="1"/>
    <xf numFmtId="0" fontId="6" fillId="0" borderId="7" xfId="3" applyFont="1" applyBorder="1"/>
    <xf numFmtId="0" fontId="6" fillId="12" borderId="5" xfId="3" applyFont="1" applyFill="1" applyBorder="1"/>
    <xf numFmtId="0" fontId="6" fillId="12" borderId="0" xfId="3" applyFont="1" applyFill="1" applyBorder="1"/>
    <xf numFmtId="177" fontId="12" fillId="9" borderId="10" xfId="1" applyNumberFormat="1" applyFont="1" applyFill="1" applyBorder="1"/>
    <xf numFmtId="0" fontId="12" fillId="0" borderId="0" xfId="3" applyFont="1"/>
    <xf numFmtId="177" fontId="12" fillId="9" borderId="10" xfId="3" applyNumberFormat="1" applyFont="1" applyFill="1" applyBorder="1"/>
    <xf numFmtId="0" fontId="6" fillId="12" borderId="1" xfId="3" applyFont="1" applyFill="1" applyBorder="1"/>
    <xf numFmtId="0" fontId="6" fillId="12" borderId="7" xfId="3" applyFont="1" applyFill="1" applyBorder="1"/>
    <xf numFmtId="178" fontId="6" fillId="0" borderId="0" xfId="3" applyNumberFormat="1" applyFont="1"/>
    <xf numFmtId="0" fontId="6" fillId="6" borderId="0" xfId="3" applyFont="1" applyFill="1" applyAlignment="1">
      <alignment horizontal="right"/>
    </xf>
    <xf numFmtId="0" fontId="6" fillId="6" borderId="0" xfId="3" applyFont="1" applyFill="1"/>
    <xf numFmtId="177" fontId="6" fillId="12" borderId="0" xfId="3" applyNumberFormat="1" applyFont="1" applyFill="1"/>
    <xf numFmtId="9" fontId="6" fillId="5" borderId="0" xfId="3" applyNumberFormat="1" applyFont="1" applyFill="1"/>
    <xf numFmtId="0" fontId="6" fillId="9" borderId="0" xfId="3" applyFont="1" applyFill="1"/>
    <xf numFmtId="177" fontId="6" fillId="9" borderId="0" xfId="3" applyNumberFormat="1" applyFont="1" applyFill="1"/>
    <xf numFmtId="177" fontId="12" fillId="0" borderId="10" xfId="3" applyNumberFormat="1" applyFont="1" applyFill="1" applyBorder="1"/>
    <xf numFmtId="0" fontId="6" fillId="13" borderId="0" xfId="3" applyFont="1" applyFill="1"/>
    <xf numFmtId="0" fontId="38" fillId="0" borderId="0" xfId="0" applyFont="1"/>
    <xf numFmtId="0" fontId="1" fillId="7" borderId="0" xfId="0" applyFont="1" applyFill="1"/>
    <xf numFmtId="0" fontId="0" fillId="9" borderId="0" xfId="0" applyFill="1"/>
    <xf numFmtId="0" fontId="1" fillId="7" borderId="12" xfId="0" applyFont="1" applyFill="1" applyBorder="1" applyAlignment="1">
      <alignment horizontal="right"/>
    </xf>
    <xf numFmtId="2" fontId="0" fillId="5" borderId="12" xfId="0" applyNumberFormat="1" applyFill="1" applyBorder="1"/>
    <xf numFmtId="0" fontId="0" fillId="9" borderId="12" xfId="0" applyFill="1" applyBorder="1"/>
    <xf numFmtId="2" fontId="0" fillId="5" borderId="13" xfId="0" applyNumberFormat="1" applyFill="1" applyBorder="1"/>
    <xf numFmtId="0" fontId="0" fillId="9" borderId="13" xfId="0" applyFill="1" applyBorder="1"/>
    <xf numFmtId="2" fontId="0" fillId="0" borderId="0" xfId="0" applyNumberFormat="1" applyFill="1" applyBorder="1"/>
    <xf numFmtId="0" fontId="1" fillId="7" borderId="0" xfId="0" applyFont="1" applyFill="1" applyAlignment="1">
      <alignment wrapText="1"/>
    </xf>
    <xf numFmtId="0" fontId="0" fillId="7" borderId="0" xfId="0" applyFill="1"/>
    <xf numFmtId="0" fontId="39" fillId="0" borderId="0" xfId="0" applyFont="1"/>
    <xf numFmtId="0" fontId="40" fillId="0" borderId="0" xfId="3" applyFont="1" applyFill="1" applyBorder="1"/>
    <xf numFmtId="14" fontId="6" fillId="0" borderId="0" xfId="0" applyNumberFormat="1" applyFont="1"/>
    <xf numFmtId="0" fontId="46" fillId="0" borderId="0" xfId="0" applyFont="1"/>
    <xf numFmtId="0" fontId="0" fillId="0" borderId="0" xfId="0" applyAlignment="1">
      <alignment horizontal="right"/>
    </xf>
    <xf numFmtId="0" fontId="0" fillId="0" borderId="0" xfId="0" applyFill="1"/>
    <xf numFmtId="0" fontId="46" fillId="0" borderId="14" xfId="0" applyFont="1" applyBorder="1" applyAlignment="1">
      <alignment horizontal="center"/>
    </xf>
    <xf numFmtId="0" fontId="49" fillId="14" borderId="15" xfId="0" applyFont="1" applyFill="1" applyBorder="1"/>
    <xf numFmtId="0" fontId="50" fillId="14" borderId="15" xfId="0" applyFont="1" applyFill="1" applyBorder="1"/>
    <xf numFmtId="0" fontId="51" fillId="0" borderId="0" xfId="0" applyFont="1" applyAlignment="1">
      <alignment horizontal="right"/>
    </xf>
    <xf numFmtId="0" fontId="52" fillId="15" borderId="0" xfId="0" applyFont="1" applyFill="1"/>
    <xf numFmtId="0" fontId="0" fillId="13" borderId="0" xfId="0" applyFill="1"/>
    <xf numFmtId="0" fontId="5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4" fillId="0" borderId="0" xfId="0" applyFont="1" applyAlignment="1">
      <alignment horizontal="center"/>
    </xf>
  </cellXfs>
  <cellStyles count="5">
    <cellStyle name="Comma" xfId="1" builtinId="3"/>
    <cellStyle name="Hyperlink" xfId="2" builtinId="8"/>
    <cellStyle name="Normal" xfId="0" builtinId="0"/>
    <cellStyle name="Normal_spreadmod_module3_VBA1_ans" xfId="3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Using NORMALINV</a:t>
            </a:r>
          </a:p>
        </c:rich>
      </c:tx>
      <c:layout>
        <c:manualLayout>
          <c:xMode val="edge"/>
          <c:yMode val="edge"/>
          <c:x val="0.34455958549222798"/>
          <c:y val="3.55871886120996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39896373056994"/>
          <c:y val="0.20996441281138806"/>
          <c:w val="0.85233160621761661"/>
          <c:h val="0.59786476868327398"/>
        </c:manualLayout>
      </c:layout>
      <c:lineChart>
        <c:grouping val="standard"/>
        <c:varyColors val="0"/>
        <c:ser>
          <c:idx val="0"/>
          <c:order val="0"/>
          <c:tx>
            <c:v>NORMALINV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'Box Muller'!$F$36:$F$48</c:f>
              <c:numCache>
                <c:formatCode>0.00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cat>
          <c:val>
            <c:numRef>
              <c:f>'Box Muller'!$G$36:$G$48</c:f>
              <c:numCache>
                <c:formatCode>General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17</c:v>
                </c:pt>
                <c:pt idx="3">
                  <c:v>41</c:v>
                </c:pt>
                <c:pt idx="4">
                  <c:v>94</c:v>
                </c:pt>
                <c:pt idx="5">
                  <c:v>163</c:v>
                </c:pt>
                <c:pt idx="6">
                  <c:v>201</c:v>
                </c:pt>
                <c:pt idx="7">
                  <c:v>186</c:v>
                </c:pt>
                <c:pt idx="8">
                  <c:v>141</c:v>
                </c:pt>
                <c:pt idx="9">
                  <c:v>96</c:v>
                </c:pt>
                <c:pt idx="10">
                  <c:v>38</c:v>
                </c:pt>
                <c:pt idx="11">
                  <c:v>9</c:v>
                </c:pt>
                <c:pt idx="12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3175">
              <a:solidFill>
                <a:srgbClr val="FF00FF"/>
              </a:solidFill>
              <a:prstDash val="solid"/>
            </a:ln>
          </c:spPr>
        </c:dropLines>
        <c:marker val="1"/>
        <c:smooth val="0"/>
        <c:axId val="188379136"/>
        <c:axId val="186641792"/>
      </c:lineChart>
      <c:catAx>
        <c:axId val="1883791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8664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641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883791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Box Muller</a:t>
            </a:r>
          </a:p>
        </c:rich>
      </c:tx>
      <c:layout>
        <c:manualLayout>
          <c:xMode val="edge"/>
          <c:yMode val="edge"/>
          <c:x val="0.41666772630749088"/>
          <c:y val="3.55871886120996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97945144513816"/>
          <c:y val="0.20640569395017794"/>
          <c:w val="0.85156466564093436"/>
          <c:h val="0.60142348754448438"/>
        </c:manualLayout>
      </c:layout>
      <c:lineChart>
        <c:grouping val="standard"/>
        <c:varyColors val="0"/>
        <c:ser>
          <c:idx val="1"/>
          <c:order val="0"/>
          <c:tx>
            <c:v>BOXMULLER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'Box Muller'!$F$62:$F$74</c:f>
              <c:numCache>
                <c:formatCode>0.00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cat>
          <c:val>
            <c:numRef>
              <c:f>'Box Muller'!$G$62:$G$74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12</c:v>
                </c:pt>
                <c:pt idx="3">
                  <c:v>50</c:v>
                </c:pt>
                <c:pt idx="4">
                  <c:v>96</c:v>
                </c:pt>
                <c:pt idx="5">
                  <c:v>146</c:v>
                </c:pt>
                <c:pt idx="6">
                  <c:v>197</c:v>
                </c:pt>
                <c:pt idx="7">
                  <c:v>199</c:v>
                </c:pt>
                <c:pt idx="8">
                  <c:v>139</c:v>
                </c:pt>
                <c:pt idx="9">
                  <c:v>82</c:v>
                </c:pt>
                <c:pt idx="10">
                  <c:v>50</c:v>
                </c:pt>
                <c:pt idx="11">
                  <c:v>17</c:v>
                </c:pt>
                <c:pt idx="12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3175">
              <a:solidFill>
                <a:srgbClr val="FF00FF"/>
              </a:solidFill>
              <a:prstDash val="solid"/>
            </a:ln>
          </c:spPr>
        </c:dropLines>
        <c:marker val="1"/>
        <c:smooth val="0"/>
        <c:axId val="188380672"/>
        <c:axId val="186643520"/>
      </c:lineChart>
      <c:catAx>
        <c:axId val="18838067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86643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643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883806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415730337078747E-2"/>
          <c:y val="9.923682616596019E-2"/>
          <c:w val="0.86797752808988815"/>
          <c:h val="0.7290089922191684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[3]Solver!$I$14:$I$54</c:f>
              <c:numCache>
                <c:formatCode>General</c:formatCode>
                <c:ptCount val="41"/>
                <c:pt idx="0">
                  <c:v>-1</c:v>
                </c:pt>
                <c:pt idx="1">
                  <c:v>-0.85</c:v>
                </c:pt>
                <c:pt idx="2">
                  <c:v>-0.7</c:v>
                </c:pt>
                <c:pt idx="3">
                  <c:v>-0.55000000000000004</c:v>
                </c:pt>
                <c:pt idx="4">
                  <c:v>-0.4</c:v>
                </c:pt>
                <c:pt idx="5">
                  <c:v>-0.25</c:v>
                </c:pt>
                <c:pt idx="6">
                  <c:v>-9.9999999999999922E-2</c:v>
                </c:pt>
                <c:pt idx="7">
                  <c:v>5.0000000000000072E-2</c:v>
                </c:pt>
                <c:pt idx="8">
                  <c:v>0.2</c:v>
                </c:pt>
                <c:pt idx="9">
                  <c:v>0.35</c:v>
                </c:pt>
                <c:pt idx="10">
                  <c:v>0.5</c:v>
                </c:pt>
                <c:pt idx="11">
                  <c:v>0.65</c:v>
                </c:pt>
                <c:pt idx="12">
                  <c:v>0.8</c:v>
                </c:pt>
                <c:pt idx="13">
                  <c:v>0.95</c:v>
                </c:pt>
                <c:pt idx="14">
                  <c:v>1.1000000000000001</c:v>
                </c:pt>
                <c:pt idx="15">
                  <c:v>1.25</c:v>
                </c:pt>
                <c:pt idx="16">
                  <c:v>1.4</c:v>
                </c:pt>
                <c:pt idx="17">
                  <c:v>1.55</c:v>
                </c:pt>
                <c:pt idx="18">
                  <c:v>1.7</c:v>
                </c:pt>
                <c:pt idx="19">
                  <c:v>1.85</c:v>
                </c:pt>
                <c:pt idx="20">
                  <c:v>2</c:v>
                </c:pt>
                <c:pt idx="21">
                  <c:v>2.15</c:v>
                </c:pt>
                <c:pt idx="22">
                  <c:v>2.2999999999999998</c:v>
                </c:pt>
                <c:pt idx="23">
                  <c:v>2.4500000000000002</c:v>
                </c:pt>
                <c:pt idx="24">
                  <c:v>2.6</c:v>
                </c:pt>
                <c:pt idx="25">
                  <c:v>2.75</c:v>
                </c:pt>
                <c:pt idx="26">
                  <c:v>2.9</c:v>
                </c:pt>
                <c:pt idx="27">
                  <c:v>3.05</c:v>
                </c:pt>
                <c:pt idx="28">
                  <c:v>3.2</c:v>
                </c:pt>
                <c:pt idx="29">
                  <c:v>3.35</c:v>
                </c:pt>
                <c:pt idx="30">
                  <c:v>3.5</c:v>
                </c:pt>
                <c:pt idx="31">
                  <c:v>3.65</c:v>
                </c:pt>
                <c:pt idx="32">
                  <c:v>3.8</c:v>
                </c:pt>
                <c:pt idx="33">
                  <c:v>3.95</c:v>
                </c:pt>
                <c:pt idx="34">
                  <c:v>4.0999999999999996</c:v>
                </c:pt>
                <c:pt idx="35">
                  <c:v>4.25</c:v>
                </c:pt>
                <c:pt idx="36">
                  <c:v>4.4000000000000004</c:v>
                </c:pt>
                <c:pt idx="37">
                  <c:v>4.55</c:v>
                </c:pt>
                <c:pt idx="38">
                  <c:v>4.7</c:v>
                </c:pt>
                <c:pt idx="39">
                  <c:v>4.8499999999999996</c:v>
                </c:pt>
                <c:pt idx="40">
                  <c:v>5</c:v>
                </c:pt>
              </c:numCache>
            </c:numRef>
          </c:xVal>
          <c:yVal>
            <c:numRef>
              <c:f>[3]Solver!$J$14:$J$54</c:f>
              <c:numCache>
                <c:formatCode>General</c:formatCode>
                <c:ptCount val="41"/>
                <c:pt idx="0">
                  <c:v>4</c:v>
                </c:pt>
                <c:pt idx="1">
                  <c:v>3.5724999999999998</c:v>
                </c:pt>
                <c:pt idx="2">
                  <c:v>3.19</c:v>
                </c:pt>
                <c:pt idx="3">
                  <c:v>2.8525</c:v>
                </c:pt>
                <c:pt idx="4">
                  <c:v>2.56</c:v>
                </c:pt>
                <c:pt idx="5">
                  <c:v>2.3125</c:v>
                </c:pt>
                <c:pt idx="6">
                  <c:v>2.11</c:v>
                </c:pt>
                <c:pt idx="7">
                  <c:v>1.9524999999999999</c:v>
                </c:pt>
                <c:pt idx="8">
                  <c:v>1.84</c:v>
                </c:pt>
                <c:pt idx="9">
                  <c:v>1.7725</c:v>
                </c:pt>
                <c:pt idx="10">
                  <c:v>1.75</c:v>
                </c:pt>
                <c:pt idx="11">
                  <c:v>1.7725</c:v>
                </c:pt>
                <c:pt idx="12">
                  <c:v>1.84</c:v>
                </c:pt>
                <c:pt idx="13">
                  <c:v>1.9524999999999999</c:v>
                </c:pt>
                <c:pt idx="14">
                  <c:v>2.11</c:v>
                </c:pt>
                <c:pt idx="15">
                  <c:v>2.3125</c:v>
                </c:pt>
                <c:pt idx="16">
                  <c:v>2.56</c:v>
                </c:pt>
                <c:pt idx="17">
                  <c:v>2.8525</c:v>
                </c:pt>
                <c:pt idx="18">
                  <c:v>3.19</c:v>
                </c:pt>
                <c:pt idx="19">
                  <c:v>3.5724999999999998</c:v>
                </c:pt>
                <c:pt idx="20">
                  <c:v>4</c:v>
                </c:pt>
                <c:pt idx="21">
                  <c:v>4.4725000000000001</c:v>
                </c:pt>
                <c:pt idx="22">
                  <c:v>4.99</c:v>
                </c:pt>
                <c:pt idx="23">
                  <c:v>5.5525000000000002</c:v>
                </c:pt>
                <c:pt idx="24">
                  <c:v>6.16</c:v>
                </c:pt>
                <c:pt idx="25">
                  <c:v>6.8125</c:v>
                </c:pt>
                <c:pt idx="26">
                  <c:v>7.51</c:v>
                </c:pt>
                <c:pt idx="27">
                  <c:v>8.2524999999999942</c:v>
                </c:pt>
                <c:pt idx="28">
                  <c:v>9.0399999999999938</c:v>
                </c:pt>
                <c:pt idx="29">
                  <c:v>9.8724999999999916</c:v>
                </c:pt>
                <c:pt idx="30">
                  <c:v>10.75</c:v>
                </c:pt>
                <c:pt idx="31">
                  <c:v>11.672499999999999</c:v>
                </c:pt>
                <c:pt idx="32">
                  <c:v>12.64</c:v>
                </c:pt>
                <c:pt idx="33">
                  <c:v>13.6525</c:v>
                </c:pt>
                <c:pt idx="34">
                  <c:v>14.71</c:v>
                </c:pt>
                <c:pt idx="35">
                  <c:v>15.8125</c:v>
                </c:pt>
                <c:pt idx="36">
                  <c:v>16.96</c:v>
                </c:pt>
                <c:pt idx="37">
                  <c:v>18.1525</c:v>
                </c:pt>
                <c:pt idx="38">
                  <c:v>19.39</c:v>
                </c:pt>
                <c:pt idx="39">
                  <c:v>20.672499999999999</c:v>
                </c:pt>
                <c:pt idx="40">
                  <c:v>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45824"/>
        <c:axId val="187064320"/>
      </c:scatterChart>
      <c:valAx>
        <c:axId val="18664582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CN"/>
          </a:p>
        </c:txPr>
        <c:crossAx val="187064320"/>
        <c:crosses val="autoZero"/>
        <c:crossBetween val="midCat"/>
      </c:valAx>
      <c:valAx>
        <c:axId val="18706432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CN"/>
          </a:p>
        </c:txPr>
        <c:crossAx val="1866458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CN"/>
    </a:p>
  </c:txPr>
  <c:printSettings>
    <c:headerFooter alignWithMargins="0"/>
    <c:pageMargins b="1" l="0.75000000000000056" r="0.75000000000000056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9</xdr:col>
          <xdr:colOff>76200</xdr:colOff>
          <xdr:row>4</xdr:row>
          <xdr:rowOff>19050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showFontSize</a:t>
              </a:r>
            </a:p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showFontSize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190500</xdr:rowOff>
        </xdr:from>
        <xdr:to>
          <xdr:col>9</xdr:col>
          <xdr:colOff>57150</xdr:colOff>
          <xdr:row>8</xdr:row>
          <xdr:rowOff>171450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190500</xdr:rowOff>
        </xdr:from>
        <xdr:to>
          <xdr:col>12</xdr:col>
          <xdr:colOff>19050</xdr:colOff>
          <xdr:row>8</xdr:row>
          <xdr:rowOff>171450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addBackContents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180975</xdr:rowOff>
        </xdr:from>
        <xdr:to>
          <xdr:col>12</xdr:col>
          <xdr:colOff>66675</xdr:colOff>
          <xdr:row>13</xdr:row>
          <xdr:rowOff>9525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openWorkbook</a:t>
              </a:r>
            </a:p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12</xdr:col>
          <xdr:colOff>76200</xdr:colOff>
          <xdr:row>15</xdr:row>
          <xdr:rowOff>19050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gotoMacroRecoder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9</xdr:col>
          <xdr:colOff>9525</xdr:colOff>
          <xdr:row>19</xdr:row>
          <xdr:rowOff>19050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listWorksheets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0</xdr:rowOff>
        </xdr:from>
        <xdr:to>
          <xdr:col>9</xdr:col>
          <xdr:colOff>19050</xdr:colOff>
          <xdr:row>21</xdr:row>
          <xdr:rowOff>19050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listYellowCells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4</xdr:row>
          <xdr:rowOff>161925</xdr:rowOff>
        </xdr:from>
        <xdr:to>
          <xdr:col>12</xdr:col>
          <xdr:colOff>38100</xdr:colOff>
          <xdr:row>5</xdr:row>
          <xdr:rowOff>180975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addValue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34</xdr:row>
      <xdr:rowOff>0</xdr:rowOff>
    </xdr:from>
    <xdr:to>
      <xdr:col>14</xdr:col>
      <xdr:colOff>28575</xdr:colOff>
      <xdr:row>50</xdr:row>
      <xdr:rowOff>85725</xdr:rowOff>
    </xdr:to>
    <xdr:graphicFrame macro="">
      <xdr:nvGraphicFramePr>
        <xdr:cNvPr id="37903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0</xdr:colOff>
      <xdr:row>70</xdr:row>
      <xdr:rowOff>85725</xdr:rowOff>
    </xdr:to>
    <xdr:graphicFrame macro="">
      <xdr:nvGraphicFramePr>
        <xdr:cNvPr id="37905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9525</xdr:rowOff>
        </xdr:from>
        <xdr:to>
          <xdr:col>12</xdr:col>
          <xdr:colOff>600075</xdr:colOff>
          <xdr:row>0</xdr:row>
          <xdr:rowOff>333375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9525</xdr:rowOff>
        </xdr:from>
        <xdr:to>
          <xdr:col>10</xdr:col>
          <xdr:colOff>571500</xdr:colOff>
          <xdr:row>20</xdr:row>
          <xdr:rowOff>142875</xdr:rowOff>
        </xdr:to>
        <xdr:sp macro="" textlink="">
          <xdr:nvSpPr>
            <xdr:cNvPr id="37904" name="Object 16" hidden="1">
              <a:extLst>
                <a:ext uri="{63B3BB69-23CF-44E3-9099-C40C66FF867C}">
                  <a14:compatExt spid="_x0000_s3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49</xdr:row>
          <xdr:rowOff>66675</xdr:rowOff>
        </xdr:from>
        <xdr:to>
          <xdr:col>7</xdr:col>
          <xdr:colOff>0</xdr:colOff>
          <xdr:row>52</xdr:row>
          <xdr:rowOff>57150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</a:t>
              </a:r>
            </a:p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Normal Variates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142875</xdr:rowOff>
        </xdr:from>
        <xdr:to>
          <xdr:col>12</xdr:col>
          <xdr:colOff>19050</xdr:colOff>
          <xdr:row>15</xdr:row>
          <xdr:rowOff>200025</xdr:rowOff>
        </xdr:to>
        <xdr:sp macro="" textlink="">
          <xdr:nvSpPr>
            <xdr:cNvPr id="35841" name="Object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19050</xdr:rowOff>
        </xdr:from>
        <xdr:to>
          <xdr:col>13</xdr:col>
          <xdr:colOff>0</xdr:colOff>
          <xdr:row>0</xdr:row>
          <xdr:rowOff>342900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390525</xdr:colOff>
      <xdr:row>6</xdr:row>
      <xdr:rowOff>28575</xdr:rowOff>
    </xdr:from>
    <xdr:to>
      <xdr:col>7</xdr:col>
      <xdr:colOff>9525</xdr:colOff>
      <xdr:row>19</xdr:row>
      <xdr:rowOff>19050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971550</xdr:colOff>
      <xdr:row>22</xdr:row>
      <xdr:rowOff>0</xdr:rowOff>
    </xdr:from>
    <xdr:to>
      <xdr:col>6</xdr:col>
      <xdr:colOff>85725</xdr:colOff>
      <xdr:row>34</xdr:row>
      <xdr:rowOff>133350</xdr:rowOff>
    </xdr:to>
    <xdr:pic>
      <xdr:nvPicPr>
        <xdr:cNvPr id="3" name="Picture 5" descr="Solver Parameter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71550" y="5534025"/>
          <a:ext cx="4314825" cy="241935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3</xdr:row>
          <xdr:rowOff>9525</xdr:rowOff>
        </xdr:from>
        <xdr:to>
          <xdr:col>5</xdr:col>
          <xdr:colOff>619125</xdr:colOff>
          <xdr:row>5</xdr:row>
          <xdr:rowOff>57150</xdr:rowOff>
        </xdr:to>
        <xdr:sp macro="" textlink="">
          <xdr:nvSpPr>
            <xdr:cNvPr id="39937" name="Object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38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intro_a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OtherSpreadSheets/AdvancedModelinginFinance/AMFExcel_an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intro_20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.m"/>
      <sheetName val="Table of Contents"/>
      <sheetName val="Very Basics"/>
      <sheetName val="Navigating"/>
      <sheetName val="Copy &amp; Paste"/>
      <sheetName val="Formatting cells"/>
      <sheetName val="Formula"/>
      <sheetName val="Build-In Functions"/>
      <sheetName val="Build-In Functions (Time Value)"/>
      <sheetName val="Build-In Functions (Stat)"/>
      <sheetName val="Rand"/>
      <sheetName val="Security (Price Model)"/>
      <sheetName val="Data Table"/>
      <sheetName val="Pivot Table"/>
      <sheetName val="Misc"/>
      <sheetName val="Normal Variates"/>
      <sheetName val="Monte Carlo"/>
      <sheetName val="BS"/>
      <sheetName val="Security (Covar)"/>
      <sheetName val="Regression"/>
      <sheetName val="Customizing views"/>
      <sheetName val="Other Goodies"/>
      <sheetName val="Function Keys"/>
      <sheetName val="excel_intro_ans"/>
    </sheetNames>
    <definedNames>
      <definedName name="Go_Contents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6">
          <cell r="E6">
            <v>100</v>
          </cell>
        </row>
        <row r="7">
          <cell r="E7">
            <v>0.1</v>
          </cell>
        </row>
        <row r="8">
          <cell r="E8">
            <v>0.03</v>
          </cell>
        </row>
        <row r="9">
          <cell r="E9">
            <v>0.3</v>
          </cell>
        </row>
        <row r="13">
          <cell r="E13">
            <v>1</v>
          </cell>
        </row>
        <row r="14">
          <cell r="E14">
            <v>100</v>
          </cell>
        </row>
        <row r="19">
          <cell r="E19">
            <v>2.7378507871321013E-3</v>
          </cell>
        </row>
        <row r="20">
          <cell r="E20">
            <v>9.5310179804324935E-2</v>
          </cell>
        </row>
        <row r="21">
          <cell r="E21">
            <v>2.9558802241544429E-2</v>
          </cell>
        </row>
      </sheetData>
      <sheetData sheetId="17">
        <row r="19">
          <cell r="E19">
            <v>0.99931553730321698</v>
          </cell>
        </row>
        <row r="20">
          <cell r="E20">
            <v>1.980262729617973E-2</v>
          </cell>
        </row>
        <row r="21">
          <cell r="E21">
            <v>0</v>
          </cell>
        </row>
        <row r="22">
          <cell r="E22">
            <v>1.0970204390145586</v>
          </cell>
        </row>
        <row r="23">
          <cell r="E23">
            <v>0.84710601149695597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equency"/>
      <sheetName val="SNorm"/>
      <sheetName val="Lookup"/>
      <sheetName val="Bonds"/>
      <sheetName val="CompoundDTab"/>
      <sheetName val="BSDTab"/>
      <sheetName val="Beta"/>
      <sheetName val="MatDef"/>
      <sheetName val="MatExs"/>
    </sheetNames>
    <sheetDataSet>
      <sheetData sheetId="0"/>
      <sheetData sheetId="1"/>
      <sheetData sheetId="2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3"/>
      <sheetData sheetId="4"/>
      <sheetData sheetId="5"/>
      <sheetData sheetId="6"/>
      <sheetData sheetId="7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.m"/>
      <sheetName val="Table of Contents"/>
      <sheetName val="Very Basics"/>
      <sheetName val="Navigating"/>
      <sheetName val="Copy &amp; Paste"/>
      <sheetName val="Formatting cells"/>
      <sheetName val="Formula"/>
      <sheetName val="Build-In Functions"/>
      <sheetName val="Build-In Functions (Time Value)"/>
      <sheetName val="Build-In Functions (Stat)"/>
      <sheetName val="Rand"/>
      <sheetName val="Security (Price Model)"/>
      <sheetName val="Data Table"/>
      <sheetName val="Pivot Table"/>
      <sheetName val="Solver"/>
      <sheetName val="Misc"/>
      <sheetName val="Normal Variates"/>
      <sheetName val="Monte Carlo"/>
      <sheetName val="B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4">
          <cell r="I14">
            <v>-1</v>
          </cell>
          <cell r="J14">
            <v>4</v>
          </cell>
        </row>
        <row r="15">
          <cell r="I15">
            <v>-0.85</v>
          </cell>
          <cell r="J15">
            <v>3.5724999999999998</v>
          </cell>
        </row>
        <row r="16">
          <cell r="I16">
            <v>-0.7</v>
          </cell>
          <cell r="J16">
            <v>3.19</v>
          </cell>
        </row>
        <row r="17">
          <cell r="I17">
            <v>-0.55000000000000004</v>
          </cell>
          <cell r="J17">
            <v>2.8525</v>
          </cell>
        </row>
        <row r="18">
          <cell r="I18">
            <v>-0.4</v>
          </cell>
          <cell r="J18">
            <v>2.56</v>
          </cell>
        </row>
        <row r="19">
          <cell r="I19">
            <v>-0.25</v>
          </cell>
          <cell r="J19">
            <v>2.3125</v>
          </cell>
        </row>
        <row r="20">
          <cell r="I20">
            <v>-9.9999999999999922E-2</v>
          </cell>
          <cell r="J20">
            <v>2.11</v>
          </cell>
        </row>
        <row r="21">
          <cell r="I21">
            <v>5.0000000000000072E-2</v>
          </cell>
          <cell r="J21">
            <v>1.9524999999999999</v>
          </cell>
        </row>
        <row r="22">
          <cell r="I22">
            <v>0.2</v>
          </cell>
          <cell r="J22">
            <v>1.84</v>
          </cell>
        </row>
        <row r="23">
          <cell r="I23">
            <v>0.35</v>
          </cell>
          <cell r="J23">
            <v>1.7725</v>
          </cell>
        </row>
        <row r="24">
          <cell r="I24">
            <v>0.5</v>
          </cell>
          <cell r="J24">
            <v>1.75</v>
          </cell>
        </row>
        <row r="25">
          <cell r="I25">
            <v>0.65</v>
          </cell>
          <cell r="J25">
            <v>1.7725</v>
          </cell>
        </row>
        <row r="26">
          <cell r="I26">
            <v>0.8</v>
          </cell>
          <cell r="J26">
            <v>1.84</v>
          </cell>
        </row>
        <row r="27">
          <cell r="I27">
            <v>0.95</v>
          </cell>
          <cell r="J27">
            <v>1.9524999999999999</v>
          </cell>
        </row>
        <row r="28">
          <cell r="I28">
            <v>1.1000000000000001</v>
          </cell>
          <cell r="J28">
            <v>2.11</v>
          </cell>
        </row>
        <row r="29">
          <cell r="I29">
            <v>1.25</v>
          </cell>
          <cell r="J29">
            <v>2.3125</v>
          </cell>
        </row>
        <row r="30">
          <cell r="I30">
            <v>1.4</v>
          </cell>
          <cell r="J30">
            <v>2.56</v>
          </cell>
        </row>
        <row r="31">
          <cell r="I31">
            <v>1.55</v>
          </cell>
          <cell r="J31">
            <v>2.8525</v>
          </cell>
        </row>
        <row r="32">
          <cell r="I32">
            <v>1.7</v>
          </cell>
          <cell r="J32">
            <v>3.19</v>
          </cell>
        </row>
        <row r="33">
          <cell r="I33">
            <v>1.85</v>
          </cell>
          <cell r="J33">
            <v>3.5724999999999998</v>
          </cell>
        </row>
        <row r="34">
          <cell r="I34">
            <v>2</v>
          </cell>
          <cell r="J34">
            <v>4</v>
          </cell>
        </row>
        <row r="35">
          <cell r="I35">
            <v>2.15</v>
          </cell>
          <cell r="J35">
            <v>4.4725000000000001</v>
          </cell>
        </row>
        <row r="36">
          <cell r="I36">
            <v>2.2999999999999998</v>
          </cell>
          <cell r="J36">
            <v>4.99</v>
          </cell>
        </row>
        <row r="37">
          <cell r="I37">
            <v>2.4500000000000002</v>
          </cell>
          <cell r="J37">
            <v>5.5525000000000002</v>
          </cell>
        </row>
        <row r="38">
          <cell r="I38">
            <v>2.6</v>
          </cell>
          <cell r="J38">
            <v>6.16</v>
          </cell>
        </row>
        <row r="39">
          <cell r="I39">
            <v>2.75</v>
          </cell>
          <cell r="J39">
            <v>6.8125</v>
          </cell>
        </row>
        <row r="40">
          <cell r="I40">
            <v>2.9</v>
          </cell>
          <cell r="J40">
            <v>7.51</v>
          </cell>
        </row>
        <row r="41">
          <cell r="I41">
            <v>3.05</v>
          </cell>
          <cell r="J41">
            <v>8.2524999999999942</v>
          </cell>
        </row>
        <row r="42">
          <cell r="I42">
            <v>3.2</v>
          </cell>
          <cell r="J42">
            <v>9.0399999999999938</v>
          </cell>
        </row>
        <row r="43">
          <cell r="I43">
            <v>3.35</v>
          </cell>
          <cell r="J43">
            <v>9.8724999999999916</v>
          </cell>
        </row>
        <row r="44">
          <cell r="I44">
            <v>3.5</v>
          </cell>
          <cell r="J44">
            <v>10.75</v>
          </cell>
        </row>
        <row r="45">
          <cell r="I45">
            <v>3.65</v>
          </cell>
          <cell r="J45">
            <v>11.672499999999999</v>
          </cell>
        </row>
        <row r="46">
          <cell r="I46">
            <v>3.8</v>
          </cell>
          <cell r="J46">
            <v>12.64</v>
          </cell>
        </row>
        <row r="47">
          <cell r="I47">
            <v>3.95</v>
          </cell>
          <cell r="J47">
            <v>13.6525</v>
          </cell>
        </row>
        <row r="48">
          <cell r="I48">
            <v>4.0999999999999996</v>
          </cell>
          <cell r="J48">
            <v>14.71</v>
          </cell>
        </row>
        <row r="49">
          <cell r="I49">
            <v>4.25</v>
          </cell>
          <cell r="J49">
            <v>15.8125</v>
          </cell>
        </row>
        <row r="50">
          <cell r="I50">
            <v>4.4000000000000004</v>
          </cell>
          <cell r="J50">
            <v>16.96</v>
          </cell>
        </row>
        <row r="51">
          <cell r="I51">
            <v>4.55</v>
          </cell>
          <cell r="J51">
            <v>18.1525</v>
          </cell>
        </row>
        <row r="52">
          <cell r="I52">
            <v>4.7</v>
          </cell>
          <cell r="J52">
            <v>19.39</v>
          </cell>
        </row>
        <row r="53">
          <cell r="I53">
            <v>4.8499999999999996</v>
          </cell>
          <cell r="J53">
            <v>20.672499999999999</v>
          </cell>
        </row>
        <row r="54">
          <cell r="I54">
            <v>5</v>
          </cell>
          <cell r="J54">
            <v>22</v>
          </cell>
        </row>
      </sheetData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9.xml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1.doc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1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82"/>
  <sheetViews>
    <sheetView showGridLines="0" tabSelected="1" workbookViewId="0">
      <selection activeCell="B2" sqref="B2"/>
    </sheetView>
  </sheetViews>
  <sheetFormatPr defaultRowHeight="12.75"/>
  <cols>
    <col min="1" max="1" width="3.7109375" customWidth="1"/>
    <col min="2" max="2" width="64.85546875" customWidth="1"/>
    <col min="3" max="3" width="3.42578125" customWidth="1"/>
  </cols>
  <sheetData>
    <row r="1" spans="1:12" ht="21" customHeight="1">
      <c r="A1" s="12"/>
      <c r="B1" s="12"/>
      <c r="C1" s="12"/>
    </row>
    <row r="2" spans="1:12" ht="42" customHeight="1">
      <c r="A2" s="9"/>
      <c r="B2" s="5" t="s">
        <v>434</v>
      </c>
      <c r="C2" s="9"/>
    </row>
    <row r="3" spans="1:12" ht="39" customHeight="1">
      <c r="A3" s="9"/>
      <c r="B3" s="13" t="s">
        <v>4</v>
      </c>
      <c r="C3" s="9"/>
    </row>
    <row r="4" spans="1:12" ht="31.5" customHeight="1">
      <c r="A4" s="9"/>
      <c r="B4" s="6" t="s">
        <v>5</v>
      </c>
      <c r="C4" s="9"/>
    </row>
    <row r="5" spans="1:12" ht="31.5" customHeight="1">
      <c r="A5" s="9"/>
      <c r="B5" s="6" t="s">
        <v>15</v>
      </c>
      <c r="C5" s="9"/>
    </row>
    <row r="6" spans="1:12" ht="31.5" customHeight="1">
      <c r="A6" s="9"/>
      <c r="B6" s="6" t="s">
        <v>40</v>
      </c>
      <c r="C6" s="9"/>
    </row>
    <row r="7" spans="1:12" ht="31.5" customHeight="1">
      <c r="A7" s="9"/>
      <c r="B7" s="6" t="s">
        <v>58</v>
      </c>
      <c r="C7" s="9"/>
    </row>
    <row r="8" spans="1:12" ht="31.5" customHeight="1">
      <c r="A8" s="9"/>
      <c r="B8" s="6" t="s">
        <v>82</v>
      </c>
      <c r="C8" s="9"/>
    </row>
    <row r="9" spans="1:12" ht="31.5" customHeight="1">
      <c r="A9" s="9"/>
      <c r="B9" s="6" t="s">
        <v>198</v>
      </c>
      <c r="C9" s="9"/>
      <c r="D9" s="4"/>
      <c r="E9" s="4"/>
      <c r="F9" s="4"/>
      <c r="G9" s="4"/>
      <c r="H9" s="1"/>
      <c r="I9" s="1"/>
      <c r="J9" s="1"/>
      <c r="K9" s="1"/>
      <c r="L9" s="1"/>
    </row>
    <row r="10" spans="1:12" ht="31.5" customHeight="1">
      <c r="A10" s="9"/>
      <c r="B10" s="6" t="s">
        <v>258</v>
      </c>
      <c r="C10" s="9"/>
      <c r="D10" s="4"/>
      <c r="E10" s="4"/>
      <c r="F10" s="4"/>
      <c r="G10" s="4"/>
      <c r="H10" s="1"/>
      <c r="I10" s="1"/>
      <c r="J10" s="1"/>
      <c r="K10" s="1"/>
      <c r="L10" s="1"/>
    </row>
    <row r="11" spans="1:12" ht="31.5" customHeight="1">
      <c r="A11" s="9"/>
      <c r="B11" s="6" t="s">
        <v>197</v>
      </c>
      <c r="C11" s="9"/>
      <c r="D11" s="4"/>
      <c r="E11" s="32"/>
      <c r="F11" s="4"/>
      <c r="G11" s="4"/>
      <c r="H11" s="1"/>
      <c r="I11" s="1"/>
      <c r="J11" s="1"/>
      <c r="K11" s="1"/>
      <c r="L11" s="1"/>
    </row>
    <row r="12" spans="1:12" ht="31.5" customHeight="1">
      <c r="A12" s="9"/>
      <c r="B12" s="6" t="s">
        <v>359</v>
      </c>
      <c r="C12" s="9"/>
      <c r="D12" s="4"/>
      <c r="E12" s="4"/>
      <c r="F12" s="4"/>
      <c r="G12" s="4"/>
      <c r="H12" s="1"/>
      <c r="I12" s="1"/>
      <c r="J12" s="1"/>
      <c r="K12" s="1"/>
      <c r="L12" s="1"/>
    </row>
    <row r="13" spans="1:12" ht="31.5" customHeight="1">
      <c r="A13" s="9"/>
      <c r="B13" s="6" t="s">
        <v>412</v>
      </c>
      <c r="C13" s="9"/>
      <c r="D13" s="4"/>
      <c r="E13" s="4"/>
      <c r="F13" s="4"/>
      <c r="G13" s="4"/>
      <c r="H13" s="1"/>
      <c r="I13" s="1"/>
      <c r="J13" s="1"/>
      <c r="K13" s="1"/>
      <c r="L13" s="1"/>
    </row>
    <row r="14" spans="1:12" ht="31.5" customHeight="1">
      <c r="A14" s="9"/>
      <c r="B14" s="7"/>
      <c r="C14" s="9"/>
    </row>
    <row r="15" spans="1:12" ht="19.5" customHeight="1">
      <c r="A15" s="9"/>
      <c r="B15" s="9"/>
      <c r="C15" s="9"/>
    </row>
    <row r="16" spans="1:12" ht="31.5" customHeight="1">
      <c r="B16" s="2"/>
    </row>
    <row r="17" spans="2:2" ht="31.5" customHeight="1">
      <c r="B17" s="2"/>
    </row>
    <row r="18" spans="2:2" ht="31.5" customHeight="1">
      <c r="B18" s="2"/>
    </row>
    <row r="19" spans="2:2" ht="31.5" customHeight="1">
      <c r="B19" s="2"/>
    </row>
    <row r="20" spans="2:2" ht="31.5" customHeight="1">
      <c r="B20" s="2"/>
    </row>
    <row r="21" spans="2:2" ht="31.5" customHeight="1">
      <c r="B21" s="2"/>
    </row>
    <row r="22" spans="2:2" ht="31.5" customHeight="1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</sheetData>
  <phoneticPr fontId="9" type="noConversion"/>
  <hyperlinks>
    <hyperlink ref="B4" location="'Macro Recorder'!A1" display="Macro Recorder"/>
    <hyperlink ref="B5" location="Object!A1" display="Object"/>
    <hyperlink ref="B6" location="Basics!A1" display="Basics"/>
    <hyperlink ref="B7" location="Variables!A1" display="Variables"/>
    <hyperlink ref="B8" location="Constants!A1" display="Constants"/>
    <hyperlink ref="B9" location="Operators!A1" display="Operators"/>
    <hyperlink ref="B10" location="Statements!A1" display="Statements"/>
    <hyperlink ref="B11" location="Array!A1" display="Array"/>
    <hyperlink ref="B12" location="'Sub &amp; Function'!A1" display="Sub &amp; Function"/>
    <hyperlink ref="B13" location="'Built-In Function'!A1" display="Built-In Function"/>
  </hyperlinks>
  <pageMargins left="0.75" right="0.75" top="1" bottom="1" header="0.5" footer="0.5"/>
  <pageSetup paperSize="9" orientation="portrait" horizontalDpi="4294967295" verticalDpi="0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9"/>
  <sheetViews>
    <sheetView workbookViewId="0"/>
  </sheetViews>
  <sheetFormatPr defaultRowHeight="15"/>
  <cols>
    <col min="1" max="2" width="9.140625" style="3"/>
    <col min="3" max="4" width="10.42578125" style="3" bestFit="1" customWidth="1"/>
    <col min="5" max="16384" width="9.140625" style="3"/>
  </cols>
  <sheetData>
    <row r="1" spans="1:15" s="15" customFormat="1" ht="27.75">
      <c r="A1" s="8" t="s">
        <v>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29" t="s">
        <v>6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 t="s">
        <v>444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 t="s">
        <v>445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</row>
    <row r="7" spans="1:15">
      <c r="A7" s="11" t="s">
        <v>446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</row>
    <row r="8" spans="1:15">
      <c r="A8" s="11" t="s">
        <v>447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9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7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11"/>
      <c r="B12" s="16" t="s">
        <v>8</v>
      </c>
      <c r="C12" s="16"/>
      <c r="D12" s="11"/>
      <c r="E12" s="17"/>
      <c r="F12" s="17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 t="s">
        <v>448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11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 t="s">
        <v>10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1" t="s">
        <v>11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</row>
    <row r="20" spans="1:15" ht="18">
      <c r="A20" s="29" t="s">
        <v>12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 t="s">
        <v>449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11" t="s">
        <v>13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1" t="s">
        <v>450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 t="s">
        <v>14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 t="s">
        <v>443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11"/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20"/>
      <c r="O28" s="11"/>
    </row>
    <row r="29" spans="1:15">
      <c r="A29" s="11"/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3"/>
      <c r="O29" s="11"/>
    </row>
    <row r="30" spans="1:15">
      <c r="A30" s="11"/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3"/>
      <c r="O30" s="11"/>
    </row>
    <row r="31" spans="1:15">
      <c r="A31" s="11"/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3"/>
      <c r="O31" s="11"/>
    </row>
    <row r="32" spans="1:15">
      <c r="A32" s="11"/>
      <c r="B32" s="24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6"/>
      <c r="O32" s="11"/>
    </row>
    <row r="33" spans="1:1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5" spans="1:15" ht="18">
      <c r="A35" s="29" t="s">
        <v>35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  <row r="37" spans="1:15">
      <c r="A37" s="11" t="s">
        <v>36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 ht="15.75">
      <c r="A39" s="11"/>
      <c r="B39" s="11"/>
      <c r="C39" s="34" t="s">
        <v>332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>
      <c r="A40" s="11"/>
      <c r="B40" s="33"/>
      <c r="C40" s="11" t="str">
        <f>cellf(B40)</f>
        <v/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>
      <c r="A41" s="11"/>
      <c r="B41" s="33"/>
      <c r="C41" s="11" t="str">
        <f>cellf(B41)</f>
        <v/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1:15">
      <c r="A42" s="11"/>
      <c r="B42" s="33"/>
      <c r="C42" s="11" t="str">
        <f>cellf(B42)</f>
        <v/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3" spans="1:15">
      <c r="A43" s="11"/>
      <c r="B43" s="33"/>
      <c r="C43" s="11" t="str">
        <f>cellf(B43)</f>
        <v/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</row>
    <row r="44" spans="1:15">
      <c r="A44" s="11"/>
      <c r="B44" s="33"/>
      <c r="C44" s="11" t="str">
        <f>cellf(B44)</f>
        <v/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</row>
    <row r="47" spans="1:15">
      <c r="A47" s="11" t="s">
        <v>37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  <row r="50" spans="1:15" ht="18">
      <c r="A50" s="29" t="s">
        <v>42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</row>
    <row r="51" spans="1:1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</row>
    <row r="52" spans="1:15">
      <c r="A52" s="11" t="s">
        <v>435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</row>
    <row r="53" spans="1:15" ht="15.75">
      <c r="A53" s="11" t="s">
        <v>451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</row>
    <row r="54" spans="1:15">
      <c r="A54" s="11" t="s">
        <v>452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</row>
    <row r="55" spans="1:15">
      <c r="A55" s="11" t="s">
        <v>453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</row>
    <row r="56" spans="1:15">
      <c r="A56" s="11" t="s">
        <v>43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</row>
    <row r="57" spans="1:1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</row>
    <row r="58" spans="1:15">
      <c r="A58" s="11" t="s">
        <v>454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</row>
    <row r="59" spans="1:1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O36"/>
  <sheetViews>
    <sheetView workbookViewId="0"/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16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s="31" customFormat="1" ht="18">
      <c r="A3" s="30" t="s">
        <v>15</v>
      </c>
      <c r="B3" s="30"/>
      <c r="C3" s="30"/>
      <c r="D3" s="30"/>
      <c r="E3" s="30"/>
      <c r="F3" s="30" t="s">
        <v>17</v>
      </c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 t="s">
        <v>25</v>
      </c>
      <c r="B4" s="11"/>
      <c r="C4" s="11"/>
      <c r="D4" s="11"/>
      <c r="E4" s="11"/>
      <c r="F4" s="11" t="s">
        <v>18</v>
      </c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 t="s">
        <v>33</v>
      </c>
      <c r="B6" s="11"/>
      <c r="C6" s="11"/>
      <c r="D6" s="11"/>
      <c r="E6" s="11"/>
      <c r="F6" s="11" t="s">
        <v>34</v>
      </c>
      <c r="G6" s="11"/>
      <c r="H6" s="11"/>
      <c r="I6" s="11"/>
      <c r="J6" s="11"/>
      <c r="K6" s="11"/>
      <c r="L6" s="11"/>
      <c r="M6" s="11"/>
      <c r="N6" s="11"/>
      <c r="O6" s="11"/>
    </row>
    <row r="7" spans="1:1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</row>
    <row r="8" spans="1:15" s="31" customFormat="1" ht="18">
      <c r="A8" s="30" t="s">
        <v>15</v>
      </c>
      <c r="B8" s="30"/>
      <c r="C8" s="30"/>
      <c r="D8" s="30"/>
      <c r="E8" s="30"/>
      <c r="F8" s="30" t="s">
        <v>19</v>
      </c>
      <c r="G8" s="30"/>
      <c r="H8" s="30"/>
      <c r="I8" s="30"/>
      <c r="J8" s="30"/>
      <c r="K8" s="30"/>
      <c r="L8" s="30"/>
      <c r="M8" s="30"/>
      <c r="N8" s="30"/>
      <c r="O8" s="30"/>
    </row>
    <row r="9" spans="1:15">
      <c r="A9" s="11" t="s">
        <v>33</v>
      </c>
      <c r="B9" s="11"/>
      <c r="C9" s="11"/>
      <c r="D9" s="11"/>
      <c r="E9" s="11"/>
      <c r="F9" s="11" t="s">
        <v>20</v>
      </c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 ht="15.75">
      <c r="A11" s="11"/>
      <c r="B11" s="27"/>
      <c r="C11" s="17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 t="s">
        <v>22</v>
      </c>
      <c r="B13" s="11"/>
      <c r="C13" s="11"/>
      <c r="D13" s="11"/>
      <c r="E13" s="11" t="s">
        <v>21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23</v>
      </c>
      <c r="B15" s="11"/>
      <c r="C15" s="11"/>
      <c r="D15" s="11"/>
      <c r="E15" s="11" t="s">
        <v>24</v>
      </c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</row>
    <row r="18" spans="1:15" s="31" customFormat="1" ht="18">
      <c r="A18" s="30" t="s">
        <v>26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</row>
    <row r="19" spans="1:15">
      <c r="A19" s="11" t="s">
        <v>27</v>
      </c>
      <c r="B19" s="11"/>
      <c r="C19" s="10" t="s">
        <v>29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 t="s">
        <v>28</v>
      </c>
      <c r="B21" s="11"/>
      <c r="C21" s="10" t="s">
        <v>31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11"/>
      <c r="B23" s="16"/>
      <c r="C23" s="16"/>
      <c r="D23" s="1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1"/>
      <c r="B24" s="16"/>
      <c r="C24" s="16"/>
      <c r="D24" s="16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/>
      <c r="B25" s="16"/>
      <c r="C25" s="16"/>
      <c r="D25" s="16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</row>
    <row r="28" spans="1:15" ht="18">
      <c r="A28" s="30" t="s">
        <v>30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A29" s="10" t="s">
        <v>32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2" spans="1:15" ht="18">
      <c r="A32" s="30" t="s">
        <v>38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</row>
    <row r="33" spans="1:1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11" t="s">
        <v>39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  <row r="35" spans="1:15">
      <c r="A35" s="11" t="s">
        <v>455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5" name="Button 80">
              <controlPr defaultSize="0" print="0" autoFill="0" autoPict="0" macro="[0]!Sheet20.showFontSize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6" name="Button 81">
              <controlPr defaultSize="0" print="0" autoFill="0" autoPict="0" macro="[0]!Sheet20.clearCell">
                <anchor moveWithCells="1">
                  <from>
                    <xdr:col>7</xdr:col>
                    <xdr:colOff>0</xdr:colOff>
                    <xdr:row>7</xdr:row>
                    <xdr:rowOff>190500</xdr:rowOff>
                  </from>
                  <to>
                    <xdr:col>9</xdr:col>
                    <xdr:colOff>57150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7" name="Button 82">
              <controlPr defaultSize="0" print="0" autoFill="0" autoPict="0" macro="[0]!Sheet20.addBackContents">
                <anchor moveWithCells="1">
                  <from>
                    <xdr:col>10</xdr:col>
                    <xdr:colOff>0</xdr:colOff>
                    <xdr:row>7</xdr:row>
                    <xdr:rowOff>190500</xdr:rowOff>
                  </from>
                  <to>
                    <xdr:col>12</xdr:col>
                    <xdr:colOff>19050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" name="Button 84">
              <controlPr defaultSize="0" print="0" autoFill="0" autoPict="0" macro="[0]!Sheet20.openExcelIntro">
                <anchor moveWithCells="1">
                  <from>
                    <xdr:col>10</xdr:col>
                    <xdr:colOff>0</xdr:colOff>
                    <xdr:row>11</xdr:row>
                    <xdr:rowOff>180975</xdr:rowOff>
                  </from>
                  <to>
                    <xdr:col>12</xdr:col>
                    <xdr:colOff>66675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9" name="Button 85">
              <controlPr defaultSize="0" print="0" autoFill="0" autoPict="0" macro="[0]!Sheet20.gotoMacroRecord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12</xdr:col>
                    <xdr:colOff>76200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10" name="Button 86">
              <controlPr defaultSize="0" print="0" autoFill="0" autoPict="0" macro="[0]!Sheet20.showWorksheets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11" name="Button 87">
              <controlPr defaultSize="0" print="0" autoFill="0" autoPict="0" macro="[0]!Sheet20.cellsInRange">
                <anchor moveWithCells="1">
                  <from>
                    <xdr:col>7</xdr:col>
                    <xdr:colOff>9525</xdr:colOff>
                    <xdr:row>20</xdr:row>
                    <xdr:rowOff>0</xdr:rowOff>
                  </from>
                  <to>
                    <xdr:col>9</xdr:col>
                    <xdr:colOff>19050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12" name="Button 88">
              <controlPr defaultSize="0" print="0" autoFill="0" autoPict="0" macro="[0]!Sheet20.addBackContents">
                <anchor moveWithCells="1">
                  <from>
                    <xdr:col>10</xdr:col>
                    <xdr:colOff>19050</xdr:colOff>
                    <xdr:row>4</xdr:row>
                    <xdr:rowOff>161925</xdr:rowOff>
                  </from>
                  <to>
                    <xdr:col>12</xdr:col>
                    <xdr:colOff>38100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34"/>
  <sheetViews>
    <sheetView topLeftCell="A16" workbookViewId="0">
      <selection activeCell="A14" sqref="A14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40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s="31" customFormat="1" ht="18">
      <c r="A3" s="30" t="s">
        <v>41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 t="s">
        <v>456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</row>
    <row r="7" spans="1:15" s="31" customFormat="1" ht="18">
      <c r="A7" s="30" t="s">
        <v>48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 ht="15.75">
      <c r="A8" s="11" t="s">
        <v>44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45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46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 ht="15.75">
      <c r="A12" s="11" t="s">
        <v>47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 t="s">
        <v>457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6" spans="1:15" ht="18">
      <c r="A16" s="30" t="s">
        <v>49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spans="1:15">
      <c r="A17" s="11" t="s">
        <v>257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 t="s">
        <v>51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 t="s">
        <v>50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 t="s">
        <v>57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 s="28" customFormat="1"/>
    <row r="23" spans="1:15" ht="18">
      <c r="A23" s="30" t="s">
        <v>55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0" t="s">
        <v>52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 t="s">
        <v>53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8" spans="1:15" ht="18">
      <c r="A28" s="30" t="s">
        <v>54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</row>
    <row r="29" spans="1:15">
      <c r="A29" s="11" t="s">
        <v>56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2" spans="1:15" ht="18">
      <c r="A32" s="30" t="s">
        <v>72</v>
      </c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</row>
    <row r="33" spans="1:15">
      <c r="A33" s="11" t="s">
        <v>73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O48"/>
  <sheetViews>
    <sheetView topLeftCell="A31" workbookViewId="0">
      <selection activeCell="A48" sqref="A48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58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s="31" customFormat="1" ht="18">
      <c r="A3" s="30" t="s">
        <v>58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 t="s">
        <v>59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</row>
    <row r="7" spans="1:15" s="31" customFormat="1" ht="18">
      <c r="A7" s="30" t="s">
        <v>60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>
      <c r="A8" s="11" t="s">
        <v>63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61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64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 t="s">
        <v>62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35" t="s">
        <v>65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5" spans="1:15" ht="18">
      <c r="A15" s="30" t="s">
        <v>66</v>
      </c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</row>
    <row r="16" spans="1:15">
      <c r="A16" s="11" t="s">
        <v>67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1" t="s">
        <v>68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 t="s">
        <v>74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 t="s">
        <v>69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 t="s">
        <v>70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 t="s">
        <v>75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 t="s">
        <v>76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11" t="s">
        <v>77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1" t="s">
        <v>78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 t="s">
        <v>71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 t="s">
        <v>80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35" t="s">
        <v>79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36" t="s">
        <v>81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1:15" ht="18">
      <c r="A29" s="3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1:15" s="28" customFormat="1"/>
    <row r="31" spans="1:15" ht="18">
      <c r="A31" s="30" t="s">
        <v>347</v>
      </c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</row>
    <row r="32" spans="1:15" ht="18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</row>
    <row r="33" spans="1:15">
      <c r="A33" s="10" t="s">
        <v>351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11" t="s">
        <v>356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  <row r="35" spans="1:15">
      <c r="A35" s="11" t="s">
        <v>355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  <row r="37" spans="1:15">
      <c r="A37" s="10" t="s">
        <v>348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>
      <c r="A38" s="11" t="s">
        <v>354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>
      <c r="A39" s="35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>
      <c r="A40" s="10" t="s">
        <v>350</v>
      </c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>
      <c r="A41" s="11" t="s">
        <v>357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1:15">
      <c r="A42" s="10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3" spans="1:15">
      <c r="A43" s="10" t="s">
        <v>349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</row>
    <row r="44" spans="1:15">
      <c r="A44" s="11" t="s">
        <v>353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>
      <c r="A45" s="11" t="s">
        <v>352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</row>
    <row r="47" spans="1:15">
      <c r="A47" s="35" t="s">
        <v>358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O88"/>
  <sheetViews>
    <sheetView topLeftCell="A34" workbookViewId="0">
      <selection activeCell="C16" sqref="C16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82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30" t="s">
        <v>83</v>
      </c>
      <c r="B3" s="30"/>
      <c r="C3" s="1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 t="s">
        <v>84</v>
      </c>
      <c r="B4" s="11"/>
      <c r="C4" s="11"/>
      <c r="D4" s="11">
        <v>1</v>
      </c>
      <c r="E4" s="11"/>
      <c r="F4" s="11" t="s">
        <v>85</v>
      </c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 t="s">
        <v>86</v>
      </c>
      <c r="B5" s="11"/>
      <c r="C5" s="11"/>
      <c r="D5" s="11">
        <v>2</v>
      </c>
      <c r="E5" s="11"/>
      <c r="F5" s="11" t="s">
        <v>87</v>
      </c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 t="s">
        <v>88</v>
      </c>
      <c r="B6" s="11"/>
      <c r="C6" s="11"/>
      <c r="D6" s="11">
        <v>3</v>
      </c>
      <c r="E6" s="11"/>
      <c r="F6" s="11" t="s">
        <v>89</v>
      </c>
      <c r="G6" s="11"/>
      <c r="H6" s="11"/>
      <c r="I6" s="11"/>
      <c r="J6" s="11"/>
      <c r="K6" s="11"/>
      <c r="L6" s="11"/>
      <c r="M6" s="11"/>
      <c r="N6" s="11"/>
      <c r="O6" s="11"/>
    </row>
    <row r="7" spans="1:15">
      <c r="A7" s="11" t="s">
        <v>90</v>
      </c>
      <c r="B7" s="11"/>
      <c r="C7" s="11"/>
      <c r="D7" s="11">
        <v>4</v>
      </c>
      <c r="E7" s="11"/>
      <c r="F7" s="11" t="s">
        <v>91</v>
      </c>
      <c r="G7" s="11"/>
      <c r="H7" s="11"/>
      <c r="I7" s="11"/>
      <c r="J7" s="11"/>
      <c r="K7" s="11"/>
      <c r="L7" s="11"/>
      <c r="M7" s="11"/>
      <c r="N7" s="11"/>
      <c r="O7" s="11"/>
    </row>
    <row r="8" spans="1:15">
      <c r="A8" s="11" t="s">
        <v>92</v>
      </c>
      <c r="B8" s="11"/>
      <c r="C8" s="11"/>
      <c r="D8" s="11">
        <v>5</v>
      </c>
      <c r="E8" s="11"/>
      <c r="F8" s="11" t="s">
        <v>93</v>
      </c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94</v>
      </c>
      <c r="B9" s="11"/>
      <c r="C9" s="11"/>
      <c r="D9" s="11">
        <v>6</v>
      </c>
      <c r="E9" s="11"/>
      <c r="F9" s="11" t="s">
        <v>95</v>
      </c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96</v>
      </c>
      <c r="B10" s="11"/>
      <c r="C10" s="11"/>
      <c r="D10" s="11">
        <v>7</v>
      </c>
      <c r="E10" s="11"/>
      <c r="F10" s="11" t="s">
        <v>97</v>
      </c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 s="28" customFormat="1"/>
    <row r="13" spans="1:15" ht="18">
      <c r="A13" s="30" t="s">
        <v>98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 t="s">
        <v>99</v>
      </c>
      <c r="B14" s="11"/>
      <c r="C14" s="11"/>
      <c r="D14" s="11" t="s">
        <v>100</v>
      </c>
      <c r="E14" s="11"/>
      <c r="F14" s="11" t="s">
        <v>101</v>
      </c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102</v>
      </c>
      <c r="B15" s="11"/>
      <c r="C15" s="11"/>
      <c r="D15" s="11" t="s">
        <v>103</v>
      </c>
      <c r="E15" s="11"/>
      <c r="F15" s="11" t="s">
        <v>104</v>
      </c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 t="s">
        <v>105</v>
      </c>
      <c r="B16" s="11"/>
      <c r="C16" s="11"/>
      <c r="D16" s="11" t="s">
        <v>106</v>
      </c>
      <c r="E16" s="11"/>
      <c r="F16" s="11" t="s">
        <v>107</v>
      </c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1" t="s">
        <v>108</v>
      </c>
      <c r="B17" s="11"/>
      <c r="C17" s="11"/>
      <c r="D17" s="11" t="s">
        <v>109</v>
      </c>
      <c r="E17" s="11"/>
      <c r="F17" s="11" t="s">
        <v>110</v>
      </c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 t="s">
        <v>111</v>
      </c>
      <c r="B18" s="11"/>
      <c r="C18" s="11"/>
      <c r="D18" s="11" t="s">
        <v>112</v>
      </c>
      <c r="E18" s="11"/>
      <c r="F18" s="11" t="s">
        <v>113</v>
      </c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 t="s">
        <v>114</v>
      </c>
      <c r="B19" s="11"/>
      <c r="C19" s="11"/>
      <c r="D19" s="11" t="s">
        <v>115</v>
      </c>
      <c r="E19" s="11"/>
      <c r="F19" s="11" t="s">
        <v>116</v>
      </c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 t="s">
        <v>117</v>
      </c>
      <c r="B20" s="11"/>
      <c r="C20" s="11"/>
      <c r="D20" s="11" t="s">
        <v>118</v>
      </c>
      <c r="E20" s="11"/>
      <c r="F20" s="11" t="s">
        <v>119</v>
      </c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 t="s">
        <v>120</v>
      </c>
      <c r="B21" s="11"/>
      <c r="C21" s="11"/>
      <c r="D21" s="11" t="s">
        <v>121</v>
      </c>
      <c r="E21" s="11"/>
      <c r="F21" s="11" t="s">
        <v>122</v>
      </c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 s="28" customFormat="1"/>
    <row r="24" spans="1:15" ht="18">
      <c r="A24" s="30" t="s">
        <v>123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39" t="s">
        <v>136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 t="s">
        <v>124</v>
      </c>
      <c r="B26" s="11"/>
      <c r="C26" s="11"/>
      <c r="D26" s="11">
        <v>0</v>
      </c>
      <c r="E26" s="11"/>
      <c r="F26" s="11" t="s">
        <v>125</v>
      </c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11" t="s">
        <v>126</v>
      </c>
      <c r="B27" s="11"/>
      <c r="C27" s="11"/>
      <c r="D27" s="11">
        <v>1</v>
      </c>
      <c r="E27" s="11"/>
      <c r="F27" s="11" t="s">
        <v>127</v>
      </c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11" t="s">
        <v>128</v>
      </c>
      <c r="B28" s="11"/>
      <c r="C28" s="11"/>
      <c r="D28" s="11">
        <v>2</v>
      </c>
      <c r="E28" s="11"/>
      <c r="F28" s="11" t="s">
        <v>129</v>
      </c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A29" s="11" t="s">
        <v>130</v>
      </c>
      <c r="B29" s="11"/>
      <c r="C29" s="11"/>
      <c r="D29" s="11">
        <v>3</v>
      </c>
      <c r="E29" s="11"/>
      <c r="F29" s="11" t="s">
        <v>131</v>
      </c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 t="s">
        <v>133</v>
      </c>
      <c r="B30" s="11"/>
      <c r="C30" s="11"/>
      <c r="D30" s="11">
        <v>4</v>
      </c>
      <c r="E30" s="11"/>
      <c r="F30" s="11" t="s">
        <v>134</v>
      </c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A31" s="11" t="s">
        <v>132</v>
      </c>
      <c r="B31" s="11"/>
      <c r="C31" s="11"/>
      <c r="D31" s="11">
        <v>5</v>
      </c>
      <c r="E31" s="11"/>
      <c r="F31" s="11" t="s">
        <v>135</v>
      </c>
      <c r="G31" s="11"/>
      <c r="H31" s="11"/>
      <c r="I31" s="11"/>
      <c r="J31" s="11"/>
      <c r="K31" s="11"/>
      <c r="L31" s="11"/>
      <c r="M31" s="11"/>
      <c r="N31" s="11"/>
      <c r="O31" s="11"/>
    </row>
    <row r="32" spans="1:15">
      <c r="A32" s="11" t="s">
        <v>152</v>
      </c>
      <c r="B32" s="11"/>
      <c r="C32" s="11"/>
      <c r="D32" s="11">
        <v>16</v>
      </c>
      <c r="E32" s="11"/>
      <c r="F32" s="11" t="s">
        <v>153</v>
      </c>
      <c r="G32" s="11"/>
      <c r="H32" s="11"/>
      <c r="I32" s="11"/>
      <c r="J32" s="11"/>
      <c r="K32" s="11"/>
      <c r="L32" s="11"/>
      <c r="M32" s="11"/>
      <c r="N32" s="11"/>
      <c r="O32" s="11"/>
    </row>
    <row r="33" spans="1:15">
      <c r="A33" s="11" t="s">
        <v>154</v>
      </c>
      <c r="B33" s="11"/>
      <c r="C33" s="11"/>
      <c r="D33" s="11">
        <v>32</v>
      </c>
      <c r="E33" s="11"/>
      <c r="F33" s="11" t="s">
        <v>155</v>
      </c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11" t="s">
        <v>156</v>
      </c>
      <c r="B34" s="11"/>
      <c r="C34" s="11"/>
      <c r="D34" s="11">
        <v>48</v>
      </c>
      <c r="E34" s="11"/>
      <c r="F34" s="11" t="s">
        <v>157</v>
      </c>
      <c r="G34" s="11"/>
      <c r="H34" s="11"/>
      <c r="I34" s="11"/>
      <c r="J34" s="11"/>
      <c r="K34" s="11"/>
      <c r="L34" s="11"/>
      <c r="M34" s="11"/>
      <c r="N34" s="11"/>
      <c r="O34" s="11"/>
    </row>
    <row r="35" spans="1:15">
      <c r="A35" s="11" t="s">
        <v>158</v>
      </c>
      <c r="B35" s="11"/>
      <c r="C35" s="11"/>
      <c r="D35" s="11">
        <v>64</v>
      </c>
      <c r="E35" s="11"/>
      <c r="F35" s="11" t="s">
        <v>159</v>
      </c>
      <c r="G35" s="11"/>
      <c r="H35" s="11"/>
      <c r="I35" s="11"/>
      <c r="J35" s="11"/>
      <c r="K35" s="11"/>
      <c r="L35" s="11"/>
      <c r="M35" s="11"/>
      <c r="N35" s="11"/>
      <c r="O35" s="11"/>
    </row>
    <row r="36" spans="1:15">
      <c r="A36" s="11" t="s">
        <v>160</v>
      </c>
      <c r="B36" s="11"/>
      <c r="C36" s="11"/>
      <c r="D36" s="11">
        <v>65536</v>
      </c>
      <c r="E36" s="11"/>
      <c r="F36" s="11" t="s">
        <v>161</v>
      </c>
      <c r="G36" s="11"/>
      <c r="H36" s="11"/>
      <c r="I36" s="11"/>
      <c r="J36" s="11"/>
      <c r="K36" s="11"/>
      <c r="L36" s="11"/>
      <c r="M36" s="11"/>
      <c r="N36" s="11"/>
      <c r="O36" s="11"/>
    </row>
    <row r="37" spans="1:1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>
      <c r="A39" s="39" t="s">
        <v>137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>
      <c r="A40" s="11" t="s">
        <v>138</v>
      </c>
      <c r="B40" s="11"/>
      <c r="C40" s="11"/>
      <c r="D40" s="11">
        <v>1</v>
      </c>
      <c r="E40" s="11"/>
      <c r="F40" s="11" t="s">
        <v>139</v>
      </c>
      <c r="G40" s="11"/>
      <c r="H40" s="11"/>
      <c r="I40" s="11"/>
      <c r="J40" s="11"/>
      <c r="K40" s="11"/>
      <c r="L40" s="11"/>
      <c r="M40" s="11"/>
      <c r="N40" s="11"/>
      <c r="O40" s="11"/>
    </row>
    <row r="41" spans="1:15">
      <c r="A41" s="11" t="s">
        <v>140</v>
      </c>
      <c r="B41" s="11"/>
      <c r="C41" s="11"/>
      <c r="D41" s="11">
        <v>2</v>
      </c>
      <c r="E41" s="11"/>
      <c r="F41" s="11" t="s">
        <v>141</v>
      </c>
      <c r="G41" s="11"/>
      <c r="H41" s="11"/>
      <c r="I41" s="11"/>
      <c r="J41" s="11"/>
      <c r="K41" s="11"/>
      <c r="L41" s="11"/>
      <c r="M41" s="11"/>
      <c r="N41" s="11"/>
      <c r="O41" s="11"/>
    </row>
    <row r="42" spans="1:15">
      <c r="A42" s="11" t="s">
        <v>142</v>
      </c>
      <c r="B42" s="11"/>
      <c r="C42" s="11"/>
      <c r="D42" s="11">
        <v>3</v>
      </c>
      <c r="E42" s="11"/>
      <c r="F42" s="11" t="s">
        <v>143</v>
      </c>
      <c r="G42" s="11"/>
      <c r="H42" s="11"/>
      <c r="I42" s="11"/>
      <c r="J42" s="11"/>
      <c r="K42" s="11"/>
      <c r="L42" s="11"/>
      <c r="M42" s="11"/>
      <c r="N42" s="11"/>
      <c r="O42" s="11"/>
    </row>
    <row r="43" spans="1:15">
      <c r="A43" s="11" t="s">
        <v>144</v>
      </c>
      <c r="B43" s="11"/>
      <c r="C43" s="11"/>
      <c r="D43" s="11">
        <v>4</v>
      </c>
      <c r="E43" s="11"/>
      <c r="F43" s="11" t="s">
        <v>145</v>
      </c>
      <c r="G43" s="11"/>
      <c r="H43" s="11"/>
      <c r="I43" s="11"/>
      <c r="J43" s="11"/>
      <c r="K43" s="11"/>
      <c r="L43" s="11"/>
      <c r="M43" s="11"/>
      <c r="N43" s="11"/>
      <c r="O43" s="11"/>
    </row>
    <row r="44" spans="1:15">
      <c r="A44" s="11" t="s">
        <v>146</v>
      </c>
      <c r="B44" s="11"/>
      <c r="C44" s="11"/>
      <c r="D44" s="11">
        <v>5</v>
      </c>
      <c r="E44" s="11"/>
      <c r="F44" s="11" t="s">
        <v>147</v>
      </c>
      <c r="G44" s="11"/>
      <c r="H44" s="11"/>
      <c r="I44" s="11"/>
      <c r="J44" s="11"/>
      <c r="K44" s="11"/>
      <c r="L44" s="11"/>
      <c r="M44" s="11"/>
      <c r="N44" s="11"/>
      <c r="O44" s="11"/>
    </row>
    <row r="45" spans="1:15">
      <c r="A45" s="11" t="s">
        <v>148</v>
      </c>
      <c r="B45" s="11"/>
      <c r="C45" s="11"/>
      <c r="D45" s="11">
        <v>6</v>
      </c>
      <c r="E45" s="11"/>
      <c r="F45" s="11" t="s">
        <v>149</v>
      </c>
      <c r="G45" s="11"/>
      <c r="H45" s="11"/>
      <c r="I45" s="11"/>
      <c r="J45" s="11"/>
      <c r="K45" s="11"/>
      <c r="L45" s="11"/>
      <c r="M45" s="11"/>
      <c r="N45" s="11"/>
      <c r="O45" s="11"/>
    </row>
    <row r="46" spans="1:15">
      <c r="A46" s="11" t="s">
        <v>150</v>
      </c>
      <c r="B46" s="11"/>
      <c r="C46" s="11"/>
      <c r="D46" s="11">
        <v>7</v>
      </c>
      <c r="E46" s="11"/>
      <c r="F46" s="11" t="s">
        <v>151</v>
      </c>
      <c r="G46" s="11"/>
      <c r="H46" s="11"/>
      <c r="I46" s="11"/>
      <c r="J46" s="11"/>
      <c r="K46" s="11"/>
      <c r="L46" s="11"/>
      <c r="M46" s="11"/>
      <c r="N46" s="11"/>
      <c r="O46" s="11"/>
    </row>
    <row r="47" spans="1:1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9" spans="1:15" ht="18">
      <c r="A49" s="30" t="s">
        <v>162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</row>
    <row r="50" spans="1:15">
      <c r="A50" s="11" t="s">
        <v>163</v>
      </c>
      <c r="B50" s="11"/>
      <c r="C50" s="11"/>
      <c r="D50" s="42">
        <v>0</v>
      </c>
      <c r="E50" s="11"/>
      <c r="F50" s="11" t="s">
        <v>164</v>
      </c>
      <c r="G50" s="11"/>
      <c r="H50" s="11"/>
      <c r="I50" s="11"/>
      <c r="J50" s="11"/>
      <c r="K50" s="11"/>
      <c r="L50" s="11"/>
      <c r="M50" s="11"/>
      <c r="N50" s="11"/>
      <c r="O50" s="11"/>
    </row>
    <row r="51" spans="1:15">
      <c r="A51" s="11" t="s">
        <v>165</v>
      </c>
      <c r="B51" s="11"/>
      <c r="C51" s="11"/>
      <c r="D51" s="42">
        <v>1</v>
      </c>
      <c r="E51" s="11"/>
      <c r="F51" s="11" t="s">
        <v>166</v>
      </c>
      <c r="G51" s="11"/>
      <c r="H51" s="11"/>
      <c r="I51" s="11"/>
      <c r="J51" s="11"/>
      <c r="K51" s="11"/>
      <c r="L51" s="11"/>
      <c r="M51" s="11"/>
      <c r="N51" s="11"/>
      <c r="O51" s="11"/>
    </row>
    <row r="52" spans="1:15">
      <c r="A52" s="11" t="s">
        <v>167</v>
      </c>
      <c r="B52" s="11"/>
      <c r="C52" s="11"/>
      <c r="D52" s="42">
        <v>2</v>
      </c>
      <c r="E52" s="11"/>
      <c r="F52" s="11" t="s">
        <v>168</v>
      </c>
      <c r="G52" s="11"/>
      <c r="H52" s="11"/>
      <c r="I52" s="11"/>
      <c r="J52" s="11"/>
      <c r="K52" s="11"/>
      <c r="L52" s="11"/>
      <c r="M52" s="11"/>
      <c r="N52" s="11"/>
      <c r="O52" s="11"/>
    </row>
    <row r="53" spans="1:15">
      <c r="A53" s="11" t="s">
        <v>169</v>
      </c>
      <c r="B53" s="11"/>
      <c r="C53" s="11"/>
      <c r="D53" s="42">
        <v>3</v>
      </c>
      <c r="E53" s="11"/>
      <c r="F53" s="11" t="s">
        <v>170</v>
      </c>
      <c r="G53" s="11"/>
      <c r="H53" s="11"/>
      <c r="I53" s="11"/>
      <c r="J53" s="11"/>
      <c r="K53" s="11"/>
      <c r="L53" s="11"/>
      <c r="M53" s="11"/>
      <c r="N53" s="11"/>
      <c r="O53" s="11"/>
    </row>
    <row r="54" spans="1:15">
      <c r="A54" s="11" t="s">
        <v>171</v>
      </c>
      <c r="B54" s="11"/>
      <c r="C54" s="11"/>
      <c r="D54" s="42">
        <v>4</v>
      </c>
      <c r="E54" s="11"/>
      <c r="F54" s="11" t="s">
        <v>172</v>
      </c>
      <c r="G54" s="11"/>
      <c r="H54" s="11"/>
      <c r="I54" s="11"/>
      <c r="J54" s="11"/>
      <c r="K54" s="11"/>
      <c r="L54" s="11"/>
      <c r="M54" s="11"/>
      <c r="N54" s="11"/>
      <c r="O54" s="11"/>
    </row>
    <row r="55" spans="1:15">
      <c r="A55" s="11" t="s">
        <v>173</v>
      </c>
      <c r="B55" s="11"/>
      <c r="C55" s="11"/>
      <c r="D55" s="42">
        <v>5</v>
      </c>
      <c r="E55" s="11"/>
      <c r="F55" s="11" t="s">
        <v>174</v>
      </c>
      <c r="G55" s="11"/>
      <c r="H55" s="11"/>
      <c r="I55" s="11"/>
      <c r="J55" s="11"/>
      <c r="K55" s="11"/>
      <c r="L55" s="11"/>
      <c r="M55" s="11"/>
      <c r="N55" s="11"/>
      <c r="O55" s="11"/>
    </row>
    <row r="56" spans="1:15">
      <c r="A56" s="11" t="s">
        <v>175</v>
      </c>
      <c r="B56" s="11"/>
      <c r="C56" s="11"/>
      <c r="D56" s="42">
        <v>6</v>
      </c>
      <c r="E56" s="11"/>
      <c r="F56" s="11" t="s">
        <v>176</v>
      </c>
      <c r="G56" s="11"/>
      <c r="H56" s="11"/>
      <c r="I56" s="11"/>
      <c r="J56" s="11"/>
      <c r="K56" s="11"/>
      <c r="L56" s="11"/>
      <c r="M56" s="11"/>
      <c r="N56" s="11"/>
      <c r="O56" s="11"/>
    </row>
    <row r="57" spans="1:15">
      <c r="A57" s="11" t="s">
        <v>177</v>
      </c>
      <c r="B57" s="11"/>
      <c r="C57" s="11"/>
      <c r="D57" s="42">
        <v>7</v>
      </c>
      <c r="E57" s="11"/>
      <c r="F57" s="11" t="s">
        <v>178</v>
      </c>
      <c r="G57" s="11"/>
      <c r="H57" s="11"/>
      <c r="I57" s="11"/>
      <c r="J57" s="11"/>
      <c r="K57" s="11"/>
      <c r="L57" s="11"/>
      <c r="M57" s="11"/>
      <c r="N57" s="11"/>
      <c r="O57" s="11"/>
    </row>
    <row r="58" spans="1:15">
      <c r="A58" s="11" t="s">
        <v>179</v>
      </c>
      <c r="B58" s="11"/>
      <c r="C58" s="11"/>
      <c r="D58" s="42">
        <v>8</v>
      </c>
      <c r="E58" s="11"/>
      <c r="F58" s="11" t="s">
        <v>180</v>
      </c>
      <c r="G58" s="11"/>
      <c r="H58" s="11"/>
      <c r="I58" s="11"/>
      <c r="J58" s="11"/>
      <c r="K58" s="11"/>
      <c r="L58" s="11"/>
      <c r="M58" s="11"/>
      <c r="N58" s="11"/>
      <c r="O58" s="11"/>
    </row>
    <row r="59" spans="1:15">
      <c r="A59" s="11" t="s">
        <v>181</v>
      </c>
      <c r="B59" s="11"/>
      <c r="C59" s="11"/>
      <c r="D59" s="42">
        <v>9</v>
      </c>
      <c r="E59" s="11"/>
      <c r="F59" s="11" t="s">
        <v>15</v>
      </c>
      <c r="G59" s="11"/>
      <c r="H59" s="11"/>
      <c r="I59" s="11"/>
      <c r="J59" s="11"/>
      <c r="K59" s="11"/>
      <c r="L59" s="11"/>
      <c r="M59" s="11"/>
      <c r="N59" s="11"/>
      <c r="O59" s="11"/>
    </row>
    <row r="60" spans="1:15">
      <c r="A60" s="11" t="s">
        <v>182</v>
      </c>
      <c r="B60" s="11"/>
      <c r="C60" s="11"/>
      <c r="D60" s="42">
        <v>10</v>
      </c>
      <c r="E60" s="11"/>
      <c r="F60" s="11" t="s">
        <v>183</v>
      </c>
      <c r="G60" s="11"/>
      <c r="H60" s="11"/>
      <c r="I60" s="11"/>
      <c r="J60" s="11"/>
      <c r="K60" s="11"/>
      <c r="L60" s="11"/>
      <c r="M60" s="11"/>
      <c r="N60" s="11"/>
      <c r="O60" s="11"/>
    </row>
    <row r="61" spans="1:15">
      <c r="A61" s="11" t="s">
        <v>184</v>
      </c>
      <c r="B61" s="11"/>
      <c r="C61" s="11"/>
      <c r="D61" s="42">
        <v>11</v>
      </c>
      <c r="E61" s="11"/>
      <c r="F61" s="11" t="s">
        <v>185</v>
      </c>
      <c r="G61" s="11"/>
      <c r="H61" s="11"/>
      <c r="I61" s="11"/>
      <c r="J61" s="11"/>
      <c r="K61" s="11"/>
      <c r="L61" s="11"/>
      <c r="M61" s="11"/>
      <c r="N61" s="11"/>
      <c r="O61" s="11"/>
    </row>
    <row r="62" spans="1:15">
      <c r="A62" s="11" t="s">
        <v>186</v>
      </c>
      <c r="B62" s="11"/>
      <c r="C62" s="11"/>
      <c r="D62" s="42">
        <v>12</v>
      </c>
      <c r="E62" s="11"/>
      <c r="F62" s="11" t="s">
        <v>187</v>
      </c>
      <c r="G62" s="11"/>
      <c r="H62" s="11"/>
      <c r="I62" s="11"/>
      <c r="J62" s="11"/>
      <c r="K62" s="11"/>
      <c r="L62" s="11"/>
      <c r="M62" s="11"/>
      <c r="N62" s="11"/>
      <c r="O62" s="11"/>
    </row>
    <row r="63" spans="1:15">
      <c r="A63" s="11" t="s">
        <v>188</v>
      </c>
      <c r="B63" s="11"/>
      <c r="C63" s="11"/>
      <c r="D63" s="42">
        <v>13</v>
      </c>
      <c r="E63" s="11"/>
      <c r="F63" s="11" t="s">
        <v>189</v>
      </c>
      <c r="G63" s="11"/>
      <c r="H63" s="11"/>
      <c r="I63" s="11"/>
      <c r="J63" s="11"/>
      <c r="K63" s="11"/>
      <c r="L63" s="11"/>
      <c r="M63" s="11"/>
      <c r="N63" s="11"/>
      <c r="O63" s="11"/>
    </row>
    <row r="64" spans="1:15">
      <c r="A64" s="39" t="s">
        <v>190</v>
      </c>
      <c r="B64" s="11"/>
      <c r="C64" s="11"/>
      <c r="D64" s="42">
        <v>14</v>
      </c>
      <c r="E64" s="11"/>
      <c r="F64" s="11" t="s">
        <v>191</v>
      </c>
      <c r="G64" s="11"/>
      <c r="H64" s="11"/>
      <c r="I64" s="11"/>
      <c r="J64" s="11"/>
      <c r="K64" s="11"/>
      <c r="L64" s="11"/>
      <c r="M64" s="11"/>
      <c r="N64" s="11"/>
      <c r="O64" s="11"/>
    </row>
    <row r="65" spans="1:15">
      <c r="A65" s="11" t="s">
        <v>192</v>
      </c>
      <c r="B65" s="11"/>
      <c r="C65" s="11"/>
      <c r="D65" s="42">
        <v>17</v>
      </c>
      <c r="E65" s="11"/>
      <c r="F65" s="11" t="s">
        <v>193</v>
      </c>
      <c r="G65" s="11"/>
      <c r="H65" s="11"/>
      <c r="I65" s="11"/>
      <c r="J65" s="11"/>
      <c r="K65" s="11"/>
      <c r="L65" s="11"/>
      <c r="M65" s="11"/>
      <c r="N65" s="11"/>
      <c r="O65" s="11"/>
    </row>
    <row r="66" spans="1:15">
      <c r="A66" s="11" t="s">
        <v>194</v>
      </c>
      <c r="B66" s="11"/>
      <c r="C66" s="11"/>
      <c r="D66" s="42">
        <v>36</v>
      </c>
      <c r="E66" s="11"/>
      <c r="F66" s="11" t="s">
        <v>195</v>
      </c>
      <c r="G66" s="11"/>
      <c r="H66" s="11"/>
      <c r="I66" s="11"/>
      <c r="J66" s="11"/>
      <c r="K66" s="11"/>
      <c r="L66" s="11"/>
      <c r="M66" s="11"/>
      <c r="N66" s="11"/>
      <c r="O66" s="11"/>
    </row>
    <row r="67" spans="1:15">
      <c r="A67" s="11" t="s">
        <v>196</v>
      </c>
      <c r="B67" s="11"/>
      <c r="C67" s="11"/>
      <c r="D67" s="42">
        <v>8192</v>
      </c>
      <c r="E67" s="11"/>
      <c r="F67" s="11" t="s">
        <v>197</v>
      </c>
      <c r="G67" s="11"/>
      <c r="H67" s="11"/>
      <c r="I67" s="11"/>
      <c r="J67" s="11"/>
      <c r="K67" s="11"/>
      <c r="L67" s="11"/>
      <c r="M67" s="11"/>
      <c r="N67" s="11"/>
      <c r="O67" s="11"/>
    </row>
    <row r="68" spans="1:1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</row>
    <row r="70" spans="1:15">
      <c r="A70" s="45" t="s">
        <v>256</v>
      </c>
    </row>
    <row r="71" spans="1:15">
      <c r="A71" s="38"/>
      <c r="B71" s="37"/>
      <c r="C71" s="37"/>
    </row>
    <row r="72" spans="1:15">
      <c r="A72" s="38"/>
      <c r="B72" s="37"/>
      <c r="C72" s="37"/>
    </row>
    <row r="73" spans="1:15">
      <c r="A73" s="38"/>
      <c r="B73" s="37"/>
      <c r="C73" s="41"/>
    </row>
    <row r="74" spans="1:15">
      <c r="A74" s="38"/>
      <c r="B74" s="37"/>
      <c r="C74" s="37"/>
    </row>
    <row r="75" spans="1:15">
      <c r="A75" s="38"/>
      <c r="B75" s="37"/>
      <c r="C75" s="37"/>
    </row>
    <row r="76" spans="1:15">
      <c r="A76" s="38"/>
      <c r="B76" s="37"/>
      <c r="C76" s="37"/>
    </row>
    <row r="77" spans="1:15">
      <c r="A77" s="38"/>
      <c r="B77" s="37"/>
      <c r="C77" s="41"/>
    </row>
    <row r="78" spans="1:15">
      <c r="A78" s="38"/>
      <c r="B78" s="37"/>
      <c r="C78" s="41"/>
    </row>
    <row r="79" spans="1:15">
      <c r="A79" s="38"/>
      <c r="B79" s="37"/>
      <c r="C79" s="41"/>
    </row>
    <row r="80" spans="1:15">
      <c r="A80" s="38"/>
      <c r="B80" s="37"/>
      <c r="C80" s="37"/>
    </row>
    <row r="81" spans="1:3">
      <c r="A81" s="38"/>
      <c r="B81" s="37"/>
      <c r="C81" s="37"/>
    </row>
    <row r="82" spans="1:3">
      <c r="A82" s="38"/>
      <c r="B82" s="37"/>
      <c r="C82" s="41"/>
    </row>
    <row r="83" spans="1:3">
      <c r="A83" s="38"/>
      <c r="B83" s="37"/>
      <c r="C83" s="37"/>
    </row>
    <row r="84" spans="1:3">
      <c r="A84" s="38"/>
      <c r="B84" s="37"/>
      <c r="C84" s="37"/>
    </row>
    <row r="85" spans="1:3">
      <c r="A85" s="38"/>
      <c r="B85" s="37"/>
      <c r="C85" s="41"/>
    </row>
    <row r="86" spans="1:3">
      <c r="A86" s="38"/>
      <c r="B86" s="37"/>
      <c r="C86" s="41"/>
    </row>
    <row r="87" spans="1:3">
      <c r="A87" s="38"/>
      <c r="B87" s="37"/>
      <c r="C87" s="37"/>
    </row>
    <row r="88" spans="1:3">
      <c r="A88" s="38"/>
      <c r="B88" s="37"/>
      <c r="C88" s="37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O72"/>
  <sheetViews>
    <sheetView topLeftCell="A22" workbookViewId="0">
      <selection activeCell="I50" sqref="I50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198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30" t="s">
        <v>238</v>
      </c>
      <c r="B3" s="30"/>
      <c r="C3" s="1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 t="s">
        <v>199</v>
      </c>
      <c r="B4" s="11"/>
      <c r="C4" s="11" t="s">
        <v>203</v>
      </c>
      <c r="D4" s="11"/>
      <c r="E4" s="11"/>
      <c r="F4" s="11" t="s">
        <v>200</v>
      </c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 t="s">
        <v>202</v>
      </c>
      <c r="B5" s="11"/>
      <c r="C5" s="11" t="s">
        <v>204</v>
      </c>
      <c r="D5" s="11"/>
      <c r="E5" s="11"/>
      <c r="F5" s="11" t="s">
        <v>201</v>
      </c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 t="s">
        <v>206</v>
      </c>
      <c r="B6" s="11"/>
      <c r="C6" s="11" t="s">
        <v>207</v>
      </c>
      <c r="D6" s="11"/>
      <c r="E6" s="11"/>
      <c r="F6" s="11" t="s">
        <v>205</v>
      </c>
      <c r="G6" s="11"/>
      <c r="H6" s="11"/>
      <c r="I6" s="11"/>
      <c r="J6" s="11"/>
      <c r="K6" s="11"/>
      <c r="L6" s="11"/>
      <c r="M6" s="11"/>
      <c r="N6" s="11"/>
      <c r="O6" s="11"/>
    </row>
    <row r="7" spans="1:15">
      <c r="A7" s="11" t="s">
        <v>208</v>
      </c>
      <c r="B7" s="11"/>
      <c r="C7" s="11" t="s">
        <v>209</v>
      </c>
      <c r="D7" s="11"/>
      <c r="E7" s="11"/>
      <c r="F7" s="11" t="s">
        <v>210</v>
      </c>
      <c r="G7" s="11"/>
      <c r="H7" s="11"/>
      <c r="I7" s="11"/>
      <c r="J7" s="11"/>
      <c r="K7" s="11"/>
      <c r="L7" s="11"/>
      <c r="M7" s="11"/>
      <c r="N7" s="11"/>
      <c r="O7" s="11"/>
    </row>
    <row r="8" spans="1:15">
      <c r="A8" s="43" t="s">
        <v>213</v>
      </c>
      <c r="B8" s="11"/>
      <c r="C8" s="11" t="s">
        <v>212</v>
      </c>
      <c r="D8" s="11"/>
      <c r="E8" s="11"/>
      <c r="F8" s="11" t="s">
        <v>211</v>
      </c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214</v>
      </c>
      <c r="B9" s="11"/>
      <c r="C9" s="11" t="s">
        <v>216</v>
      </c>
      <c r="D9" s="11"/>
      <c r="E9" s="11"/>
      <c r="F9" s="11" t="s">
        <v>215</v>
      </c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229</v>
      </c>
      <c r="B10" s="11"/>
      <c r="C10" s="11" t="s">
        <v>230</v>
      </c>
      <c r="D10" s="11"/>
      <c r="E10" s="11"/>
      <c r="F10" s="11" t="s">
        <v>231</v>
      </c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 t="s">
        <v>219</v>
      </c>
      <c r="B11" s="11"/>
      <c r="C11" s="11" t="s">
        <v>218</v>
      </c>
      <c r="D11" s="11"/>
      <c r="E11" s="11"/>
      <c r="F11" s="11" t="s">
        <v>217</v>
      </c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11" t="s">
        <v>221</v>
      </c>
      <c r="B12" s="11"/>
      <c r="C12" s="11" t="s">
        <v>222</v>
      </c>
      <c r="D12" s="11"/>
      <c r="E12" s="11"/>
      <c r="F12" s="11" t="s">
        <v>220</v>
      </c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 t="s">
        <v>223</v>
      </c>
      <c r="B13" s="11"/>
      <c r="C13" s="11" t="s">
        <v>224</v>
      </c>
      <c r="D13" s="11"/>
      <c r="E13" s="11"/>
      <c r="F13" s="11" t="s">
        <v>225</v>
      </c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 t="s">
        <v>226</v>
      </c>
      <c r="B14" s="11"/>
      <c r="C14" s="11" t="s">
        <v>227</v>
      </c>
      <c r="D14" s="11"/>
      <c r="E14" s="11"/>
      <c r="F14" s="11" t="s">
        <v>228</v>
      </c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232</v>
      </c>
      <c r="B15" s="11"/>
      <c r="C15" s="11" t="s">
        <v>233</v>
      </c>
      <c r="D15" s="11"/>
      <c r="E15" s="11"/>
      <c r="F15" s="11" t="s">
        <v>234</v>
      </c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 t="s">
        <v>235</v>
      </c>
      <c r="B16" s="11"/>
      <c r="C16" s="11" t="s">
        <v>236</v>
      </c>
      <c r="D16" s="11"/>
      <c r="E16" s="11"/>
      <c r="F16" s="11" t="s">
        <v>237</v>
      </c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 s="28" customFormat="1"/>
    <row r="19" spans="1:15" ht="18">
      <c r="A19" s="30" t="s">
        <v>239</v>
      </c>
      <c r="B19" s="11"/>
      <c r="C19" s="11"/>
      <c r="D19" s="11"/>
      <c r="E19" s="11"/>
      <c r="F19" s="11" t="s">
        <v>251</v>
      </c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 t="s">
        <v>240</v>
      </c>
      <c r="B20" s="11"/>
      <c r="C20" s="11" t="s">
        <v>241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 t="s">
        <v>242</v>
      </c>
      <c r="B21" s="11"/>
      <c r="C21" s="11" t="s">
        <v>243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 t="s">
        <v>245</v>
      </c>
      <c r="B22" s="11"/>
      <c r="C22" s="11" t="s">
        <v>247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11" t="s">
        <v>244</v>
      </c>
      <c r="B23" s="11"/>
      <c r="C23" s="11" t="s">
        <v>246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1" t="s">
        <v>221</v>
      </c>
      <c r="B24" s="11"/>
      <c r="C24" s="11" t="s">
        <v>248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 t="s">
        <v>249</v>
      </c>
      <c r="B25" s="11"/>
      <c r="C25" s="11" t="s">
        <v>250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 s="28" customFormat="1"/>
    <row r="28" spans="1:15" ht="18">
      <c r="A28" s="30" t="s">
        <v>252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A29" s="11" t="s">
        <v>253</v>
      </c>
      <c r="B29" s="11"/>
      <c r="C29" s="11" t="s">
        <v>254</v>
      </c>
      <c r="D29" s="11"/>
      <c r="E29" s="11"/>
      <c r="F29" s="11" t="s">
        <v>255</v>
      </c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</row>
    <row r="32" spans="1:1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</row>
    <row r="33" spans="1:1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</row>
    <row r="34" spans="1:1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</row>
    <row r="35" spans="1:1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</row>
    <row r="36" spans="1:1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</row>
    <row r="37" spans="1:1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</row>
    <row r="38" spans="1:1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</row>
    <row r="39" spans="1:1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</row>
    <row r="40" spans="1:1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</row>
    <row r="41" spans="1:1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</row>
    <row r="42" spans="1:1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</row>
    <row r="43" spans="1:15">
      <c r="A43" s="44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</row>
    <row r="44" spans="1:1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</row>
    <row r="45" spans="1:1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</row>
    <row r="46" spans="1:1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</row>
    <row r="47" spans="1:1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</row>
    <row r="48" spans="1:1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</row>
    <row r="49" spans="1: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</row>
    <row r="50" spans="1:1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</row>
    <row r="51" spans="1:1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</row>
    <row r="55" spans="1:15">
      <c r="A55" s="38"/>
      <c r="B55" s="37"/>
      <c r="C55" s="37"/>
    </row>
    <row r="56" spans="1:15">
      <c r="A56" s="38"/>
      <c r="B56" s="37"/>
      <c r="C56" s="37"/>
    </row>
    <row r="57" spans="1:15">
      <c r="A57" s="38"/>
      <c r="B57" s="37"/>
      <c r="C57" s="41"/>
    </row>
    <row r="58" spans="1:15">
      <c r="A58" s="38"/>
      <c r="B58" s="37"/>
      <c r="C58" s="37"/>
    </row>
    <row r="59" spans="1:15">
      <c r="A59" s="38"/>
      <c r="B59" s="37"/>
      <c r="C59" s="37"/>
    </row>
    <row r="60" spans="1:15">
      <c r="A60" s="38"/>
      <c r="B60" s="37"/>
      <c r="C60" s="37"/>
    </row>
    <row r="61" spans="1:15">
      <c r="A61" s="38"/>
      <c r="B61" s="37"/>
      <c r="C61" s="41"/>
    </row>
    <row r="62" spans="1:15">
      <c r="A62" s="38"/>
      <c r="B62" s="37"/>
      <c r="C62" s="41"/>
    </row>
    <row r="63" spans="1:15">
      <c r="A63" s="38"/>
      <c r="B63" s="37"/>
      <c r="C63" s="41"/>
    </row>
    <row r="64" spans="1:15">
      <c r="A64" s="38"/>
      <c r="B64" s="37"/>
      <c r="C64" s="37"/>
    </row>
    <row r="65" spans="1:3">
      <c r="A65" s="38"/>
      <c r="B65" s="37"/>
      <c r="C65" s="37"/>
    </row>
    <row r="66" spans="1:3">
      <c r="A66" s="38"/>
      <c r="B66" s="37"/>
      <c r="C66" s="41"/>
    </row>
    <row r="67" spans="1:3">
      <c r="A67" s="38"/>
      <c r="B67" s="37"/>
      <c r="C67" s="37"/>
    </row>
    <row r="68" spans="1:3">
      <c r="A68" s="38"/>
      <c r="B68" s="37"/>
      <c r="C68" s="37"/>
    </row>
    <row r="69" spans="1:3">
      <c r="A69" s="38"/>
      <c r="B69" s="37"/>
      <c r="C69" s="41"/>
    </row>
    <row r="70" spans="1:3">
      <c r="A70" s="38"/>
      <c r="B70" s="37"/>
      <c r="C70" s="41"/>
    </row>
    <row r="71" spans="1:3">
      <c r="A71" s="38"/>
      <c r="B71" s="37"/>
      <c r="C71" s="37"/>
    </row>
    <row r="72" spans="1:3">
      <c r="A72" s="38"/>
      <c r="B72" s="37"/>
      <c r="C72" s="37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O73"/>
  <sheetViews>
    <sheetView topLeftCell="A22" workbookViewId="0">
      <selection activeCell="C66" sqref="C66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258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30" t="s">
        <v>259</v>
      </c>
      <c r="B3" s="30"/>
      <c r="C3" s="1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 t="s">
        <v>262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</row>
    <row r="7" spans="1:15">
      <c r="A7" s="11" t="s">
        <v>263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</row>
    <row r="8" spans="1:15">
      <c r="A8" s="43"/>
      <c r="B8" s="43" t="s">
        <v>264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267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/>
      <c r="B10" s="11" t="s">
        <v>265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 t="s">
        <v>261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11"/>
      <c r="B12" s="11" t="s">
        <v>266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 t="s">
        <v>260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 s="28" customFormat="1"/>
    <row r="16" spans="1:15" ht="18">
      <c r="A16" s="30" t="s">
        <v>268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 t="s">
        <v>270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/>
      <c r="B19" s="11" t="s">
        <v>272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/>
      <c r="B20" s="11"/>
      <c r="C20" s="11" t="s">
        <v>273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/>
      <c r="B21" s="11" t="s">
        <v>271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/>
      <c r="B22" s="11"/>
      <c r="C22" s="11" t="s">
        <v>266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 s="28" customFormat="1">
      <c r="A23" s="11" t="s">
        <v>269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 ht="18">
      <c r="A24" s="3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</row>
    <row r="26" spans="1:15" ht="18">
      <c r="A26" s="30" t="s">
        <v>274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11" t="s">
        <v>275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A29" s="11"/>
      <c r="B29" s="11" t="s">
        <v>264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/>
      <c r="B30" s="11" t="s">
        <v>276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A31" s="11"/>
      <c r="B31" s="11" t="s">
        <v>264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</row>
    <row r="32" spans="1:15">
      <c r="A32" s="11" t="s">
        <v>277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</row>
    <row r="33" spans="1:1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</row>
    <row r="35" spans="1:15" ht="18">
      <c r="A35" s="30" t="s">
        <v>278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  <row r="37" spans="1:15">
      <c r="A37" s="11" t="s">
        <v>279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>
      <c r="A38" s="11"/>
      <c r="B38" s="11" t="s">
        <v>264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>
      <c r="A39" s="11"/>
      <c r="B39" s="11" t="s">
        <v>276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>
      <c r="A40" s="11"/>
      <c r="B40" s="11" t="s">
        <v>264</v>
      </c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>
      <c r="A41" s="11" t="s">
        <v>280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1:1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4" spans="1:15" ht="18">
      <c r="A44" s="30" t="s">
        <v>281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>
      <c r="A45" s="11"/>
      <c r="B45" s="11"/>
      <c r="C45" s="11"/>
      <c r="D45" s="4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>
      <c r="A46" s="11" t="s">
        <v>283</v>
      </c>
      <c r="B46" s="11"/>
      <c r="C46" s="11"/>
      <c r="D46" s="42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</row>
    <row r="47" spans="1:15">
      <c r="A47" s="11"/>
      <c r="B47" s="11" t="s">
        <v>264</v>
      </c>
      <c r="C47" s="11"/>
      <c r="D47" s="42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>
      <c r="A48" s="11"/>
      <c r="B48" s="11" t="s">
        <v>284</v>
      </c>
      <c r="C48" s="11"/>
      <c r="D48" s="42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  <row r="49" spans="1:15">
      <c r="A49" s="11"/>
      <c r="B49" s="11" t="s">
        <v>264</v>
      </c>
      <c r="C49" s="11"/>
      <c r="D49" s="42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</row>
    <row r="50" spans="1:15">
      <c r="A50" s="11" t="s">
        <v>282</v>
      </c>
      <c r="B50" s="11"/>
      <c r="C50" s="11"/>
      <c r="D50" s="42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</row>
    <row r="51" spans="1:15">
      <c r="A51" s="11"/>
      <c r="B51" s="11"/>
      <c r="C51" s="11"/>
      <c r="D51" s="42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</row>
    <row r="52" spans="1:15">
      <c r="A52" s="11" t="s">
        <v>285</v>
      </c>
      <c r="B52" s="11"/>
      <c r="C52" s="11"/>
      <c r="D52" s="42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</row>
    <row r="53" spans="1:15">
      <c r="A53" s="11"/>
      <c r="B53" s="11" t="s">
        <v>264</v>
      </c>
      <c r="C53" s="11"/>
      <c r="D53" s="42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</row>
    <row r="54" spans="1:15">
      <c r="A54" s="11"/>
      <c r="B54" s="11" t="s">
        <v>284</v>
      </c>
      <c r="C54" s="11"/>
      <c r="D54" s="42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</row>
    <row r="55" spans="1:15">
      <c r="A55" s="11"/>
      <c r="B55" s="11" t="s">
        <v>264</v>
      </c>
      <c r="C55" s="11"/>
      <c r="D55" s="42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</row>
    <row r="56" spans="1:15">
      <c r="A56" s="11" t="s">
        <v>286</v>
      </c>
      <c r="B56" s="11"/>
      <c r="C56" s="11"/>
      <c r="D56" s="42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</row>
    <row r="57" spans="1:15">
      <c r="A57" s="39"/>
      <c r="B57" s="11"/>
      <c r="C57" s="11"/>
      <c r="D57" s="42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</row>
    <row r="58" spans="1:15" s="28" customFormat="1">
      <c r="D58" s="46"/>
    </row>
    <row r="59" spans="1:15">
      <c r="A59" s="38"/>
      <c r="B59" s="37"/>
      <c r="C59" s="37"/>
    </row>
    <row r="60" spans="1:15">
      <c r="A60" s="38"/>
      <c r="B60" s="37"/>
      <c r="C60" s="37"/>
    </row>
    <row r="61" spans="1:15">
      <c r="A61" s="38"/>
      <c r="B61" s="37"/>
      <c r="C61" s="37"/>
    </row>
    <row r="62" spans="1:15">
      <c r="A62" s="38"/>
      <c r="B62" s="37"/>
      <c r="C62" s="41"/>
    </row>
    <row r="63" spans="1:15">
      <c r="A63" s="38"/>
      <c r="B63" s="37"/>
      <c r="C63" s="41"/>
    </row>
    <row r="64" spans="1:15">
      <c r="A64" s="38"/>
      <c r="B64" s="37"/>
      <c r="C64" s="41"/>
    </row>
    <row r="65" spans="1:3">
      <c r="A65" s="38"/>
      <c r="B65" s="37"/>
      <c r="C65" s="37"/>
    </row>
    <row r="66" spans="1:3">
      <c r="A66" s="38"/>
      <c r="B66" s="37"/>
      <c r="C66" s="37"/>
    </row>
    <row r="67" spans="1:3">
      <c r="A67" s="38"/>
      <c r="B67" s="37"/>
      <c r="C67" s="41"/>
    </row>
    <row r="68" spans="1:3">
      <c r="A68" s="38"/>
      <c r="B68" s="37"/>
      <c r="C68" s="37"/>
    </row>
    <row r="69" spans="1:3">
      <c r="A69" s="38"/>
      <c r="B69" s="37"/>
      <c r="C69" s="37"/>
    </row>
    <row r="70" spans="1:3">
      <c r="A70" s="38"/>
      <c r="B70" s="37"/>
      <c r="C70" s="41"/>
    </row>
    <row r="71" spans="1:3">
      <c r="A71" s="38"/>
      <c r="B71" s="37"/>
      <c r="C71" s="41"/>
    </row>
    <row r="72" spans="1:3">
      <c r="A72" s="38"/>
      <c r="B72" s="37"/>
      <c r="C72" s="37"/>
    </row>
    <row r="73" spans="1:3">
      <c r="A73" s="38"/>
      <c r="B73" s="37"/>
      <c r="C73" s="37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O103"/>
  <sheetViews>
    <sheetView topLeftCell="A70" workbookViewId="0">
      <selection activeCell="B77" sqref="B77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197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30" t="s">
        <v>287</v>
      </c>
      <c r="B3" s="30"/>
      <c r="C3" s="11"/>
      <c r="D3" s="11" t="s">
        <v>302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 ht="18">
      <c r="A4" s="30" t="s">
        <v>288</v>
      </c>
      <c r="B4" s="11"/>
      <c r="C4" s="11"/>
      <c r="D4" s="11" t="s">
        <v>303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 s="28" customFormat="1"/>
    <row r="7" spans="1:15" ht="18">
      <c r="A7" s="30" t="s">
        <v>289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</row>
    <row r="8" spans="1:15">
      <c r="A8" s="11" t="s">
        <v>304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47" t="s">
        <v>287</v>
      </c>
      <c r="B10" s="47"/>
      <c r="C10" s="47"/>
      <c r="D10" s="47" t="s">
        <v>309</v>
      </c>
      <c r="E10" s="47"/>
      <c r="F10" s="47"/>
      <c r="G10" s="47"/>
      <c r="H10" s="47"/>
      <c r="I10" s="11"/>
      <c r="J10" s="11"/>
      <c r="K10" s="11"/>
      <c r="L10" s="11"/>
      <c r="M10" s="11"/>
      <c r="N10" s="11"/>
      <c r="O10" s="11"/>
    </row>
    <row r="11" spans="1:15">
      <c r="A11" s="47" t="s">
        <v>288</v>
      </c>
      <c r="B11" s="47"/>
      <c r="C11" s="47"/>
      <c r="D11" s="47" t="s">
        <v>305</v>
      </c>
      <c r="E11" s="47"/>
      <c r="F11" s="47"/>
      <c r="G11" s="47"/>
      <c r="H11" s="47"/>
      <c r="I11" s="11"/>
      <c r="J11" s="11"/>
      <c r="K11" s="11"/>
      <c r="L11" s="11"/>
      <c r="M11" s="11"/>
      <c r="N11" s="11"/>
      <c r="O11" s="11"/>
    </row>
    <row r="12" spans="1:1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</row>
    <row r="14" spans="1:15" ht="18">
      <c r="A14" s="30" t="s">
        <v>295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290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0" t="s">
        <v>291</v>
      </c>
      <c r="B17" s="11"/>
      <c r="C17" s="11" t="s">
        <v>292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/>
      <c r="B18" s="11"/>
      <c r="C18" s="11" t="s">
        <v>293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/>
      <c r="B19" s="11"/>
      <c r="C19" s="11" t="s">
        <v>294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 t="s">
        <v>296</v>
      </c>
      <c r="B21" s="11"/>
      <c r="C21" s="11" t="s">
        <v>297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/>
      <c r="B22" s="11"/>
      <c r="C22" s="11" t="s">
        <v>298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11"/>
      <c r="B23" s="11"/>
      <c r="C23" s="11" t="s">
        <v>299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1"/>
      <c r="B24" s="11"/>
      <c r="C24" s="11" t="s">
        <v>300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/>
      <c r="B25" s="11"/>
      <c r="C25" s="11" t="s">
        <v>301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35" t="s">
        <v>319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36" t="s">
        <v>331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30" spans="1:15" ht="18">
      <c r="A30" s="30" t="s">
        <v>306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A31" s="11" t="s">
        <v>307</v>
      </c>
      <c r="B31" s="11"/>
      <c r="C31" s="11"/>
      <c r="D31" s="4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</row>
    <row r="32" spans="1:15">
      <c r="A32" s="11"/>
      <c r="B32" s="11"/>
      <c r="C32" s="11"/>
      <c r="D32" s="4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</row>
    <row r="33" spans="1:15">
      <c r="A33" s="11" t="s">
        <v>308</v>
      </c>
      <c r="B33" s="11"/>
      <c r="C33" s="11" t="s">
        <v>310</v>
      </c>
      <c r="D33" s="4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11" t="s">
        <v>311</v>
      </c>
      <c r="B34" s="11"/>
      <c r="C34" s="11" t="s">
        <v>312</v>
      </c>
      <c r="D34" s="4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  <row r="35" spans="1:15">
      <c r="A35" s="11"/>
      <c r="B35" s="11"/>
      <c r="C35" s="11"/>
      <c r="D35" s="4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 s="28" customFormat="1">
      <c r="D36" s="46"/>
    </row>
    <row r="37" spans="1:15" s="28" customFormat="1" ht="18">
      <c r="A37" s="30" t="s">
        <v>318</v>
      </c>
      <c r="B37" s="11"/>
      <c r="C37" s="11"/>
      <c r="D37" s="42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 s="28" customFormat="1">
      <c r="A38" s="11"/>
      <c r="B38" s="11"/>
      <c r="C38" s="11"/>
      <c r="D38" s="42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 s="28" customFormat="1" ht="15.75">
      <c r="A39" s="51" t="s">
        <v>323</v>
      </c>
      <c r="B39" s="11"/>
      <c r="C39" s="11"/>
      <c r="D39" s="42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 s="28" customFormat="1">
      <c r="A40" s="11"/>
      <c r="B40" s="47" t="s">
        <v>320</v>
      </c>
      <c r="C40" s="11"/>
      <c r="D40" s="42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 s="28" customFormat="1">
      <c r="A41" s="11"/>
      <c r="B41" s="47" t="s">
        <v>321</v>
      </c>
      <c r="C41" s="11"/>
      <c r="D41" s="42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1:15" s="28" customFormat="1">
      <c r="A42" s="11"/>
      <c r="B42" s="40" t="s">
        <v>322</v>
      </c>
      <c r="C42" s="11"/>
      <c r="D42" s="4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3" spans="1:15" s="28" customFormat="1">
      <c r="A43" s="11"/>
      <c r="B43" s="11"/>
      <c r="C43" s="11"/>
      <c r="D43" s="42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</row>
    <row r="44" spans="1:15" s="28" customFormat="1" ht="15.75">
      <c r="A44" s="11" t="s">
        <v>327</v>
      </c>
      <c r="B44" s="11"/>
      <c r="C44" s="11"/>
      <c r="D44" s="42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 s="28" customFormat="1">
      <c r="A45" s="11"/>
      <c r="B45" s="47" t="s">
        <v>320</v>
      </c>
      <c r="C45" s="11"/>
      <c r="D45" s="4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 s="28" customFormat="1">
      <c r="A46" s="11"/>
      <c r="B46" s="47" t="s">
        <v>324</v>
      </c>
      <c r="C46" s="11"/>
      <c r="D46" s="42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</row>
    <row r="47" spans="1:15" s="28" customFormat="1">
      <c r="A47" s="11"/>
      <c r="B47" s="47" t="s">
        <v>325</v>
      </c>
      <c r="C47" s="11"/>
      <c r="D47" s="42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 s="28" customFormat="1">
      <c r="A48" s="11"/>
      <c r="B48" s="11"/>
      <c r="C48" s="11"/>
      <c r="D48" s="42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  <row r="49" spans="1:15" s="28" customFormat="1" ht="15.75">
      <c r="A49" s="11" t="s">
        <v>326</v>
      </c>
      <c r="B49" s="11"/>
      <c r="C49" s="11"/>
      <c r="D49" s="42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</row>
    <row r="50" spans="1:15" s="28" customFormat="1">
      <c r="A50" s="11"/>
      <c r="B50" s="47" t="s">
        <v>320</v>
      </c>
      <c r="C50" s="11"/>
      <c r="D50" s="42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</row>
    <row r="51" spans="1:15" s="28" customFormat="1">
      <c r="A51" s="11"/>
      <c r="B51" s="47" t="s">
        <v>328</v>
      </c>
      <c r="C51" s="11"/>
      <c r="D51" s="42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</row>
    <row r="52" spans="1:15" s="28" customFormat="1">
      <c r="A52" s="11"/>
      <c r="B52" s="47" t="s">
        <v>329</v>
      </c>
      <c r="C52" s="11"/>
      <c r="D52" s="42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</row>
    <row r="53" spans="1:15" s="28" customFormat="1">
      <c r="A53" s="11"/>
      <c r="B53" s="47"/>
      <c r="C53" s="11"/>
      <c r="D53" s="42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</row>
    <row r="54" spans="1:15" s="28" customFormat="1">
      <c r="A54" s="36" t="s">
        <v>330</v>
      </c>
      <c r="B54" s="11"/>
      <c r="C54" s="11"/>
      <c r="D54" s="42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</row>
    <row r="55" spans="1:15" s="28" customFormat="1">
      <c r="D55" s="46"/>
    </row>
    <row r="56" spans="1:15" s="28" customFormat="1" ht="18">
      <c r="A56" s="30" t="s">
        <v>333</v>
      </c>
      <c r="B56" s="11"/>
      <c r="C56" s="11"/>
      <c r="D56" s="42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</row>
    <row r="57" spans="1:15" s="28" customFormat="1">
      <c r="A57" s="11"/>
      <c r="B57" s="11"/>
      <c r="C57" s="11"/>
      <c r="D57" s="42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</row>
    <row r="58" spans="1:15" s="28" customFormat="1" ht="15.75">
      <c r="A58" s="11" t="s">
        <v>336</v>
      </c>
      <c r="B58" s="11"/>
      <c r="C58" s="11"/>
      <c r="D58" s="42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</row>
    <row r="59" spans="1:15" s="28" customFormat="1">
      <c r="A59" s="11"/>
      <c r="B59" s="47" t="s">
        <v>328</v>
      </c>
      <c r="C59" s="11"/>
      <c r="D59" s="42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</row>
    <row r="60" spans="1:15" s="28" customFormat="1">
      <c r="A60" s="11"/>
      <c r="B60" s="47" t="s">
        <v>335</v>
      </c>
      <c r="C60" s="11"/>
      <c r="D60" s="42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</row>
    <row r="61" spans="1:15" s="28" customFormat="1">
      <c r="A61" s="11"/>
      <c r="B61" s="47" t="s">
        <v>334</v>
      </c>
      <c r="C61" s="11"/>
      <c r="D61" s="42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</row>
    <row r="62" spans="1:15" s="28" customFormat="1">
      <c r="A62" s="11"/>
      <c r="B62" s="47"/>
      <c r="C62" s="11"/>
      <c r="D62" s="42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</row>
    <row r="63" spans="1:15" s="28" customFormat="1" ht="15.75">
      <c r="A63" s="11" t="s">
        <v>337</v>
      </c>
      <c r="B63" s="47"/>
      <c r="C63" s="11"/>
      <c r="D63" s="42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</row>
    <row r="64" spans="1:15" s="28" customFormat="1">
      <c r="A64" s="11"/>
      <c r="B64" s="47" t="s">
        <v>338</v>
      </c>
      <c r="C64" s="11"/>
      <c r="D64" s="42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</row>
    <row r="65" spans="1:15" s="28" customFormat="1">
      <c r="A65" s="11"/>
      <c r="B65" s="47" t="s">
        <v>339</v>
      </c>
      <c r="C65" s="11"/>
      <c r="D65" s="42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</row>
    <row r="66" spans="1:15" s="28" customFormat="1">
      <c r="A66" s="11"/>
      <c r="B66" s="11"/>
      <c r="C66" s="11"/>
      <c r="D66" s="42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</row>
    <row r="67" spans="1:15" s="28" customFormat="1" ht="15.75">
      <c r="A67" s="11" t="s">
        <v>340</v>
      </c>
      <c r="B67" s="11"/>
      <c r="C67" s="11"/>
      <c r="D67" s="42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</row>
    <row r="68" spans="1:15" s="28" customFormat="1">
      <c r="A68" s="11"/>
      <c r="B68" s="47" t="s">
        <v>341</v>
      </c>
      <c r="C68" s="11"/>
      <c r="D68" s="42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</row>
    <row r="69" spans="1:15" s="28" customFormat="1">
      <c r="A69" s="11"/>
      <c r="B69" s="47" t="s">
        <v>342</v>
      </c>
      <c r="C69" s="11"/>
      <c r="D69" s="42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</row>
    <row r="70" spans="1:15" s="28" customFormat="1">
      <c r="A70" s="11"/>
      <c r="B70" s="11"/>
      <c r="C70" s="11"/>
      <c r="D70" s="42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</row>
    <row r="71" spans="1:15" s="28" customFormat="1" ht="15.75">
      <c r="A71" s="51" t="s">
        <v>323</v>
      </c>
      <c r="B71" s="11"/>
      <c r="C71" s="11"/>
      <c r="D71" s="42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</row>
    <row r="72" spans="1:15" s="28" customFormat="1" ht="15.75">
      <c r="A72" s="51"/>
      <c r="B72" s="11" t="s">
        <v>343</v>
      </c>
      <c r="C72" s="11"/>
      <c r="D72" s="42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</row>
    <row r="73" spans="1:15" s="28" customFormat="1" ht="15.75">
      <c r="A73" s="51"/>
      <c r="B73" s="40" t="s">
        <v>344</v>
      </c>
      <c r="C73" s="11"/>
      <c r="D73" s="42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</row>
    <row r="74" spans="1:15" s="28" customFormat="1" ht="15.75">
      <c r="A74" s="51"/>
      <c r="B74" s="11"/>
      <c r="C74" s="11"/>
      <c r="D74" s="42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</row>
    <row r="75" spans="1:15" s="28" customFormat="1">
      <c r="A75" s="36" t="s">
        <v>345</v>
      </c>
      <c r="B75" s="11"/>
      <c r="C75" s="11"/>
      <c r="D75" s="42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</row>
    <row r="76" spans="1:15" s="28" customFormat="1">
      <c r="A76" s="36"/>
      <c r="B76" s="11"/>
      <c r="C76" s="11"/>
      <c r="D76" s="42"/>
      <c r="E76" s="11"/>
      <c r="F76" s="11"/>
      <c r="G76" s="52"/>
      <c r="H76" s="11"/>
      <c r="I76" s="11"/>
      <c r="J76" s="11"/>
      <c r="K76" s="11"/>
      <c r="L76" s="11"/>
      <c r="M76" s="11"/>
      <c r="N76" s="11"/>
      <c r="O76" s="11"/>
    </row>
    <row r="77" spans="1:15" s="28" customFormat="1" ht="15.75">
      <c r="A77" s="36"/>
      <c r="B77" s="53" t="s">
        <v>346</v>
      </c>
      <c r="C77" s="11"/>
      <c r="D77" s="42"/>
      <c r="E77" s="11"/>
      <c r="F77" s="11"/>
      <c r="G77" s="52"/>
      <c r="H77" s="11"/>
      <c r="I77" s="11"/>
      <c r="J77" s="11"/>
      <c r="K77" s="11"/>
      <c r="L77" s="11"/>
      <c r="M77" s="11"/>
      <c r="N77" s="11"/>
      <c r="O77" s="11"/>
    </row>
    <row r="78" spans="1:15" s="28" customFormat="1">
      <c r="A78" s="36"/>
      <c r="B78" s="11"/>
      <c r="C78" s="11"/>
      <c r="D78" s="42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</row>
    <row r="79" spans="1:15" s="28" customFormat="1">
      <c r="A79" s="36"/>
      <c r="B79" s="11"/>
      <c r="C79" s="11"/>
      <c r="D79" s="42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</row>
    <row r="80" spans="1:15" s="28" customFormat="1">
      <c r="A80" s="36"/>
      <c r="B80" s="11"/>
      <c r="C80" s="11"/>
      <c r="D80" s="42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</row>
    <row r="81" spans="1:15" s="28" customFormat="1">
      <c r="D81" s="46"/>
    </row>
    <row r="82" spans="1:15" ht="18">
      <c r="A82" s="30" t="s">
        <v>314</v>
      </c>
      <c r="B82" s="11"/>
      <c r="C82" s="11"/>
      <c r="D82" s="42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</row>
    <row r="83" spans="1:15">
      <c r="A83" s="11" t="s">
        <v>313</v>
      </c>
      <c r="B83" s="11"/>
      <c r="C83" s="11"/>
      <c r="D83" s="42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</row>
    <row r="84" spans="1:15">
      <c r="A84" s="11"/>
      <c r="B84" s="11"/>
      <c r="C84" s="11"/>
      <c r="D84" s="42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</row>
    <row r="85" spans="1:15">
      <c r="A85" s="47" t="s">
        <v>315</v>
      </c>
      <c r="B85" s="11"/>
      <c r="C85" s="47" t="s">
        <v>316</v>
      </c>
      <c r="D85" s="42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</row>
    <row r="86" spans="1:15">
      <c r="A86" s="11"/>
      <c r="B86" s="11"/>
      <c r="C86" s="47" t="s">
        <v>317</v>
      </c>
      <c r="D86" s="42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</row>
    <row r="87" spans="1:15">
      <c r="A87" s="11"/>
      <c r="B87" s="11"/>
      <c r="C87" s="11"/>
      <c r="D87" s="42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</row>
    <row r="88" spans="1:15" s="28" customFormat="1">
      <c r="D88" s="46"/>
    </row>
    <row r="89" spans="1:15">
      <c r="B89" s="49"/>
      <c r="C89" s="49"/>
    </row>
    <row r="90" spans="1:15" ht="15.75">
      <c r="A90" s="48"/>
      <c r="B90" s="49"/>
      <c r="C90" s="49"/>
    </row>
    <row r="91" spans="1:15" ht="15.75">
      <c r="A91" s="48"/>
      <c r="B91" s="49"/>
      <c r="C91" s="49"/>
    </row>
    <row r="92" spans="1:15" ht="15.75">
      <c r="A92" s="48"/>
      <c r="B92" s="49"/>
      <c r="C92" s="50"/>
    </row>
    <row r="93" spans="1:15" ht="15.75">
      <c r="A93" s="48"/>
      <c r="B93" s="49"/>
      <c r="C93" s="50"/>
    </row>
    <row r="94" spans="1:15" ht="15.75">
      <c r="A94" s="48"/>
      <c r="B94" s="49"/>
      <c r="C94" s="50"/>
    </row>
    <row r="95" spans="1:15" ht="15.75">
      <c r="A95" s="48"/>
      <c r="B95" s="49"/>
      <c r="C95" s="49"/>
    </row>
    <row r="96" spans="1:15" ht="15.75">
      <c r="A96" s="48"/>
      <c r="B96" s="49"/>
      <c r="C96" s="49"/>
    </row>
    <row r="97" spans="1:3" ht="15.75">
      <c r="A97" s="48"/>
      <c r="B97" s="49"/>
      <c r="C97" s="50"/>
    </row>
    <row r="98" spans="1:3" ht="15.75">
      <c r="A98" s="48"/>
      <c r="B98" s="49"/>
      <c r="C98" s="49"/>
    </row>
    <row r="99" spans="1:3" ht="15.75">
      <c r="A99" s="48"/>
      <c r="B99" s="49"/>
      <c r="C99" s="49"/>
    </row>
    <row r="100" spans="1:3" ht="15.75">
      <c r="A100" s="48"/>
      <c r="B100" s="49"/>
      <c r="C100" s="50"/>
    </row>
    <row r="101" spans="1:3" ht="15.75">
      <c r="A101" s="48"/>
      <c r="B101" s="49"/>
      <c r="C101" s="50"/>
    </row>
    <row r="102" spans="1:3" ht="15.75">
      <c r="A102" s="48"/>
      <c r="B102" s="49"/>
      <c r="C102" s="49"/>
    </row>
    <row r="103" spans="1:3" ht="15.75">
      <c r="A103" s="48"/>
      <c r="B103" s="49"/>
      <c r="C103" s="49"/>
    </row>
  </sheetData>
  <dataConsolidate/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O53"/>
  <sheetViews>
    <sheetView topLeftCell="A40" workbookViewId="0">
      <selection activeCell="A23" sqref="A23"/>
    </sheetView>
  </sheetViews>
  <sheetFormatPr defaultRowHeight="15"/>
  <cols>
    <col min="1" max="1" width="9.140625" style="3"/>
    <col min="2" max="4" width="11" style="3" bestFit="1" customWidth="1"/>
    <col min="5" max="6" width="10.85546875" style="3" bestFit="1" customWidth="1"/>
    <col min="7" max="16384" width="9.140625" style="3"/>
  </cols>
  <sheetData>
    <row r="1" spans="1:15" s="15" customFormat="1" ht="27.75">
      <c r="A1" s="8" t="s">
        <v>359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30" t="s">
        <v>360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>
      <c r="A4" s="11" t="s">
        <v>366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/>
      <c r="B5" s="11" t="s">
        <v>264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/>
      <c r="B6" s="11" t="s">
        <v>362</v>
      </c>
      <c r="C6" s="47"/>
      <c r="D6" s="47"/>
      <c r="E6" s="47"/>
      <c r="F6" s="47"/>
      <c r="G6" s="47"/>
      <c r="H6" s="47"/>
      <c r="I6" s="11"/>
      <c r="J6" s="11"/>
      <c r="K6" s="11"/>
      <c r="L6" s="11"/>
      <c r="M6" s="11"/>
      <c r="N6" s="11"/>
      <c r="O6" s="11"/>
    </row>
    <row r="7" spans="1:15">
      <c r="A7" s="11"/>
      <c r="B7" s="11" t="s">
        <v>264</v>
      </c>
      <c r="C7" s="47"/>
      <c r="D7" s="47"/>
      <c r="E7" s="47"/>
      <c r="F7" s="47"/>
      <c r="G7" s="47"/>
      <c r="H7" s="47"/>
      <c r="I7" s="11"/>
      <c r="J7" s="11"/>
      <c r="K7" s="11"/>
      <c r="L7" s="11"/>
      <c r="M7" s="11"/>
      <c r="N7" s="11"/>
      <c r="O7" s="11"/>
    </row>
    <row r="8" spans="1:15">
      <c r="A8" s="11" t="s">
        <v>361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0" t="s">
        <v>363</v>
      </c>
      <c r="B10" s="11"/>
      <c r="C10" s="11" t="s">
        <v>367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0" t="s">
        <v>364</v>
      </c>
      <c r="B11" s="11"/>
      <c r="C11" s="11" t="s">
        <v>365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 ht="15.75">
      <c r="A12" s="10" t="s">
        <v>348</v>
      </c>
      <c r="B12" s="11"/>
      <c r="C12" s="11" t="s">
        <v>368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39" t="s">
        <v>369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370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0" t="s">
        <v>371</v>
      </c>
      <c r="B17" s="11"/>
      <c r="C17" s="11" t="s">
        <v>372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0" t="s">
        <v>373</v>
      </c>
      <c r="B18" s="11"/>
      <c r="C18" s="11" t="s">
        <v>374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36" t="s">
        <v>375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0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 ht="15.75">
      <c r="A21" s="10" t="s">
        <v>381</v>
      </c>
      <c r="B21" s="11"/>
      <c r="C21" s="11" t="s">
        <v>384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 ht="15.75">
      <c r="A22" s="10" t="s">
        <v>382</v>
      </c>
      <c r="B22" s="11"/>
      <c r="C22" s="11" t="s">
        <v>383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36" t="s">
        <v>385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6" spans="1:15" ht="18">
      <c r="A26" s="30" t="s">
        <v>376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11" t="s">
        <v>380</v>
      </c>
      <c r="B27" s="11"/>
      <c r="C27" s="11"/>
      <c r="D27" s="4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11"/>
      <c r="B28" s="11" t="s">
        <v>264</v>
      </c>
      <c r="C28" s="11"/>
      <c r="D28" s="4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A29" s="11"/>
      <c r="B29" s="11" t="s">
        <v>379</v>
      </c>
      <c r="C29" s="11"/>
      <c r="D29" s="4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/>
      <c r="B30" s="11" t="s">
        <v>378</v>
      </c>
      <c r="C30" s="11"/>
      <c r="D30" s="4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A31" s="11"/>
      <c r="B31" s="11" t="s">
        <v>264</v>
      </c>
      <c r="C31" s="11"/>
      <c r="D31" s="4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</row>
    <row r="32" spans="1:15" s="28" customFormat="1">
      <c r="A32" s="11"/>
      <c r="B32" s="11" t="s">
        <v>379</v>
      </c>
      <c r="C32" s="11"/>
      <c r="D32" s="4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</row>
    <row r="33" spans="1:15" s="28" customFormat="1">
      <c r="A33" s="11" t="s">
        <v>377</v>
      </c>
      <c r="B33" s="11"/>
      <c r="C33" s="11"/>
      <c r="D33" s="4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 s="28" customFormat="1">
      <c r="A34" s="11"/>
      <c r="B34" s="11"/>
      <c r="C34" s="11"/>
      <c r="D34" s="4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  <row r="35" spans="1:15" s="28" customFormat="1">
      <c r="A35" s="39" t="s">
        <v>369</v>
      </c>
      <c r="B35" s="11"/>
      <c r="C35" s="11"/>
      <c r="D35" s="4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 s="28" customFormat="1">
      <c r="A36" s="11" t="s">
        <v>370</v>
      </c>
      <c r="B36" s="11"/>
      <c r="C36" s="11"/>
      <c r="D36" s="4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  <row r="37" spans="1:15" s="28" customFormat="1">
      <c r="A37" s="11"/>
      <c r="B37" s="11"/>
      <c r="C37" s="11"/>
      <c r="D37" s="42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 ht="15.75">
      <c r="A38" s="48"/>
      <c r="B38" s="49"/>
      <c r="C38" s="49"/>
    </row>
    <row r="39" spans="1:15" ht="18">
      <c r="A39" s="30" t="s">
        <v>386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>
      <c r="A40" s="11"/>
      <c r="B40" s="11"/>
      <c r="C40" s="11"/>
      <c r="D40" s="42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>
      <c r="A41" s="47" t="s">
        <v>387</v>
      </c>
      <c r="B41" s="11"/>
      <c r="C41" s="11"/>
      <c r="D41" s="42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1:15">
      <c r="A42" s="47" t="s">
        <v>388</v>
      </c>
      <c r="B42" s="11"/>
      <c r="C42" s="11"/>
      <c r="D42" s="4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3" spans="1:15">
      <c r="A43" s="11"/>
      <c r="B43" s="33">
        <f t="array" ref="B43:D44">returnarray()</f>
        <v>1</v>
      </c>
      <c r="C43" s="33">
        <v>2</v>
      </c>
      <c r="D43" s="54">
        <v>3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</row>
    <row r="44" spans="1:15">
      <c r="A44" s="11"/>
      <c r="B44" s="33">
        <v>4</v>
      </c>
      <c r="C44" s="33">
        <v>5</v>
      </c>
      <c r="D44" s="54">
        <v>6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>
      <c r="A45" s="11"/>
      <c r="B45" s="11"/>
      <c r="C45" s="11"/>
      <c r="D45" s="4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 s="28" customFormat="1">
      <c r="D46" s="46"/>
    </row>
    <row r="47" spans="1:15" ht="18">
      <c r="A47" s="30" t="s">
        <v>389</v>
      </c>
      <c r="B47" s="11"/>
      <c r="C47" s="11"/>
      <c r="D47" s="42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>
      <c r="A48" s="11"/>
      <c r="B48" s="11"/>
      <c r="C48" s="11"/>
      <c r="D48" s="42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  <row r="49" spans="1:15">
      <c r="A49" s="47" t="s">
        <v>390</v>
      </c>
      <c r="B49" s="11"/>
      <c r="C49" s="11"/>
      <c r="D49" s="42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</row>
    <row r="50" spans="1:15">
      <c r="A50" s="11"/>
      <c r="B50" s="33">
        <v>10</v>
      </c>
      <c r="C50" s="33">
        <v>20</v>
      </c>
      <c r="D50" s="54">
        <v>30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</row>
    <row r="51" spans="1:15">
      <c r="A51" s="39"/>
      <c r="B51" s="33">
        <v>40</v>
      </c>
      <c r="C51" s="33">
        <v>50</v>
      </c>
      <c r="D51" s="54">
        <v>60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</row>
    <row r="52" spans="1:15">
      <c r="A52" s="11"/>
      <c r="B52" s="11"/>
      <c r="C52" s="11"/>
      <c r="D52" s="55">
        <f>sumof(B50:D51)</f>
        <v>210</v>
      </c>
      <c r="E52" s="11" t="str">
        <f>cellf(D52)</f>
        <v>=sumof(B50:D51)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</row>
    <row r="53" spans="1:15">
      <c r="A53" s="11"/>
      <c r="B53" s="11"/>
      <c r="C53" s="11"/>
      <c r="D53" s="42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</row>
  </sheetData>
  <dataConsolidate/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O35"/>
  <sheetViews>
    <sheetView topLeftCell="A13" workbookViewId="0">
      <selection activeCell="G29" sqref="G29"/>
    </sheetView>
  </sheetViews>
  <sheetFormatPr defaultRowHeight="15"/>
  <cols>
    <col min="1" max="1" width="9.140625" style="3"/>
    <col min="2" max="4" width="11" style="3" bestFit="1" customWidth="1"/>
    <col min="5" max="6" width="10.85546875" style="3" bestFit="1" customWidth="1"/>
    <col min="7" max="16384" width="9.140625" style="3"/>
  </cols>
  <sheetData>
    <row r="1" spans="1:15" s="15" customFormat="1" ht="27.75">
      <c r="A1" s="8" t="s">
        <v>412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>
      <c r="A3" s="11" t="s">
        <v>414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 ht="18">
      <c r="A5" s="30" t="s">
        <v>413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39" t="s">
        <v>415</v>
      </c>
      <c r="B6" s="11"/>
      <c r="C6" s="47"/>
      <c r="D6" s="47"/>
      <c r="E6" s="47"/>
      <c r="F6" s="47"/>
      <c r="G6" s="47"/>
      <c r="H6" s="47"/>
      <c r="I6" s="11"/>
      <c r="J6" s="11"/>
      <c r="K6" s="11"/>
      <c r="L6" s="11"/>
      <c r="M6" s="11"/>
      <c r="N6" s="11"/>
      <c r="O6" s="11"/>
    </row>
    <row r="7" spans="1:15">
      <c r="A7" s="11" t="s">
        <v>416</v>
      </c>
      <c r="B7" s="11"/>
      <c r="C7" s="47"/>
      <c r="D7" s="47"/>
      <c r="E7" s="47"/>
      <c r="F7" s="47"/>
      <c r="G7" s="47"/>
      <c r="H7" s="47"/>
      <c r="I7" s="11"/>
      <c r="J7" s="11"/>
      <c r="K7" s="11"/>
      <c r="L7" s="11"/>
      <c r="M7" s="11"/>
      <c r="N7" s="11"/>
      <c r="O7" s="11"/>
    </row>
    <row r="8" spans="1:1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39" t="s">
        <v>417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418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0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39" t="s">
        <v>419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 t="s">
        <v>420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39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39" t="s">
        <v>421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 t="s">
        <v>422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0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39" t="s">
        <v>423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 t="s">
        <v>424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0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39" t="s">
        <v>425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 t="s">
        <v>426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36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6" spans="1:15" ht="18">
      <c r="A26" s="30" t="s">
        <v>427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39" t="s">
        <v>428</v>
      </c>
      <c r="B27" s="11"/>
      <c r="C27" s="11"/>
      <c r="D27" s="4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11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</row>
    <row r="29" spans="1:1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</row>
    <row r="30" spans="1:1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</row>
    <row r="31" spans="1:15">
      <c r="A31" s="36" t="s">
        <v>442</v>
      </c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</row>
    <row r="32" spans="1:1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</row>
    <row r="35" spans="3:3">
      <c r="C35" s="109"/>
    </row>
  </sheetData>
  <dataConsolidate/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28"/>
  <sheetViews>
    <sheetView topLeftCell="A36" workbookViewId="0">
      <selection activeCell="B29" sqref="B29:B1028"/>
    </sheetView>
  </sheetViews>
  <sheetFormatPr defaultRowHeight="12.75"/>
  <cols>
    <col min="3" max="3" width="12.5703125" bestFit="1" customWidth="1"/>
    <col min="4" max="4" width="11.140625" customWidth="1"/>
    <col min="5" max="5" width="11.42578125" bestFit="1" customWidth="1"/>
  </cols>
  <sheetData>
    <row r="1" spans="1:13" ht="27">
      <c r="A1" s="56" t="s">
        <v>1</v>
      </c>
      <c r="B1" s="56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</row>
    <row r="4" spans="1:13" ht="18.75">
      <c r="B4" s="96"/>
      <c r="I4" s="1"/>
      <c r="J4" s="1"/>
      <c r="K4" s="1"/>
      <c r="L4" s="1"/>
    </row>
    <row r="5" spans="1:13">
      <c r="I5" s="1"/>
      <c r="J5" s="1"/>
      <c r="K5" s="1"/>
      <c r="L5" s="1"/>
    </row>
    <row r="6" spans="1:13" ht="18">
      <c r="B6" s="31"/>
      <c r="I6" s="1"/>
      <c r="J6" s="1"/>
      <c r="K6" s="1"/>
      <c r="L6" s="1"/>
    </row>
    <row r="7" spans="1:13">
      <c r="I7" s="1"/>
      <c r="J7" s="1"/>
      <c r="K7" s="1"/>
      <c r="L7" s="1"/>
    </row>
    <row r="8" spans="1:13">
      <c r="I8" s="1"/>
      <c r="J8" s="1"/>
      <c r="K8" s="1"/>
      <c r="L8" s="1"/>
    </row>
    <row r="9" spans="1:13">
      <c r="I9" s="1"/>
      <c r="J9" s="1"/>
      <c r="K9" s="1"/>
      <c r="L9" s="1"/>
    </row>
    <row r="10" spans="1:13">
      <c r="I10" s="1"/>
      <c r="J10" s="1"/>
      <c r="K10" s="1"/>
      <c r="L10" s="1"/>
    </row>
    <row r="11" spans="1:13">
      <c r="I11" s="1"/>
      <c r="J11" s="1"/>
      <c r="K11" s="1"/>
      <c r="L11" s="1"/>
    </row>
    <row r="12" spans="1:13">
      <c r="I12" s="1"/>
      <c r="J12" s="1"/>
      <c r="K12" s="1"/>
      <c r="L12" s="1"/>
    </row>
    <row r="13" spans="1:13">
      <c r="I13" s="1"/>
      <c r="J13" s="1"/>
      <c r="K13" s="1"/>
      <c r="L13" s="1"/>
    </row>
    <row r="14" spans="1:13">
      <c r="I14" s="1"/>
      <c r="J14" s="1"/>
      <c r="K14" s="1"/>
      <c r="L14" s="1"/>
    </row>
    <row r="15" spans="1:13">
      <c r="I15" s="1"/>
      <c r="J15" s="1"/>
      <c r="K15" s="1"/>
      <c r="L15" s="1"/>
    </row>
    <row r="16" spans="1:13">
      <c r="I16" s="1"/>
      <c r="J16" s="1"/>
      <c r="K16" s="1"/>
      <c r="L16" s="1"/>
    </row>
    <row r="24" spans="1:7" ht="15.75">
      <c r="A24" s="107" t="s">
        <v>436</v>
      </c>
    </row>
    <row r="25" spans="1:7" ht="15.75">
      <c r="A25" s="107" t="s">
        <v>441</v>
      </c>
    </row>
    <row r="28" spans="1:7" ht="25.5">
      <c r="B28" s="97" t="s">
        <v>429</v>
      </c>
      <c r="C28" s="105" t="s">
        <v>0</v>
      </c>
      <c r="D28" s="105" t="s">
        <v>2</v>
      </c>
    </row>
    <row r="29" spans="1:7">
      <c r="A29">
        <v>1</v>
      </c>
      <c r="B29" s="98">
        <v>0.52200573682785034</v>
      </c>
      <c r="C29" s="98">
        <f>NORMINV(B29,0,1)</f>
        <v>5.5188204143173068E-2</v>
      </c>
      <c r="D29" s="98">
        <v>1.0593800375509281</v>
      </c>
      <c r="F29" s="97" t="s">
        <v>3</v>
      </c>
      <c r="G29" s="106"/>
    </row>
    <row r="30" spans="1:7">
      <c r="A30">
        <v>2</v>
      </c>
      <c r="B30" s="98">
        <v>0.26813960075378418</v>
      </c>
      <c r="C30" s="98">
        <f t="shared" ref="C30:C93" si="0">NORMINV(B30,0,1)</f>
        <v>-0.61844931076349041</v>
      </c>
      <c r="D30" s="98">
        <v>-0.73964069096319474</v>
      </c>
    </row>
    <row r="31" spans="1:7">
      <c r="A31">
        <v>3</v>
      </c>
      <c r="B31" s="98">
        <v>0.34326738119125366</v>
      </c>
      <c r="C31" s="98">
        <f t="shared" si="0"/>
        <v>-0.40356209734171489</v>
      </c>
      <c r="D31" s="98">
        <v>-1.5079348881527694</v>
      </c>
      <c r="F31" s="97" t="s">
        <v>430</v>
      </c>
      <c r="G31" s="98">
        <f>MAX(nvNI)</f>
        <v>3.5131289374690828</v>
      </c>
    </row>
    <row r="32" spans="1:7">
      <c r="A32">
        <v>4</v>
      </c>
      <c r="B32" s="98">
        <v>0.50398731231689453</v>
      </c>
      <c r="C32" s="98">
        <f t="shared" si="0"/>
        <v>9.9948762014266876E-3</v>
      </c>
      <c r="D32" s="98">
        <v>-0.14625913785136366</v>
      </c>
      <c r="F32" s="97" t="s">
        <v>431</v>
      </c>
      <c r="G32" s="98">
        <f>MIN(nvNI)</f>
        <v>-3.2419935960344413</v>
      </c>
    </row>
    <row r="33" spans="1:7">
      <c r="A33">
        <v>5</v>
      </c>
      <c r="B33" s="98">
        <v>0.72581213712692261</v>
      </c>
      <c r="C33" s="98">
        <f t="shared" si="0"/>
        <v>0.60019584001534376</v>
      </c>
      <c r="D33" s="98">
        <v>-0.1583422171605029</v>
      </c>
    </row>
    <row r="34" spans="1:7">
      <c r="A34">
        <v>6</v>
      </c>
      <c r="B34" s="98">
        <v>0.37815976142883301</v>
      </c>
      <c r="C34" s="98">
        <f t="shared" si="0"/>
        <v>-0.31031750216832282</v>
      </c>
      <c r="D34" s="98">
        <v>-7.5135438975115904E-2</v>
      </c>
    </row>
    <row r="35" spans="1:7">
      <c r="A35">
        <v>7</v>
      </c>
      <c r="B35" s="98">
        <v>0.40041393041610718</v>
      </c>
      <c r="C35" s="98">
        <f t="shared" si="0"/>
        <v>-0.25227584048334606</v>
      </c>
      <c r="D35" s="98">
        <v>-2.2242910925474755</v>
      </c>
      <c r="F35" s="99" t="s">
        <v>432</v>
      </c>
      <c r="G35" s="99" t="s">
        <v>433</v>
      </c>
    </row>
    <row r="36" spans="1:7">
      <c r="A36">
        <v>8</v>
      </c>
      <c r="B36" s="98">
        <v>0.59726095199584961</v>
      </c>
      <c r="C36" s="98">
        <f t="shared" si="0"/>
        <v>0.24626371544346318</v>
      </c>
      <c r="D36" s="98">
        <v>-0.84610599839686196</v>
      </c>
      <c r="F36" s="100">
        <v>-3</v>
      </c>
      <c r="G36" s="101">
        <f t="array" ref="G36:G48">FREQUENCY(C29:C1028,F36:F48)</f>
        <v>2</v>
      </c>
    </row>
    <row r="37" spans="1:7">
      <c r="A37">
        <v>9</v>
      </c>
      <c r="B37" s="98">
        <v>0.80976074934005737</v>
      </c>
      <c r="C37" s="98">
        <f t="shared" si="0"/>
        <v>0.87701498056481542</v>
      </c>
      <c r="D37" s="98">
        <v>0.17750614380105573</v>
      </c>
      <c r="F37" s="100">
        <v>-2.5</v>
      </c>
      <c r="G37" s="101">
        <v>5</v>
      </c>
    </row>
    <row r="38" spans="1:7">
      <c r="A38">
        <v>10</v>
      </c>
      <c r="B38" s="98">
        <v>0.50707566738128662</v>
      </c>
      <c r="C38" s="98">
        <f t="shared" si="0"/>
        <v>1.7736997889088547E-2</v>
      </c>
      <c r="D38" s="98">
        <v>-0.53224498144490073</v>
      </c>
      <c r="F38" s="100">
        <v>-2</v>
      </c>
      <c r="G38" s="101">
        <v>17</v>
      </c>
    </row>
    <row r="39" spans="1:7">
      <c r="A39">
        <v>11</v>
      </c>
      <c r="B39" s="98">
        <v>0.28331953287124634</v>
      </c>
      <c r="C39" s="98">
        <f t="shared" si="0"/>
        <v>-0.57300831244877581</v>
      </c>
      <c r="D39" s="98">
        <v>0.16556847311407391</v>
      </c>
      <c r="F39" s="100">
        <v>-1.5</v>
      </c>
      <c r="G39" s="101">
        <v>41</v>
      </c>
    </row>
    <row r="40" spans="1:7">
      <c r="A40">
        <v>12</v>
      </c>
      <c r="B40" s="98">
        <v>0.90873169898986816</v>
      </c>
      <c r="C40" s="98">
        <f t="shared" si="0"/>
        <v>1.3329853788224575</v>
      </c>
      <c r="D40" s="98">
        <v>0.43928212304903708</v>
      </c>
      <c r="F40" s="100">
        <v>-1</v>
      </c>
      <c r="G40" s="101">
        <v>94</v>
      </c>
    </row>
    <row r="41" spans="1:7">
      <c r="A41">
        <v>13</v>
      </c>
      <c r="B41" s="98">
        <v>0.31748718023300171</v>
      </c>
      <c r="C41" s="98">
        <f t="shared" si="0"/>
        <v>-0.47473711454513751</v>
      </c>
      <c r="D41" s="98">
        <v>0.16186549521768323</v>
      </c>
      <c r="F41" s="100">
        <v>-0.5</v>
      </c>
      <c r="G41" s="101">
        <v>163</v>
      </c>
    </row>
    <row r="42" spans="1:7">
      <c r="A42">
        <v>14</v>
      </c>
      <c r="B42" s="98">
        <v>0.18106663227081299</v>
      </c>
      <c r="C42" s="98">
        <f t="shared" si="0"/>
        <v>-0.91130771122789112</v>
      </c>
      <c r="D42" s="98">
        <v>0.57311247977993351</v>
      </c>
      <c r="F42" s="100">
        <v>0</v>
      </c>
      <c r="G42" s="101">
        <v>201</v>
      </c>
    </row>
    <row r="43" spans="1:7">
      <c r="A43">
        <v>15</v>
      </c>
      <c r="B43" s="98">
        <v>8.0438435077667236E-2</v>
      </c>
      <c r="C43" s="98">
        <f t="shared" si="0"/>
        <v>-1.4021285258154892</v>
      </c>
      <c r="D43" s="98">
        <v>0.13057372354618457</v>
      </c>
      <c r="F43" s="100">
        <v>0.5</v>
      </c>
      <c r="G43" s="101">
        <v>186</v>
      </c>
    </row>
    <row r="44" spans="1:7">
      <c r="A44">
        <v>16</v>
      </c>
      <c r="B44" s="98">
        <v>0.29824483394622803</v>
      </c>
      <c r="C44" s="98">
        <f t="shared" si="0"/>
        <v>-0.52945526714369084</v>
      </c>
      <c r="D44" s="98">
        <v>-5.7510199227722679E-2</v>
      </c>
      <c r="F44" s="100">
        <v>1</v>
      </c>
      <c r="G44" s="101">
        <v>141</v>
      </c>
    </row>
    <row r="45" spans="1:7">
      <c r="A45">
        <v>17</v>
      </c>
      <c r="B45" s="98">
        <v>0.39516359567642212</v>
      </c>
      <c r="C45" s="98">
        <f t="shared" si="0"/>
        <v>-0.26588576129504682</v>
      </c>
      <c r="D45" s="98">
        <v>-0.37022148373948199</v>
      </c>
      <c r="F45" s="100">
        <v>1.5</v>
      </c>
      <c r="G45" s="101">
        <v>96</v>
      </c>
    </row>
    <row r="46" spans="1:7">
      <c r="A46">
        <v>18</v>
      </c>
      <c r="B46" s="98">
        <v>0.33362448215484619</v>
      </c>
      <c r="C46" s="98">
        <f t="shared" si="0"/>
        <v>-0.42992669743666545</v>
      </c>
      <c r="D46" s="98">
        <v>0.58359289803235448</v>
      </c>
      <c r="F46" s="100">
        <v>2</v>
      </c>
      <c r="G46" s="101">
        <v>38</v>
      </c>
    </row>
    <row r="47" spans="1:7">
      <c r="A47">
        <v>19</v>
      </c>
      <c r="B47" s="98">
        <v>0.25606566667556763</v>
      </c>
      <c r="C47" s="98">
        <f t="shared" si="0"/>
        <v>-0.65552261106850074</v>
      </c>
      <c r="D47" s="98">
        <v>-0.60185462878273777</v>
      </c>
      <c r="F47" s="102">
        <v>2.5</v>
      </c>
      <c r="G47" s="103">
        <v>9</v>
      </c>
    </row>
    <row r="48" spans="1:7">
      <c r="A48">
        <v>20</v>
      </c>
      <c r="B48" s="98">
        <v>0.62443876266479492</v>
      </c>
      <c r="C48" s="98">
        <f t="shared" si="0"/>
        <v>0.31715963749015069</v>
      </c>
      <c r="D48" s="98">
        <v>0.77505222356559578</v>
      </c>
      <c r="F48" s="100">
        <v>3</v>
      </c>
      <c r="G48" s="101">
        <v>2</v>
      </c>
    </row>
    <row r="49" spans="1:7">
      <c r="A49">
        <v>21</v>
      </c>
      <c r="B49" s="98">
        <v>0.46455544233322144</v>
      </c>
      <c r="C49" s="98">
        <f t="shared" si="0"/>
        <v>-8.8963541744265809E-2</v>
      </c>
      <c r="D49" s="98">
        <v>-1.2143427945733078</v>
      </c>
      <c r="E49" s="104"/>
      <c r="F49" s="4"/>
    </row>
    <row r="50" spans="1:7">
      <c r="A50">
        <v>22</v>
      </c>
      <c r="B50" s="98">
        <v>0.75329339504241943</v>
      </c>
      <c r="C50" s="98">
        <f t="shared" si="0"/>
        <v>0.68489020098243869</v>
      </c>
      <c r="D50" s="98">
        <v>1.1759594936930911</v>
      </c>
      <c r="E50" s="104"/>
      <c r="F50" s="4"/>
    </row>
    <row r="51" spans="1:7">
      <c r="A51">
        <v>23</v>
      </c>
      <c r="B51" s="98">
        <v>0.3278694748878479</v>
      </c>
      <c r="C51" s="98">
        <f t="shared" si="0"/>
        <v>-0.44580383719992422</v>
      </c>
      <c r="D51" s="98">
        <v>1.0504245288679828</v>
      </c>
      <c r="E51" s="104"/>
      <c r="F51" s="4"/>
    </row>
    <row r="52" spans="1:7">
      <c r="A52">
        <v>24</v>
      </c>
      <c r="B52" s="98">
        <v>2.4589180946350098E-2</v>
      </c>
      <c r="C52" s="98">
        <f t="shared" si="0"/>
        <v>-1.9670420612029895</v>
      </c>
      <c r="D52" s="98">
        <v>1.9387722787164128</v>
      </c>
    </row>
    <row r="53" spans="1:7">
      <c r="A53">
        <v>25</v>
      </c>
      <c r="B53" s="98">
        <v>0.30914813280105591</v>
      </c>
      <c r="C53" s="98">
        <f t="shared" si="0"/>
        <v>-0.49826643027354345</v>
      </c>
      <c r="D53" s="98">
        <v>-1.1333892035242117</v>
      </c>
    </row>
    <row r="54" spans="1:7">
      <c r="A54">
        <v>26</v>
      </c>
      <c r="B54" s="98">
        <v>0.62161815166473389</v>
      </c>
      <c r="C54" s="98">
        <f t="shared" si="0"/>
        <v>0.30973340625010248</v>
      </c>
      <c r="D54" s="98">
        <v>3.2386996336874931</v>
      </c>
    </row>
    <row r="55" spans="1:7">
      <c r="A55">
        <v>27</v>
      </c>
      <c r="B55" s="98">
        <v>0.92650848627090454</v>
      </c>
      <c r="C55" s="98">
        <f t="shared" si="0"/>
        <v>1.4502707676819064</v>
      </c>
      <c r="D55" s="98">
        <v>0.53391951682869099</v>
      </c>
      <c r="F55" s="97" t="s">
        <v>1</v>
      </c>
      <c r="G55" s="106"/>
    </row>
    <row r="56" spans="1:7">
      <c r="A56">
        <v>28</v>
      </c>
      <c r="B56" s="98">
        <v>0.3686600923538208</v>
      </c>
      <c r="C56" s="98">
        <f t="shared" si="0"/>
        <v>-0.33540422044788754</v>
      </c>
      <c r="D56" s="98">
        <v>-1.0322943593729825</v>
      </c>
    </row>
    <row r="57" spans="1:7">
      <c r="A57">
        <v>29</v>
      </c>
      <c r="B57" s="98">
        <v>0.7696111798286438</v>
      </c>
      <c r="C57" s="98">
        <f t="shared" si="0"/>
        <v>0.73756695813934936</v>
      </c>
      <c r="D57" s="98">
        <v>-0.46091806918800016</v>
      </c>
      <c r="F57" s="97" t="s">
        <v>430</v>
      </c>
      <c r="G57" s="98">
        <f>MAX(nvBM)</f>
        <v>3.2386996336874931</v>
      </c>
    </row>
    <row r="58" spans="1:7">
      <c r="A58">
        <v>30</v>
      </c>
      <c r="B58" s="98">
        <v>0.67028141021728516</v>
      </c>
      <c r="C58" s="98">
        <f t="shared" si="0"/>
        <v>0.44069035565440789</v>
      </c>
      <c r="D58" s="98">
        <v>0.74334115984063787</v>
      </c>
      <c r="F58" s="97" t="s">
        <v>431</v>
      </c>
      <c r="G58" s="98">
        <f>MIN(nvBM)</f>
        <v>-3.041966138211845</v>
      </c>
    </row>
    <row r="59" spans="1:7">
      <c r="A59">
        <v>31</v>
      </c>
      <c r="B59" s="98">
        <v>0.32458609342575073</v>
      </c>
      <c r="C59" s="98">
        <f t="shared" si="0"/>
        <v>-0.45491250399061722</v>
      </c>
      <c r="D59" s="98">
        <v>0.51641947870158389</v>
      </c>
    </row>
    <row r="60" spans="1:7">
      <c r="A60">
        <v>32</v>
      </c>
      <c r="B60" s="98">
        <v>0.30110669136047363</v>
      </c>
      <c r="C60" s="98">
        <f t="shared" si="0"/>
        <v>-0.52122020173604022</v>
      </c>
      <c r="D60" s="98">
        <v>-7.3626814467831092E-2</v>
      </c>
    </row>
    <row r="61" spans="1:7">
      <c r="A61">
        <v>33</v>
      </c>
      <c r="B61" s="98">
        <v>0.5417293906211853</v>
      </c>
      <c r="C61" s="98">
        <f t="shared" si="0"/>
        <v>0.10479154558584568</v>
      </c>
      <c r="D61" s="98">
        <v>-0.27312085629972332</v>
      </c>
      <c r="F61" s="99" t="s">
        <v>432</v>
      </c>
      <c r="G61" s="99" t="s">
        <v>433</v>
      </c>
    </row>
    <row r="62" spans="1:7">
      <c r="A62">
        <v>34</v>
      </c>
      <c r="B62" s="98">
        <v>5.9087276458740234E-2</v>
      </c>
      <c r="C62" s="98">
        <f t="shared" si="0"/>
        <v>-1.5624817030588367</v>
      </c>
      <c r="D62" s="98">
        <v>-0.39614738803397037</v>
      </c>
      <c r="F62" s="100">
        <v>-3</v>
      </c>
      <c r="G62" s="101">
        <f t="array" ref="G62:G74">FREQUENCY(D29:D1028,F62:F74)</f>
        <v>1</v>
      </c>
    </row>
    <row r="63" spans="1:7">
      <c r="A63">
        <v>35</v>
      </c>
      <c r="B63" s="98">
        <v>0.1469380259513855</v>
      </c>
      <c r="C63" s="98">
        <f t="shared" si="0"/>
        <v>-1.0496565399202282</v>
      </c>
      <c r="D63" s="98">
        <v>-0.23884894789454181</v>
      </c>
      <c r="F63" s="100">
        <v>-2.5</v>
      </c>
      <c r="G63" s="101">
        <v>5</v>
      </c>
    </row>
    <row r="64" spans="1:7">
      <c r="A64">
        <v>36</v>
      </c>
      <c r="B64" s="98">
        <v>0.54565370082855225</v>
      </c>
      <c r="C64" s="98">
        <f t="shared" si="0"/>
        <v>0.11468778229086139</v>
      </c>
      <c r="D64" s="98">
        <v>6.5751536092385782E-3</v>
      </c>
      <c r="F64" s="100">
        <v>-2</v>
      </c>
      <c r="G64" s="101">
        <v>12</v>
      </c>
    </row>
    <row r="65" spans="1:7">
      <c r="A65">
        <v>37</v>
      </c>
      <c r="B65" s="98">
        <v>0.98399168252944946</v>
      </c>
      <c r="C65" s="98">
        <f t="shared" si="0"/>
        <v>2.1442028736137324</v>
      </c>
      <c r="D65" s="98">
        <v>8.0584252253355151E-3</v>
      </c>
      <c r="F65" s="100">
        <v>-1.5</v>
      </c>
      <c r="G65" s="101">
        <v>50</v>
      </c>
    </row>
    <row r="66" spans="1:7">
      <c r="A66">
        <v>38</v>
      </c>
      <c r="B66" s="98">
        <v>0.61983644962310791</v>
      </c>
      <c r="C66" s="98">
        <f t="shared" si="0"/>
        <v>0.30505127455613856</v>
      </c>
      <c r="D66" s="98">
        <v>-1.1127274071720719</v>
      </c>
      <c r="F66" s="100">
        <v>-1</v>
      </c>
      <c r="G66" s="101">
        <v>96</v>
      </c>
    </row>
    <row r="67" spans="1:7">
      <c r="A67">
        <v>39</v>
      </c>
      <c r="B67" s="98">
        <v>0.21285945177078247</v>
      </c>
      <c r="C67" s="98">
        <f t="shared" si="0"/>
        <v>-0.79653885054166684</v>
      </c>
      <c r="D67" s="98">
        <v>0.17458899372354986</v>
      </c>
      <c r="F67" s="100">
        <v>-0.5</v>
      </c>
      <c r="G67" s="101">
        <v>146</v>
      </c>
    </row>
    <row r="68" spans="1:7">
      <c r="A68">
        <v>40</v>
      </c>
      <c r="B68" s="98">
        <v>0.3757094144821167</v>
      </c>
      <c r="C68" s="98">
        <f t="shared" si="0"/>
        <v>-0.31676907802485915</v>
      </c>
      <c r="D68" s="98">
        <v>-0.35574514245169186</v>
      </c>
      <c r="F68" s="100">
        <v>0</v>
      </c>
      <c r="G68" s="101">
        <v>197</v>
      </c>
    </row>
    <row r="69" spans="1:7">
      <c r="A69">
        <v>41</v>
      </c>
      <c r="B69" s="98">
        <v>0.5099378228187561</v>
      </c>
      <c r="C69" s="98">
        <f t="shared" si="0"/>
        <v>2.4913004500928853E-2</v>
      </c>
      <c r="D69" s="98">
        <v>-1.1868449922663644</v>
      </c>
      <c r="F69" s="100">
        <v>0.5</v>
      </c>
      <c r="G69" s="101">
        <v>199</v>
      </c>
    </row>
    <row r="70" spans="1:7">
      <c r="A70">
        <v>42</v>
      </c>
      <c r="B70" s="98">
        <v>0.11411488056182861</v>
      </c>
      <c r="C70" s="98">
        <f t="shared" si="0"/>
        <v>-1.2049314634267219</v>
      </c>
      <c r="D70" s="98">
        <v>1.5054273309480561</v>
      </c>
      <c r="F70" s="100">
        <v>1</v>
      </c>
      <c r="G70" s="101">
        <v>139</v>
      </c>
    </row>
    <row r="71" spans="1:7">
      <c r="A71">
        <v>43</v>
      </c>
      <c r="B71" s="98">
        <v>3.5199940204620361E-2</v>
      </c>
      <c r="C71" s="98">
        <f t="shared" si="0"/>
        <v>-1.8093291662720694</v>
      </c>
      <c r="D71" s="98">
        <v>1.2745995600145419</v>
      </c>
      <c r="F71" s="100">
        <v>1.5</v>
      </c>
      <c r="G71" s="101">
        <v>82</v>
      </c>
    </row>
    <row r="72" spans="1:7">
      <c r="A72">
        <v>44</v>
      </c>
      <c r="B72" s="98">
        <v>0.45327794551849365</v>
      </c>
      <c r="C72" s="98">
        <f t="shared" si="0"/>
        <v>-0.11738383786947383</v>
      </c>
      <c r="D72" s="98">
        <v>-0.14458620822947385</v>
      </c>
      <c r="F72" s="100">
        <v>2</v>
      </c>
      <c r="G72" s="101">
        <v>50</v>
      </c>
    </row>
    <row r="73" spans="1:7">
      <c r="A73">
        <v>45</v>
      </c>
      <c r="B73" s="98">
        <v>0.99647051095962524</v>
      </c>
      <c r="C73" s="98">
        <f t="shared" si="0"/>
        <v>2.6940490258281717</v>
      </c>
      <c r="D73" s="98">
        <v>-1.7011646541082197</v>
      </c>
      <c r="F73" s="102">
        <v>2.5</v>
      </c>
      <c r="G73" s="103">
        <v>17</v>
      </c>
    </row>
    <row r="74" spans="1:7">
      <c r="A74">
        <v>46</v>
      </c>
      <c r="B74" s="98">
        <v>0.71943151950836182</v>
      </c>
      <c r="C74" s="98">
        <f t="shared" si="0"/>
        <v>0.58115356381937577</v>
      </c>
      <c r="D74" s="98">
        <v>-0.12883248938335606</v>
      </c>
      <c r="F74" s="100">
        <v>3</v>
      </c>
      <c r="G74" s="101">
        <v>5</v>
      </c>
    </row>
    <row r="75" spans="1:7">
      <c r="A75">
        <v>47</v>
      </c>
      <c r="B75" s="98">
        <v>0.47755080461502075</v>
      </c>
      <c r="C75" s="98">
        <f t="shared" si="0"/>
        <v>-5.6301518421433397E-2</v>
      </c>
      <c r="D75" s="98">
        <v>-1.4047485334803811</v>
      </c>
    </row>
    <row r="76" spans="1:7">
      <c r="A76">
        <v>48</v>
      </c>
      <c r="B76" s="98">
        <v>0.58744132518768311</v>
      </c>
      <c r="C76" s="98">
        <f t="shared" si="0"/>
        <v>0.22096799972721667</v>
      </c>
      <c r="D76" s="98">
        <v>0.48021439010574823</v>
      </c>
    </row>
    <row r="77" spans="1:7">
      <c r="A77">
        <v>49</v>
      </c>
      <c r="B77" s="98">
        <v>0.51634365320205688</v>
      </c>
      <c r="C77" s="98">
        <f t="shared" si="0"/>
        <v>4.0978929471300322E-2</v>
      </c>
      <c r="D77" s="98">
        <v>-0.46156235218632413</v>
      </c>
    </row>
    <row r="78" spans="1:7">
      <c r="A78">
        <v>50</v>
      </c>
      <c r="B78" s="98">
        <v>0.97143089771270752</v>
      </c>
      <c r="C78" s="98">
        <f t="shared" si="0"/>
        <v>1.9022520997965056</v>
      </c>
      <c r="D78" s="98">
        <v>-1.6184697125189718</v>
      </c>
    </row>
    <row r="79" spans="1:7">
      <c r="A79">
        <v>51</v>
      </c>
      <c r="B79" s="98">
        <v>0.43297845125198364</v>
      </c>
      <c r="C79" s="98">
        <f t="shared" si="0"/>
        <v>-0.16879625707375837</v>
      </c>
      <c r="D79" s="98">
        <v>1.7783908140113731</v>
      </c>
    </row>
    <row r="80" spans="1:7">
      <c r="A80">
        <v>52</v>
      </c>
      <c r="B80" s="98">
        <v>0.16540658473968506</v>
      </c>
      <c r="C80" s="98">
        <f t="shared" si="0"/>
        <v>-0.97247726585727357</v>
      </c>
      <c r="D80" s="98">
        <v>-1.7765245773037612E-2</v>
      </c>
    </row>
    <row r="81" spans="1:4">
      <c r="A81">
        <v>53</v>
      </c>
      <c r="B81" s="98">
        <v>0.40793615579605103</v>
      </c>
      <c r="C81" s="98">
        <f t="shared" si="0"/>
        <v>-0.23285717778221587</v>
      </c>
      <c r="D81" s="98">
        <v>-0.12812552176089612</v>
      </c>
    </row>
    <row r="82" spans="1:4">
      <c r="A82">
        <v>54</v>
      </c>
      <c r="B82" s="98">
        <v>0.23388254642486572</v>
      </c>
      <c r="C82" s="98">
        <f t="shared" si="0"/>
        <v>-0.72612018992530025</v>
      </c>
      <c r="D82" s="98">
        <v>-0.48939412159533552</v>
      </c>
    </row>
    <row r="83" spans="1:4">
      <c r="A83">
        <v>55</v>
      </c>
      <c r="B83" s="98">
        <v>0.31017428636550903</v>
      </c>
      <c r="C83" s="98">
        <f t="shared" si="0"/>
        <v>-0.49535638978104862</v>
      </c>
      <c r="D83" s="98">
        <v>0.30397474484171422</v>
      </c>
    </row>
    <row r="84" spans="1:4">
      <c r="A84">
        <v>56</v>
      </c>
      <c r="B84" s="98">
        <v>0.65250575542449951</v>
      </c>
      <c r="C84" s="98">
        <f t="shared" si="0"/>
        <v>0.39209436741006404</v>
      </c>
      <c r="D84" s="98">
        <v>1.0613827621819758</v>
      </c>
    </row>
    <row r="85" spans="1:4">
      <c r="A85">
        <v>57</v>
      </c>
      <c r="B85" s="98">
        <v>0.77525192499160767</v>
      </c>
      <c r="C85" s="98">
        <f t="shared" si="0"/>
        <v>0.7562552880085015</v>
      </c>
      <c r="D85" s="98">
        <v>-0.76636933060157952</v>
      </c>
    </row>
    <row r="86" spans="1:4">
      <c r="A86">
        <v>58</v>
      </c>
      <c r="B86" s="98">
        <v>0.19868099689483643</v>
      </c>
      <c r="C86" s="98">
        <f t="shared" si="0"/>
        <v>-0.84634198272519601</v>
      </c>
      <c r="D86" s="98">
        <v>0.99114619029802786</v>
      </c>
    </row>
    <row r="87" spans="1:4">
      <c r="A87">
        <v>59</v>
      </c>
      <c r="B87" s="98">
        <v>0.53345471620559692</v>
      </c>
      <c r="C87" s="98">
        <f t="shared" si="0"/>
        <v>8.3957065968235392E-2</v>
      </c>
      <c r="D87" s="98">
        <v>-0.82436863813828976</v>
      </c>
    </row>
    <row r="88" spans="1:4">
      <c r="A88">
        <v>60</v>
      </c>
      <c r="B88" s="98">
        <v>9.2195868492126465E-2</v>
      </c>
      <c r="C88" s="98">
        <f t="shared" si="0"/>
        <v>-1.3273536119229639</v>
      </c>
      <c r="D88" s="98">
        <v>-3.5020860967737592E-2</v>
      </c>
    </row>
    <row r="89" spans="1:4">
      <c r="A89">
        <v>61</v>
      </c>
      <c r="B89" s="98">
        <v>0.98791986703872681</v>
      </c>
      <c r="C89" s="98">
        <f t="shared" si="0"/>
        <v>2.2545710560638326</v>
      </c>
      <c r="D89" s="98">
        <v>0.3756892815127732</v>
      </c>
    </row>
    <row r="90" spans="1:4">
      <c r="A90">
        <v>62</v>
      </c>
      <c r="B90" s="98">
        <v>0.38584578037261963</v>
      </c>
      <c r="C90" s="98">
        <f t="shared" si="0"/>
        <v>-0.29016297392754387</v>
      </c>
      <c r="D90" s="98">
        <v>1.57531584892543</v>
      </c>
    </row>
    <row r="91" spans="1:4">
      <c r="A91">
        <v>63</v>
      </c>
      <c r="B91" s="98">
        <v>4.2761147022247314E-2</v>
      </c>
      <c r="C91" s="98">
        <f t="shared" si="0"/>
        <v>-1.7195059012230389</v>
      </c>
      <c r="D91" s="98">
        <v>0.28612274544847421</v>
      </c>
    </row>
    <row r="92" spans="1:4">
      <c r="A92">
        <v>64</v>
      </c>
      <c r="B92" s="98">
        <v>0.60605895519256592</v>
      </c>
      <c r="C92" s="98">
        <f t="shared" si="0"/>
        <v>0.26906184720754445</v>
      </c>
      <c r="D92" s="98">
        <v>0.28778037409864327</v>
      </c>
    </row>
    <row r="93" spans="1:4">
      <c r="A93">
        <v>65</v>
      </c>
      <c r="B93" s="98">
        <v>0.18119388818740845</v>
      </c>
      <c r="C93" s="98">
        <f t="shared" si="0"/>
        <v>-0.91082464224062099</v>
      </c>
      <c r="D93" s="98">
        <v>-0.71832293184199347</v>
      </c>
    </row>
    <row r="94" spans="1:4">
      <c r="A94">
        <v>66</v>
      </c>
      <c r="B94" s="98">
        <v>0.64352142810821533</v>
      </c>
      <c r="C94" s="98">
        <f t="shared" ref="C94:C157" si="1">NORMINV(B94,0,1)</f>
        <v>0.3678874696904727</v>
      </c>
      <c r="D94" s="98">
        <v>-0.89879643337703352</v>
      </c>
    </row>
    <row r="95" spans="1:4">
      <c r="A95">
        <v>67</v>
      </c>
      <c r="B95" s="98">
        <v>0.79365998506546021</v>
      </c>
      <c r="C95" s="98">
        <f t="shared" si="1"/>
        <v>0.81918647566718417</v>
      </c>
      <c r="D95" s="98">
        <v>1.4257394388575519</v>
      </c>
    </row>
    <row r="96" spans="1:4">
      <c r="A96">
        <v>68</v>
      </c>
      <c r="B96" s="98">
        <v>0.89380204677581787</v>
      </c>
      <c r="C96" s="98">
        <f t="shared" si="1"/>
        <v>1.247004339409139</v>
      </c>
      <c r="D96" s="98">
        <v>2.9905608789203582</v>
      </c>
    </row>
    <row r="97" spans="1:4">
      <c r="A97">
        <v>69</v>
      </c>
      <c r="B97" s="98">
        <v>0.75595289468765259</v>
      </c>
      <c r="C97" s="98">
        <f t="shared" si="1"/>
        <v>0.69334318067188128</v>
      </c>
      <c r="D97" s="98">
        <v>0.73427123019289275</v>
      </c>
    </row>
    <row r="98" spans="1:4">
      <c r="A98">
        <v>70</v>
      </c>
      <c r="B98" s="98">
        <v>0.64797747135162354</v>
      </c>
      <c r="C98" s="98">
        <f t="shared" si="1"/>
        <v>0.37986577049344444</v>
      </c>
      <c r="D98" s="98">
        <v>0.85337338624871628</v>
      </c>
    </row>
    <row r="99" spans="1:4">
      <c r="A99">
        <v>71</v>
      </c>
      <c r="B99" s="98">
        <v>0.2573426365852356</v>
      </c>
      <c r="C99" s="98">
        <f t="shared" si="1"/>
        <v>-0.65155966806434285</v>
      </c>
      <c r="D99" s="98">
        <v>-0.59804573279270901</v>
      </c>
    </row>
    <row r="100" spans="1:4">
      <c r="A100">
        <v>72</v>
      </c>
      <c r="B100" s="98">
        <v>0.73325717449188232</v>
      </c>
      <c r="C100" s="98">
        <f t="shared" si="1"/>
        <v>0.62269396241987918</v>
      </c>
      <c r="D100" s="98">
        <v>0.56065408935838945</v>
      </c>
    </row>
    <row r="101" spans="1:4">
      <c r="A101">
        <v>73</v>
      </c>
      <c r="B101" s="98">
        <v>0.87870079278945923</v>
      </c>
      <c r="C101" s="98">
        <f t="shared" si="1"/>
        <v>1.1685166815521519</v>
      </c>
      <c r="D101" s="98">
        <v>-0.171443804615034</v>
      </c>
    </row>
    <row r="102" spans="1:4">
      <c r="A102">
        <v>74</v>
      </c>
      <c r="B102" s="98">
        <v>0.91126132011413574</v>
      </c>
      <c r="C102" s="98">
        <f t="shared" si="1"/>
        <v>1.348563037394394</v>
      </c>
      <c r="D102" s="98">
        <v>0.74813228868670856</v>
      </c>
    </row>
    <row r="103" spans="1:4">
      <c r="A103">
        <v>75</v>
      </c>
      <c r="B103" s="98">
        <v>1.7928481101989746E-3</v>
      </c>
      <c r="C103" s="98">
        <f t="shared" si="1"/>
        <v>-2.9124813411347792</v>
      </c>
      <c r="D103" s="98">
        <v>-1.5603434534566954E-2</v>
      </c>
    </row>
    <row r="104" spans="1:4">
      <c r="A104">
        <v>76</v>
      </c>
      <c r="B104" s="98">
        <v>0.10465908050537109</v>
      </c>
      <c r="C104" s="98">
        <f t="shared" si="1"/>
        <v>-1.2554425227390125</v>
      </c>
      <c r="D104" s="98">
        <v>0.38300793808729511</v>
      </c>
    </row>
    <row r="105" spans="1:4">
      <c r="A105">
        <v>77</v>
      </c>
      <c r="B105" s="98">
        <v>0.54293745756149292</v>
      </c>
      <c r="C105" s="98">
        <f t="shared" si="1"/>
        <v>0.10783688324125307</v>
      </c>
      <c r="D105" s="98">
        <v>0.69385667105296989</v>
      </c>
    </row>
    <row r="106" spans="1:4">
      <c r="A106">
        <v>78</v>
      </c>
      <c r="B106" s="98">
        <v>0.16538548469543457</v>
      </c>
      <c r="C106" s="98">
        <f t="shared" si="1"/>
        <v>-0.97256213503240974</v>
      </c>
      <c r="D106" s="98">
        <v>0.816717401800922</v>
      </c>
    </row>
    <row r="107" spans="1:4">
      <c r="A107">
        <v>79</v>
      </c>
      <c r="B107" s="98">
        <v>0.18912738561630249</v>
      </c>
      <c r="C107" s="98">
        <f t="shared" si="1"/>
        <v>-0.8811164930402311</v>
      </c>
      <c r="D107" s="98">
        <v>0.46904490002431271</v>
      </c>
    </row>
    <row r="108" spans="1:4">
      <c r="A108">
        <v>80</v>
      </c>
      <c r="B108" s="98">
        <v>0.12035703659057617</v>
      </c>
      <c r="C108" s="98">
        <f t="shared" si="1"/>
        <v>-1.1732038383504881</v>
      </c>
      <c r="D108" s="98">
        <v>-1.6098111483647575</v>
      </c>
    </row>
    <row r="109" spans="1:4">
      <c r="A109">
        <v>81</v>
      </c>
      <c r="B109" s="98">
        <v>0.42211312055587769</v>
      </c>
      <c r="C109" s="98">
        <f t="shared" si="1"/>
        <v>-0.19649053389821514</v>
      </c>
      <c r="D109" s="98">
        <v>0.1381178987541366</v>
      </c>
    </row>
    <row r="110" spans="1:4">
      <c r="A110">
        <v>82</v>
      </c>
      <c r="B110" s="98">
        <v>0.3998105525970459</v>
      </c>
      <c r="C110" s="98">
        <f t="shared" si="1"/>
        <v>-0.25383749485499463</v>
      </c>
      <c r="D110" s="98">
        <v>0.15705708633426188</v>
      </c>
    </row>
    <row r="111" spans="1:4">
      <c r="A111">
        <v>83</v>
      </c>
      <c r="B111" s="98">
        <v>0.51368421316146851</v>
      </c>
      <c r="C111" s="98">
        <f t="shared" si="1"/>
        <v>3.4307964725976997E-2</v>
      </c>
      <c r="D111" s="98">
        <v>-0.51156404590708215</v>
      </c>
    </row>
    <row r="112" spans="1:4">
      <c r="A112">
        <v>84</v>
      </c>
      <c r="B112" s="98">
        <v>0.64337122440338135</v>
      </c>
      <c r="C112" s="98">
        <f t="shared" si="1"/>
        <v>0.36748463452462021</v>
      </c>
      <c r="D112" s="98">
        <v>0.29476511442918363</v>
      </c>
    </row>
    <row r="113" spans="1:4">
      <c r="A113">
        <v>85</v>
      </c>
      <c r="B113" s="98">
        <v>0.71061450242996216</v>
      </c>
      <c r="C113" s="98">
        <f t="shared" si="1"/>
        <v>0.55518080747525189</v>
      </c>
      <c r="D113" s="98">
        <v>7.3704735860829138E-2</v>
      </c>
    </row>
    <row r="114" spans="1:4">
      <c r="A114">
        <v>86</v>
      </c>
      <c r="B114" s="98">
        <v>0.89921367168426514</v>
      </c>
      <c r="C114" s="98">
        <f t="shared" si="1"/>
        <v>1.2770838196213523</v>
      </c>
      <c r="D114" s="98">
        <v>1.5257771202182597</v>
      </c>
    </row>
    <row r="115" spans="1:4">
      <c r="A115">
        <v>87</v>
      </c>
      <c r="B115" s="98">
        <v>0.97653442621231079</v>
      </c>
      <c r="C115" s="98">
        <f t="shared" si="1"/>
        <v>1.986921040546251</v>
      </c>
      <c r="D115" s="98">
        <v>1.1139600849718745</v>
      </c>
    </row>
    <row r="116" spans="1:4">
      <c r="A116">
        <v>88</v>
      </c>
      <c r="B116" s="98">
        <v>0.51014721393585205</v>
      </c>
      <c r="C116" s="98">
        <f t="shared" si="1"/>
        <v>2.5438036559615098E-2</v>
      </c>
      <c r="D116" s="98">
        <v>7.3223404615977344E-2</v>
      </c>
    </row>
    <row r="117" spans="1:4">
      <c r="A117">
        <v>89</v>
      </c>
      <c r="B117" s="98">
        <v>0.85296231508255005</v>
      </c>
      <c r="C117" s="98">
        <f t="shared" si="1"/>
        <v>1.0492232727283173</v>
      </c>
      <c r="D117" s="98">
        <v>-0.20220196832263213</v>
      </c>
    </row>
    <row r="118" spans="1:4">
      <c r="A118">
        <v>90</v>
      </c>
      <c r="B118" s="98">
        <v>0.89908444881439209</v>
      </c>
      <c r="C118" s="98">
        <f t="shared" si="1"/>
        <v>1.2763520385097105</v>
      </c>
      <c r="D118" s="98">
        <v>0.61111081716796956</v>
      </c>
    </row>
    <row r="119" spans="1:4">
      <c r="A119">
        <v>91</v>
      </c>
      <c r="B119" s="98">
        <v>0.13366037607192993</v>
      </c>
      <c r="C119" s="98">
        <f t="shared" si="1"/>
        <v>-1.109253700935473</v>
      </c>
      <c r="D119" s="98">
        <v>-0.49959989234101304</v>
      </c>
    </row>
    <row r="120" spans="1:4">
      <c r="A120">
        <v>92</v>
      </c>
      <c r="B120" s="98">
        <v>0.57194578647613525</v>
      </c>
      <c r="C120" s="98">
        <f t="shared" si="1"/>
        <v>0.18133016905378502</v>
      </c>
      <c r="D120" s="98">
        <v>-1.5765619611980197</v>
      </c>
    </row>
    <row r="121" spans="1:4">
      <c r="A121">
        <v>93</v>
      </c>
      <c r="B121" s="98">
        <v>0.36336737871170044</v>
      </c>
      <c r="C121" s="98">
        <f t="shared" si="1"/>
        <v>-0.34947230725217648</v>
      </c>
      <c r="D121" s="98">
        <v>-1.5726321300982189</v>
      </c>
    </row>
    <row r="122" spans="1:4">
      <c r="A122">
        <v>94</v>
      </c>
      <c r="B122" s="98">
        <v>0.75828444957733154</v>
      </c>
      <c r="C122" s="98">
        <f t="shared" si="1"/>
        <v>0.70079477252639988</v>
      </c>
      <c r="D122" s="98">
        <v>0.27823498736719859</v>
      </c>
    </row>
    <row r="123" spans="1:4">
      <c r="A123">
        <v>95</v>
      </c>
      <c r="B123" s="98">
        <v>0.91592365503311157</v>
      </c>
      <c r="C123" s="98">
        <f t="shared" si="1"/>
        <v>1.3781639009791107</v>
      </c>
      <c r="D123" s="98">
        <v>-2.1097904425627163E-2</v>
      </c>
    </row>
    <row r="124" spans="1:4">
      <c r="A124">
        <v>96</v>
      </c>
      <c r="B124" s="98">
        <v>0.30191147327423096</v>
      </c>
      <c r="C124" s="98">
        <f t="shared" si="1"/>
        <v>-0.51891079930112882</v>
      </c>
      <c r="D124" s="98">
        <v>-1.7986825428290873</v>
      </c>
    </row>
    <row r="125" spans="1:4">
      <c r="A125">
        <v>97</v>
      </c>
      <c r="B125" s="98">
        <v>0.32239609956741333</v>
      </c>
      <c r="C125" s="98">
        <f t="shared" si="1"/>
        <v>-0.46100892881695527</v>
      </c>
      <c r="D125" s="98">
        <v>-1.0726259721128346</v>
      </c>
    </row>
    <row r="126" spans="1:4">
      <c r="A126">
        <v>98</v>
      </c>
      <c r="B126" s="98">
        <v>0.8015207052230835</v>
      </c>
      <c r="C126" s="98">
        <f t="shared" si="1"/>
        <v>0.84706554319037486</v>
      </c>
      <c r="D126" s="98">
        <v>-1.8117960906692432</v>
      </c>
    </row>
    <row r="127" spans="1:4">
      <c r="A127">
        <v>99</v>
      </c>
      <c r="B127" s="98">
        <v>0.84920316934585571</v>
      </c>
      <c r="C127" s="98">
        <f t="shared" si="1"/>
        <v>1.0330218759952634</v>
      </c>
      <c r="D127" s="98">
        <v>0.65599177874933545</v>
      </c>
    </row>
    <row r="128" spans="1:4">
      <c r="A128">
        <v>100</v>
      </c>
      <c r="B128" s="98">
        <v>0.43162524700164795</v>
      </c>
      <c r="C128" s="98">
        <f t="shared" si="1"/>
        <v>-0.17223791169158659</v>
      </c>
      <c r="D128" s="98">
        <v>1.5324829385327621</v>
      </c>
    </row>
    <row r="129" spans="1:4">
      <c r="A129">
        <v>101</v>
      </c>
      <c r="B129" s="98">
        <v>0.22500282526016235</v>
      </c>
      <c r="C129" s="98">
        <f t="shared" si="1"/>
        <v>-0.75540560611299545</v>
      </c>
      <c r="D129" s="98">
        <v>4.8206582723752771E-2</v>
      </c>
    </row>
    <row r="130" spans="1:4">
      <c r="A130">
        <v>102</v>
      </c>
      <c r="B130" s="98">
        <v>0.29954731464385986</v>
      </c>
      <c r="C130" s="98">
        <f t="shared" si="1"/>
        <v>-0.52570292775046101</v>
      </c>
      <c r="D130" s="98">
        <v>0.28098315382899253</v>
      </c>
    </row>
    <row r="131" spans="1:4">
      <c r="A131">
        <v>103</v>
      </c>
      <c r="B131" s="98">
        <v>0.98671513795852661</v>
      </c>
      <c r="C131" s="98">
        <f t="shared" si="1"/>
        <v>2.2177816470208875</v>
      </c>
      <c r="D131" s="98">
        <v>-0.18208443786811834</v>
      </c>
    </row>
    <row r="132" spans="1:4">
      <c r="A132">
        <v>104</v>
      </c>
      <c r="B132" s="98">
        <v>0.6295551061630249</v>
      </c>
      <c r="C132" s="98">
        <f t="shared" si="1"/>
        <v>0.33067526523949003</v>
      </c>
      <c r="D132" s="98">
        <v>-1.2447099925254181</v>
      </c>
    </row>
    <row r="133" spans="1:4">
      <c r="A133">
        <v>105</v>
      </c>
      <c r="B133" s="98">
        <v>0.60045152902603149</v>
      </c>
      <c r="C133" s="98">
        <f t="shared" si="1"/>
        <v>0.25451600365893562</v>
      </c>
      <c r="D133" s="98">
        <v>-0.25787263627252716</v>
      </c>
    </row>
    <row r="134" spans="1:4">
      <c r="A134">
        <v>106</v>
      </c>
      <c r="B134" s="98">
        <v>0.65413153171539307</v>
      </c>
      <c r="C134" s="98">
        <f t="shared" si="1"/>
        <v>0.3964990120089662</v>
      </c>
      <c r="D134" s="98">
        <v>-0.10960638272097313</v>
      </c>
    </row>
    <row r="135" spans="1:4">
      <c r="A135">
        <v>107</v>
      </c>
      <c r="B135" s="98">
        <v>0.431263267993927</v>
      </c>
      <c r="C135" s="98">
        <f t="shared" si="1"/>
        <v>-0.17315889061984602</v>
      </c>
      <c r="D135" s="98">
        <v>-0.41447544735751951</v>
      </c>
    </row>
    <row r="136" spans="1:4">
      <c r="A136">
        <v>108</v>
      </c>
      <c r="B136" s="98">
        <v>0.9381403923034668</v>
      </c>
      <c r="C136" s="98">
        <f t="shared" si="1"/>
        <v>1.5393485989458549</v>
      </c>
      <c r="D136" s="98">
        <v>-1.8329887809807379</v>
      </c>
    </row>
    <row r="137" spans="1:4">
      <c r="A137">
        <v>109</v>
      </c>
      <c r="B137" s="98">
        <v>0.19141930341720581</v>
      </c>
      <c r="C137" s="98">
        <f t="shared" si="1"/>
        <v>-0.87267801008034596</v>
      </c>
      <c r="D137" s="98">
        <v>0.41705247485890012</v>
      </c>
    </row>
    <row r="138" spans="1:4">
      <c r="A138">
        <v>110</v>
      </c>
      <c r="B138" s="98">
        <v>0.59338736534118652</v>
      </c>
      <c r="C138" s="98">
        <f t="shared" si="1"/>
        <v>0.23626728735931216</v>
      </c>
      <c r="D138" s="98">
        <v>0.36025769156907261</v>
      </c>
    </row>
    <row r="139" spans="1:4">
      <c r="A139">
        <v>111</v>
      </c>
      <c r="B139" s="98">
        <v>0.96811002492904663</v>
      </c>
      <c r="C139" s="98">
        <f t="shared" si="1"/>
        <v>1.853714961086409</v>
      </c>
      <c r="D139" s="98">
        <v>9.4805316624677879E-2</v>
      </c>
    </row>
    <row r="140" spans="1:4">
      <c r="A140">
        <v>112</v>
      </c>
      <c r="B140" s="98">
        <v>0.98577499389648438</v>
      </c>
      <c r="C140" s="98">
        <f t="shared" si="1"/>
        <v>2.1910246015464021</v>
      </c>
      <c r="D140" s="98">
        <v>0.89008514969345209</v>
      </c>
    </row>
    <row r="141" spans="1:4">
      <c r="A141">
        <v>113</v>
      </c>
      <c r="B141" s="98">
        <v>0.92791002988815308</v>
      </c>
      <c r="C141" s="98">
        <f t="shared" si="1"/>
        <v>1.4604008467316976</v>
      </c>
      <c r="D141" s="98">
        <v>1.8942127349577773E-2</v>
      </c>
    </row>
    <row r="142" spans="1:4">
      <c r="A142">
        <v>114</v>
      </c>
      <c r="B142" s="98">
        <v>0.47718071937561035</v>
      </c>
      <c r="C142" s="98">
        <f t="shared" si="1"/>
        <v>-5.7230680435656878E-2</v>
      </c>
      <c r="D142" s="98">
        <v>1.6148889721046715</v>
      </c>
    </row>
    <row r="143" spans="1:4">
      <c r="A143">
        <v>115</v>
      </c>
      <c r="B143" s="98">
        <v>0.54768699407577515</v>
      </c>
      <c r="C143" s="98">
        <f t="shared" si="1"/>
        <v>0.11981965478171544</v>
      </c>
      <c r="D143" s="98">
        <v>0.52613039093817993</v>
      </c>
    </row>
    <row r="144" spans="1:4">
      <c r="A144">
        <v>116</v>
      </c>
      <c r="B144" s="98">
        <v>0.62967729568481445</v>
      </c>
      <c r="C144" s="98">
        <f t="shared" si="1"/>
        <v>0.33099877794915988</v>
      </c>
      <c r="D144" s="98">
        <v>1.3200402534696347</v>
      </c>
    </row>
    <row r="145" spans="1:4">
      <c r="A145">
        <v>117</v>
      </c>
      <c r="B145" s="98">
        <v>0.70372265577316284</v>
      </c>
      <c r="C145" s="98">
        <f t="shared" si="1"/>
        <v>0.53513763333486775</v>
      </c>
      <c r="D145" s="98">
        <v>4.3337038926475335E-2</v>
      </c>
    </row>
    <row r="146" spans="1:4">
      <c r="A146">
        <v>118</v>
      </c>
      <c r="B146" s="98">
        <v>0.22115778923034668</v>
      </c>
      <c r="C146" s="98">
        <f t="shared" si="1"/>
        <v>-0.76828888190575295</v>
      </c>
      <c r="D146" s="98">
        <v>0.39052773194543788</v>
      </c>
    </row>
    <row r="147" spans="1:4">
      <c r="A147">
        <v>119</v>
      </c>
      <c r="B147" s="98">
        <v>0.62483781576156616</v>
      </c>
      <c r="C147" s="98">
        <f t="shared" si="1"/>
        <v>0.31821168667647404</v>
      </c>
      <c r="D147" s="98">
        <v>0.61452113977271217</v>
      </c>
    </row>
    <row r="148" spans="1:4">
      <c r="A148">
        <v>120</v>
      </c>
      <c r="B148" s="98">
        <v>0.51096057891845703</v>
      </c>
      <c r="C148" s="98">
        <f t="shared" si="1"/>
        <v>2.7477554297252637E-2</v>
      </c>
      <c r="D148" s="98">
        <v>5.180195352917992E-2</v>
      </c>
    </row>
    <row r="149" spans="1:4">
      <c r="A149">
        <v>121</v>
      </c>
      <c r="B149" s="98">
        <v>9.5517337322235107E-2</v>
      </c>
      <c r="C149" s="98">
        <f t="shared" si="1"/>
        <v>-1.3075243970189465</v>
      </c>
      <c r="D149" s="98">
        <v>1.2274040617134265</v>
      </c>
    </row>
    <row r="150" spans="1:4">
      <c r="A150">
        <v>122</v>
      </c>
      <c r="B150" s="98">
        <v>0.75549435615539551</v>
      </c>
      <c r="C150" s="98">
        <f t="shared" si="1"/>
        <v>0.69188223519932002</v>
      </c>
      <c r="D150" s="98">
        <v>0.66138136734027175</v>
      </c>
    </row>
    <row r="151" spans="1:4">
      <c r="A151">
        <v>123</v>
      </c>
      <c r="B151" s="98">
        <v>0.90903514623641968</v>
      </c>
      <c r="C151" s="98">
        <f t="shared" si="1"/>
        <v>1.3348369793927932</v>
      </c>
      <c r="D151" s="98">
        <v>0.68351100353688443</v>
      </c>
    </row>
    <row r="152" spans="1:4">
      <c r="A152">
        <v>124</v>
      </c>
      <c r="B152" s="98">
        <v>0.97386312484741211</v>
      </c>
      <c r="C152" s="98">
        <f t="shared" si="1"/>
        <v>1.94087245103214</v>
      </c>
      <c r="D152" s="98">
        <v>0.10232096639050454</v>
      </c>
    </row>
    <row r="153" spans="1:4">
      <c r="A153">
        <v>125</v>
      </c>
      <c r="B153" s="98">
        <v>0.57057923078536987</v>
      </c>
      <c r="C153" s="98">
        <f t="shared" si="1"/>
        <v>0.17784903292565224</v>
      </c>
      <c r="D153" s="98">
        <v>2.8278688271706698</v>
      </c>
    </row>
    <row r="154" spans="1:4">
      <c r="A154">
        <v>126</v>
      </c>
      <c r="B154" s="98">
        <v>0.56574821472167969</v>
      </c>
      <c r="C154" s="98">
        <f t="shared" si="1"/>
        <v>0.16555956493754856</v>
      </c>
      <c r="D154" s="98">
        <v>2.0660645828277895</v>
      </c>
    </row>
    <row r="155" spans="1:4">
      <c r="A155">
        <v>127</v>
      </c>
      <c r="B155" s="98">
        <v>0.98681849241256714</v>
      </c>
      <c r="C155" s="98">
        <f t="shared" si="1"/>
        <v>2.2208220695428684</v>
      </c>
      <c r="D155" s="98">
        <v>0.52252272554045232</v>
      </c>
    </row>
    <row r="156" spans="1:4">
      <c r="A156">
        <v>128</v>
      </c>
      <c r="B156" s="98">
        <v>0.18157410621643066</v>
      </c>
      <c r="C156" s="98">
        <f t="shared" si="1"/>
        <v>-0.90938258258144178</v>
      </c>
      <c r="D156" s="98">
        <v>0.20610745416130297</v>
      </c>
    </row>
    <row r="157" spans="1:4">
      <c r="A157">
        <v>129</v>
      </c>
      <c r="B157" s="98">
        <v>0.13958495855331421</v>
      </c>
      <c r="C157" s="98">
        <f t="shared" si="1"/>
        <v>-1.0821859345722327</v>
      </c>
      <c r="D157" s="98">
        <v>0.64757518439290673</v>
      </c>
    </row>
    <row r="158" spans="1:4">
      <c r="A158">
        <v>130</v>
      </c>
      <c r="B158" s="98">
        <v>0.53710412979125977</v>
      </c>
      <c r="C158" s="98">
        <f t="shared" ref="C158:C221" si="2">NORMINV(B158,0,1)</f>
        <v>9.3140754895213396E-2</v>
      </c>
      <c r="D158" s="98">
        <v>0.87641285995512641</v>
      </c>
    </row>
    <row r="159" spans="1:4">
      <c r="A159">
        <v>131</v>
      </c>
      <c r="B159" s="98">
        <v>9.2770278453826904E-2</v>
      </c>
      <c r="C159" s="98">
        <f t="shared" si="2"/>
        <v>-1.3238870584256426</v>
      </c>
      <c r="D159" s="98">
        <v>-0.65979906677150224</v>
      </c>
    </row>
    <row r="160" spans="1:4">
      <c r="A160">
        <v>132</v>
      </c>
      <c r="B160" s="98">
        <v>0.69929385185241699</v>
      </c>
      <c r="C160" s="98">
        <f t="shared" si="2"/>
        <v>0.52237063679408824</v>
      </c>
      <c r="D160" s="98">
        <v>-2.4342818481835182E-2</v>
      </c>
    </row>
    <row r="161" spans="1:4">
      <c r="A161">
        <v>133</v>
      </c>
      <c r="B161" s="98">
        <v>0.20800775289535522</v>
      </c>
      <c r="C161" s="98">
        <f t="shared" si="2"/>
        <v>-0.81335333548874467</v>
      </c>
      <c r="D161" s="98">
        <v>-3.7422697268345649E-2</v>
      </c>
    </row>
    <row r="162" spans="1:4">
      <c r="A162">
        <v>134</v>
      </c>
      <c r="B162" s="98">
        <v>0.70302450656890869</v>
      </c>
      <c r="C162" s="98">
        <f t="shared" si="2"/>
        <v>0.53311931868872442</v>
      </c>
      <c r="D162" s="98">
        <v>-0.11156848412734699</v>
      </c>
    </row>
    <row r="163" spans="1:4">
      <c r="A163">
        <v>135</v>
      </c>
      <c r="B163" s="98">
        <v>0.66349059343338013</v>
      </c>
      <c r="C163" s="98">
        <f t="shared" si="2"/>
        <v>0.422008500119959</v>
      </c>
      <c r="D163" s="98">
        <v>-0.93235317975501941</v>
      </c>
    </row>
    <row r="164" spans="1:4">
      <c r="A164">
        <v>136</v>
      </c>
      <c r="B164" s="98">
        <v>0.49284827709197998</v>
      </c>
      <c r="C164" s="98">
        <f t="shared" si="2"/>
        <v>-1.7927671137017612E-2</v>
      </c>
      <c r="D164" s="98">
        <v>0.88177477531773218</v>
      </c>
    </row>
    <row r="165" spans="1:4">
      <c r="A165">
        <v>137</v>
      </c>
      <c r="B165" s="98">
        <v>0.87434154748916626</v>
      </c>
      <c r="C165" s="98">
        <f t="shared" si="2"/>
        <v>1.1471565996568167</v>
      </c>
      <c r="D165" s="98">
        <v>-0.25720296121441422</v>
      </c>
    </row>
    <row r="166" spans="1:4">
      <c r="A166">
        <v>138</v>
      </c>
      <c r="B166" s="98">
        <v>0.29376900196075439</v>
      </c>
      <c r="C166" s="98">
        <f t="shared" si="2"/>
        <v>-0.5424072244284347</v>
      </c>
      <c r="D166" s="98">
        <v>0.2267530349830284</v>
      </c>
    </row>
    <row r="167" spans="1:4">
      <c r="A167">
        <v>139</v>
      </c>
      <c r="B167" s="98">
        <v>0.47768288850784302</v>
      </c>
      <c r="C167" s="98">
        <f t="shared" si="2"/>
        <v>-5.5969911127433054E-2</v>
      </c>
      <c r="D167" s="98">
        <v>0.14328643447449962</v>
      </c>
    </row>
    <row r="168" spans="1:4">
      <c r="A168">
        <v>140</v>
      </c>
      <c r="B168" s="98">
        <v>9.1680288314819336E-3</v>
      </c>
      <c r="C168" s="98">
        <f t="shared" si="2"/>
        <v>-2.3587610605419731</v>
      </c>
      <c r="D168" s="98">
        <v>-0.9698053922659059</v>
      </c>
    </row>
    <row r="169" spans="1:4">
      <c r="A169">
        <v>141</v>
      </c>
      <c r="B169" s="98">
        <v>0.8258705735206604</v>
      </c>
      <c r="C169" s="98">
        <f t="shared" si="2"/>
        <v>0.93797189634077094</v>
      </c>
      <c r="D169" s="98">
        <v>-0.31344850751170589</v>
      </c>
    </row>
    <row r="170" spans="1:4">
      <c r="A170">
        <v>142</v>
      </c>
      <c r="B170" s="98">
        <v>6.2934517860412598E-2</v>
      </c>
      <c r="C170" s="98">
        <f t="shared" si="2"/>
        <v>-1.5305969511250008</v>
      </c>
      <c r="D170" s="98">
        <v>0.56020205482730334</v>
      </c>
    </row>
    <row r="171" spans="1:4">
      <c r="A171">
        <v>143</v>
      </c>
      <c r="B171" s="98">
        <v>0.70973712205886841</v>
      </c>
      <c r="C171" s="98">
        <f t="shared" si="2"/>
        <v>0.55261691645196265</v>
      </c>
      <c r="D171" s="98">
        <v>1.5267503391146575</v>
      </c>
    </row>
    <row r="172" spans="1:4">
      <c r="A172">
        <v>144</v>
      </c>
      <c r="B172" s="98">
        <v>4.0090441703796387E-2</v>
      </c>
      <c r="C172" s="98">
        <f t="shared" si="2"/>
        <v>-1.7496375070624355</v>
      </c>
      <c r="D172" s="98">
        <v>-0.55736234674883811</v>
      </c>
    </row>
    <row r="173" spans="1:4">
      <c r="A173">
        <v>145</v>
      </c>
      <c r="B173" s="98">
        <v>0.43671661615371704</v>
      </c>
      <c r="C173" s="98">
        <f t="shared" si="2"/>
        <v>-0.1592990968186189</v>
      </c>
      <c r="D173" s="98">
        <v>1.220087857698251</v>
      </c>
    </row>
    <row r="174" spans="1:4">
      <c r="A174">
        <v>146</v>
      </c>
      <c r="B174" s="98">
        <v>0.5774155855178833</v>
      </c>
      <c r="C174" s="98">
        <f t="shared" si="2"/>
        <v>0.19528629060896999</v>
      </c>
      <c r="D174" s="98">
        <v>0.20413874498246254</v>
      </c>
    </row>
    <row r="175" spans="1:4">
      <c r="A175">
        <v>147</v>
      </c>
      <c r="B175" s="98">
        <v>0.1589697003364563</v>
      </c>
      <c r="C175" s="98">
        <f t="shared" si="2"/>
        <v>-0.99870132076650775</v>
      </c>
      <c r="D175" s="98">
        <v>0.25547922423973735</v>
      </c>
    </row>
    <row r="176" spans="1:4">
      <c r="A176">
        <v>148</v>
      </c>
      <c r="B176" s="98">
        <v>7.1785926818847656E-2</v>
      </c>
      <c r="C176" s="98">
        <f t="shared" si="2"/>
        <v>-1.462618297511342</v>
      </c>
      <c r="D176" s="98">
        <v>-3.041966138211845</v>
      </c>
    </row>
    <row r="177" spans="1:4">
      <c r="A177">
        <v>149</v>
      </c>
      <c r="B177" s="98">
        <v>0.51069754362106323</v>
      </c>
      <c r="C177" s="98">
        <f t="shared" si="2"/>
        <v>2.6817979562712261E-2</v>
      </c>
      <c r="D177" s="98">
        <v>-0.39413839842553766</v>
      </c>
    </row>
    <row r="178" spans="1:4">
      <c r="A178">
        <v>150</v>
      </c>
      <c r="B178" s="98">
        <v>0.63547253608703613</v>
      </c>
      <c r="C178" s="98">
        <f t="shared" si="2"/>
        <v>0.34638296206783398</v>
      </c>
      <c r="D178" s="98">
        <v>-0.52942382784794439</v>
      </c>
    </row>
    <row r="179" spans="1:4">
      <c r="A179">
        <v>151</v>
      </c>
      <c r="B179" s="98">
        <v>0.1792568564414978</v>
      </c>
      <c r="C179" s="98">
        <f t="shared" si="2"/>
        <v>-0.91820087077035184</v>
      </c>
      <c r="D179" s="98">
        <v>-1.3986848393965396</v>
      </c>
    </row>
    <row r="180" spans="1:4">
      <c r="A180">
        <v>152</v>
      </c>
      <c r="B180" s="98">
        <v>0.95522069931030273</v>
      </c>
      <c r="C180" s="98">
        <f t="shared" si="2"/>
        <v>1.6977306964409316</v>
      </c>
      <c r="D180" s="98">
        <v>-1.633786813242937</v>
      </c>
    </row>
    <row r="181" spans="1:4">
      <c r="A181">
        <v>153</v>
      </c>
      <c r="B181" s="98">
        <v>0.349162757396698</v>
      </c>
      <c r="C181" s="98">
        <f t="shared" si="2"/>
        <v>-0.38758183354454268</v>
      </c>
      <c r="D181" s="98">
        <v>-2.2756968562579241</v>
      </c>
    </row>
    <row r="182" spans="1:4">
      <c r="A182">
        <v>154</v>
      </c>
      <c r="B182" s="98">
        <v>0.29566895961761475</v>
      </c>
      <c r="C182" s="98">
        <f t="shared" si="2"/>
        <v>-0.53689822199407178</v>
      </c>
      <c r="D182" s="98">
        <v>-1.0653188778737182</v>
      </c>
    </row>
    <row r="183" spans="1:4">
      <c r="A183">
        <v>155</v>
      </c>
      <c r="B183" s="98">
        <v>0.99957090616226196</v>
      </c>
      <c r="C183" s="98">
        <f t="shared" si="2"/>
        <v>3.3333116100729825</v>
      </c>
      <c r="D183" s="98">
        <v>0.15859125917029041</v>
      </c>
    </row>
    <row r="184" spans="1:4">
      <c r="A184">
        <v>156</v>
      </c>
      <c r="B184" s="98">
        <v>0.68357241153717041</v>
      </c>
      <c r="C184" s="98">
        <f t="shared" si="2"/>
        <v>0.47771203545199326</v>
      </c>
      <c r="D184" s="98">
        <v>-0.44414473742053751</v>
      </c>
    </row>
    <row r="185" spans="1:4">
      <c r="A185">
        <v>157</v>
      </c>
      <c r="B185" s="98">
        <v>0.53727656602859497</v>
      </c>
      <c r="C185" s="98">
        <f t="shared" si="2"/>
        <v>9.3574876161878789E-2</v>
      </c>
      <c r="D185" s="98">
        <v>-0.81882416507259514</v>
      </c>
    </row>
    <row r="186" spans="1:4">
      <c r="A186">
        <v>158</v>
      </c>
      <c r="B186" s="98">
        <v>0.8508223295211792</v>
      </c>
      <c r="C186" s="98">
        <f t="shared" si="2"/>
        <v>1.0399667666208803</v>
      </c>
      <c r="D186" s="98">
        <v>-0.61234838248906609</v>
      </c>
    </row>
    <row r="187" spans="1:4">
      <c r="A187">
        <v>159</v>
      </c>
      <c r="B187" s="98">
        <v>0.8502240777015686</v>
      </c>
      <c r="C187" s="98">
        <f t="shared" si="2"/>
        <v>1.037394920571358</v>
      </c>
      <c r="D187" s="98">
        <v>-0.7070619008143455</v>
      </c>
    </row>
    <row r="188" spans="1:4">
      <c r="A188">
        <v>160</v>
      </c>
      <c r="B188" s="98">
        <v>0.91076099872589111</v>
      </c>
      <c r="C188" s="98">
        <f t="shared" si="2"/>
        <v>1.3454560581319031</v>
      </c>
      <c r="D188" s="98">
        <v>8.0791716407392926E-4</v>
      </c>
    </row>
    <row r="189" spans="1:4">
      <c r="A189">
        <v>161</v>
      </c>
      <c r="B189" s="98">
        <v>0.66088658571243286</v>
      </c>
      <c r="C189" s="98">
        <f t="shared" si="2"/>
        <v>0.4148839926427782</v>
      </c>
      <c r="D189" s="98">
        <v>0.77532134336665182</v>
      </c>
    </row>
    <row r="190" spans="1:4">
      <c r="A190">
        <v>162</v>
      </c>
      <c r="B190" s="98">
        <v>0.29411351680755615</v>
      </c>
      <c r="C190" s="98">
        <f t="shared" si="2"/>
        <v>-0.54140707226828988</v>
      </c>
      <c r="D190" s="98">
        <v>-0.23895358078000367</v>
      </c>
    </row>
    <row r="191" spans="1:4">
      <c r="A191">
        <v>163</v>
      </c>
      <c r="B191" s="98">
        <v>0.73958879709243774</v>
      </c>
      <c r="C191" s="98">
        <f t="shared" si="2"/>
        <v>0.64207820593905285</v>
      </c>
      <c r="D191" s="98">
        <v>-0.65784826444157274</v>
      </c>
    </row>
    <row r="192" spans="1:4">
      <c r="A192">
        <v>164</v>
      </c>
      <c r="B192" s="98">
        <v>0.91518330574035645</v>
      </c>
      <c r="C192" s="98">
        <f t="shared" si="2"/>
        <v>1.3733827532909979</v>
      </c>
      <c r="D192" s="98">
        <v>0.42464477822439828</v>
      </c>
    </row>
    <row r="193" spans="1:4">
      <c r="A193">
        <v>165</v>
      </c>
      <c r="B193" s="98">
        <v>0.17020267248153687</v>
      </c>
      <c r="C193" s="98">
        <f t="shared" si="2"/>
        <v>-0.95336465141222215</v>
      </c>
      <c r="D193" s="98">
        <v>0.51514964493219106</v>
      </c>
    </row>
    <row r="194" spans="1:4">
      <c r="A194">
        <v>166</v>
      </c>
      <c r="B194" s="98">
        <v>0.40577232837677002</v>
      </c>
      <c r="C194" s="98">
        <f t="shared" si="2"/>
        <v>-0.23843379724595304</v>
      </c>
      <c r="D194" s="98">
        <v>6.7914618760665332E-2</v>
      </c>
    </row>
    <row r="195" spans="1:4">
      <c r="A195">
        <v>167</v>
      </c>
      <c r="B195" s="98">
        <v>0.14557915925979614</v>
      </c>
      <c r="C195" s="98">
        <f t="shared" si="2"/>
        <v>-1.0555839900381063</v>
      </c>
      <c r="D195" s="98">
        <v>0.18705193179839885</v>
      </c>
    </row>
    <row r="196" spans="1:4">
      <c r="A196">
        <v>168</v>
      </c>
      <c r="B196" s="98">
        <v>0.65956246852874756</v>
      </c>
      <c r="C196" s="98">
        <f t="shared" si="2"/>
        <v>0.41126932068132294</v>
      </c>
      <c r="D196" s="98">
        <v>-1.3678729779744168</v>
      </c>
    </row>
    <row r="197" spans="1:4">
      <c r="A197">
        <v>169</v>
      </c>
      <c r="B197" s="98">
        <v>0.19109350442886353</v>
      </c>
      <c r="C197" s="98">
        <f t="shared" si="2"/>
        <v>-0.87387375486599639</v>
      </c>
      <c r="D197" s="98">
        <v>-0.33269642877800243</v>
      </c>
    </row>
    <row r="198" spans="1:4">
      <c r="A198">
        <v>170</v>
      </c>
      <c r="B198" s="98">
        <v>0.57300913333892822</v>
      </c>
      <c r="C198" s="98">
        <f t="shared" si="2"/>
        <v>0.18404043601743916</v>
      </c>
      <c r="D198" s="98">
        <v>0.47174818416578845</v>
      </c>
    </row>
    <row r="199" spans="1:4">
      <c r="A199">
        <v>171</v>
      </c>
      <c r="B199" s="98">
        <v>0.80841952562332153</v>
      </c>
      <c r="C199" s="98">
        <f t="shared" si="2"/>
        <v>0.87208694283633303</v>
      </c>
      <c r="D199" s="98">
        <v>1.0257718479154871</v>
      </c>
    </row>
    <row r="200" spans="1:4">
      <c r="A200">
        <v>172</v>
      </c>
      <c r="B200" s="98">
        <v>0.43425929546356201</v>
      </c>
      <c r="C200" s="98">
        <f t="shared" si="2"/>
        <v>-0.16554047994931514</v>
      </c>
      <c r="D200" s="98">
        <v>2.0530290581889239</v>
      </c>
    </row>
    <row r="201" spans="1:4">
      <c r="A201">
        <v>173</v>
      </c>
      <c r="B201" s="98">
        <v>0.19561630487442017</v>
      </c>
      <c r="C201" s="98">
        <f t="shared" si="2"/>
        <v>-0.85738416129105877</v>
      </c>
      <c r="D201" s="98">
        <v>1.2030333381824532</v>
      </c>
    </row>
    <row r="202" spans="1:4">
      <c r="A202">
        <v>174</v>
      </c>
      <c r="B202" s="98">
        <v>0.83321774005889893</v>
      </c>
      <c r="C202" s="98">
        <f t="shared" si="2"/>
        <v>0.96695902064333117</v>
      </c>
      <c r="D202" s="98">
        <v>-0.85994623106057977</v>
      </c>
    </row>
    <row r="203" spans="1:4">
      <c r="A203">
        <v>175</v>
      </c>
      <c r="B203" s="98">
        <v>0.64546948671340942</v>
      </c>
      <c r="C203" s="98">
        <f t="shared" si="2"/>
        <v>0.37311745695863774</v>
      </c>
      <c r="D203" s="98">
        <v>0.74104782599549845</v>
      </c>
    </row>
    <row r="204" spans="1:4">
      <c r="A204">
        <v>176</v>
      </c>
      <c r="B204" s="98">
        <v>0.80217206478118896</v>
      </c>
      <c r="C204" s="98">
        <f t="shared" si="2"/>
        <v>0.84940518241480412</v>
      </c>
      <c r="D204" s="98">
        <v>1.0279371764826386</v>
      </c>
    </row>
    <row r="205" spans="1:4">
      <c r="A205">
        <v>177</v>
      </c>
      <c r="B205" s="98">
        <v>0.12361627817153931</v>
      </c>
      <c r="C205" s="98">
        <f t="shared" si="2"/>
        <v>-1.1570974305442554</v>
      </c>
      <c r="D205" s="98">
        <v>-0.71872465082358716</v>
      </c>
    </row>
    <row r="206" spans="1:4">
      <c r="A206">
        <v>178</v>
      </c>
      <c r="B206" s="98">
        <v>0.20641767978668213</v>
      </c>
      <c r="C206" s="98">
        <f t="shared" si="2"/>
        <v>-0.81891421414864052</v>
      </c>
      <c r="D206" s="98">
        <v>1.2747991629791919</v>
      </c>
    </row>
    <row r="207" spans="1:4">
      <c r="A207">
        <v>179</v>
      </c>
      <c r="B207" s="98">
        <v>9.6670448780059814E-2</v>
      </c>
      <c r="C207" s="98">
        <f t="shared" si="2"/>
        <v>-1.3007591822726452</v>
      </c>
      <c r="D207" s="98">
        <v>-0.98074280223862764</v>
      </c>
    </row>
    <row r="208" spans="1:4">
      <c r="A208">
        <v>180</v>
      </c>
      <c r="B208" s="98">
        <v>0.38488280773162842</v>
      </c>
      <c r="C208" s="98">
        <f t="shared" si="2"/>
        <v>-0.29268149526053816</v>
      </c>
      <c r="D208" s="98">
        <v>0.28261598074025829</v>
      </c>
    </row>
    <row r="209" spans="1:4">
      <c r="A209">
        <v>181</v>
      </c>
      <c r="B209" s="98">
        <v>0.61034733057022095</v>
      </c>
      <c r="C209" s="98">
        <f t="shared" si="2"/>
        <v>0.28022441164667999</v>
      </c>
      <c r="D209" s="98">
        <v>0.4143284856904052</v>
      </c>
    </row>
    <row r="210" spans="1:4">
      <c r="A210">
        <v>182</v>
      </c>
      <c r="B210" s="98">
        <v>4.0753483772277832E-2</v>
      </c>
      <c r="C210" s="98">
        <f t="shared" si="2"/>
        <v>-1.742008439320446</v>
      </c>
      <c r="D210" s="98">
        <v>0.78575643661842698</v>
      </c>
    </row>
    <row r="211" spans="1:4">
      <c r="A211">
        <v>183</v>
      </c>
      <c r="B211" s="98">
        <v>0.61758881807327271</v>
      </c>
      <c r="C211" s="98">
        <f t="shared" si="2"/>
        <v>0.29915423824291387</v>
      </c>
      <c r="D211" s="98">
        <v>-2.0871172388087849</v>
      </c>
    </row>
    <row r="212" spans="1:4">
      <c r="A212">
        <v>184</v>
      </c>
      <c r="B212" s="98">
        <v>0.53847312927246094</v>
      </c>
      <c r="C212" s="98">
        <f t="shared" si="2"/>
        <v>9.6587804944123862E-2</v>
      </c>
      <c r="D212" s="98">
        <v>1.0035099343222431</v>
      </c>
    </row>
    <row r="213" spans="1:4">
      <c r="A213">
        <v>185</v>
      </c>
      <c r="B213" s="98">
        <v>0.76395624876022339</v>
      </c>
      <c r="C213" s="98">
        <f t="shared" si="2"/>
        <v>0.71908669843870854</v>
      </c>
      <c r="D213" s="98">
        <v>5.1883692803882824E-2</v>
      </c>
    </row>
    <row r="214" spans="1:4">
      <c r="A214">
        <v>186</v>
      </c>
      <c r="B214" s="98">
        <v>0.87854218482971191</v>
      </c>
      <c r="C214" s="98">
        <f t="shared" si="2"/>
        <v>1.1677301520930241</v>
      </c>
      <c r="D214" s="98">
        <v>-1.3312127547705599</v>
      </c>
    </row>
    <row r="215" spans="1:4">
      <c r="A215">
        <v>187</v>
      </c>
      <c r="B215" s="98">
        <v>0.36899322271347046</v>
      </c>
      <c r="C215" s="98">
        <f t="shared" si="2"/>
        <v>-0.33452100212499514</v>
      </c>
      <c r="D215" s="98">
        <v>-0.63845893463720627</v>
      </c>
    </row>
    <row r="216" spans="1:4">
      <c r="A216">
        <v>188</v>
      </c>
      <c r="B216" s="98">
        <v>0.39776849746704102</v>
      </c>
      <c r="C216" s="98">
        <f t="shared" si="2"/>
        <v>-0.25912733461551579</v>
      </c>
      <c r="D216" s="98">
        <v>0.19248966988033983</v>
      </c>
    </row>
    <row r="217" spans="1:4">
      <c r="A217">
        <v>189</v>
      </c>
      <c r="B217" s="98">
        <v>0.45608967542648315</v>
      </c>
      <c r="C217" s="98">
        <f t="shared" si="2"/>
        <v>-0.11029004649617381</v>
      </c>
      <c r="D217" s="98">
        <v>-0.46489305670676656</v>
      </c>
    </row>
    <row r="218" spans="1:4">
      <c r="A218">
        <v>190</v>
      </c>
      <c r="B218" s="98">
        <v>0.31935763359069824</v>
      </c>
      <c r="C218" s="98">
        <f t="shared" si="2"/>
        <v>-0.46949582668814555</v>
      </c>
      <c r="D218" s="98">
        <v>0.33436769179544928</v>
      </c>
    </row>
    <row r="219" spans="1:4">
      <c r="A219">
        <v>191</v>
      </c>
      <c r="B219" s="98">
        <v>0.91812890768051147</v>
      </c>
      <c r="C219" s="98">
        <f t="shared" si="2"/>
        <v>1.3925953675810696</v>
      </c>
      <c r="D219" s="98">
        <v>-0.78391957536625756</v>
      </c>
    </row>
    <row r="220" spans="1:4">
      <c r="A220">
        <v>192</v>
      </c>
      <c r="B220" s="98">
        <v>0.97296047210693359</v>
      </c>
      <c r="C220" s="98">
        <f t="shared" si="2"/>
        <v>1.9262028045267836</v>
      </c>
      <c r="D220" s="98">
        <v>1.0692521337408651</v>
      </c>
    </row>
    <row r="221" spans="1:4">
      <c r="A221">
        <v>193</v>
      </c>
      <c r="B221" s="98">
        <v>0.32865828275680542</v>
      </c>
      <c r="C221" s="98">
        <f t="shared" si="2"/>
        <v>-0.44362107578989618</v>
      </c>
      <c r="D221" s="98">
        <v>-0.22292598487646254</v>
      </c>
    </row>
    <row r="222" spans="1:4">
      <c r="A222">
        <v>194</v>
      </c>
      <c r="B222" s="98">
        <v>0.31029820442199707</v>
      </c>
      <c r="C222" s="98">
        <f t="shared" ref="C222:C285" si="3">NORMINV(B222,0,1)</f>
        <v>-0.49500525818395841</v>
      </c>
      <c r="D222" s="98">
        <v>0.30285717013297142</v>
      </c>
    </row>
    <row r="223" spans="1:4">
      <c r="A223">
        <v>195</v>
      </c>
      <c r="B223" s="98">
        <v>0.39501422643661499</v>
      </c>
      <c r="C223" s="98">
        <f t="shared" si="3"/>
        <v>-0.26627366576815797</v>
      </c>
      <c r="D223" s="98">
        <v>-0.23348200839895358</v>
      </c>
    </row>
    <row r="224" spans="1:4">
      <c r="A224">
        <v>196</v>
      </c>
      <c r="B224" s="98">
        <v>0.67078733444213867</v>
      </c>
      <c r="C224" s="98">
        <f t="shared" si="3"/>
        <v>0.44208827155867286</v>
      </c>
      <c r="D224" s="98">
        <v>7.2751287764397862E-2</v>
      </c>
    </row>
    <row r="225" spans="1:4">
      <c r="A225">
        <v>197</v>
      </c>
      <c r="B225" s="98">
        <v>0.66144722700119019</v>
      </c>
      <c r="C225" s="98">
        <f t="shared" si="3"/>
        <v>0.4164161045323313</v>
      </c>
      <c r="D225" s="98">
        <v>-9.3784287703179398E-2</v>
      </c>
    </row>
    <row r="226" spans="1:4">
      <c r="A226">
        <v>198</v>
      </c>
      <c r="B226" s="98">
        <v>0.7971646785736084</v>
      </c>
      <c r="C226" s="98">
        <f t="shared" si="3"/>
        <v>0.83153645520075992</v>
      </c>
      <c r="D226" s="98">
        <v>-0.65709363135958976</v>
      </c>
    </row>
    <row r="227" spans="1:4">
      <c r="A227">
        <v>199</v>
      </c>
      <c r="B227" s="98">
        <v>0.46224683523178101</v>
      </c>
      <c r="C227" s="98">
        <f t="shared" si="3"/>
        <v>-9.4774841517248035E-2</v>
      </c>
      <c r="D227" s="98">
        <v>0.84689478171464838</v>
      </c>
    </row>
    <row r="228" spans="1:4">
      <c r="A228">
        <v>200</v>
      </c>
      <c r="B228" s="98">
        <v>0.10111236572265625</v>
      </c>
      <c r="C228" s="98">
        <f t="shared" si="3"/>
        <v>-1.2752388014429132</v>
      </c>
      <c r="D228" s="98">
        <v>-0.85682531492655534</v>
      </c>
    </row>
    <row r="229" spans="1:4">
      <c r="A229">
        <v>201</v>
      </c>
      <c r="B229" s="98">
        <v>0.12486666440963745</v>
      </c>
      <c r="C229" s="98">
        <f t="shared" si="3"/>
        <v>-1.1509973425401236</v>
      </c>
      <c r="D229" s="98">
        <v>-1.0993054146668408</v>
      </c>
    </row>
    <row r="230" spans="1:4">
      <c r="A230">
        <v>202</v>
      </c>
      <c r="B230" s="98">
        <v>0.17888283729553223</v>
      </c>
      <c r="C230" s="98">
        <f t="shared" si="3"/>
        <v>-0.91963089795920416</v>
      </c>
      <c r="D230" s="98">
        <v>-0.98143732341721079</v>
      </c>
    </row>
    <row r="231" spans="1:4">
      <c r="A231">
        <v>203</v>
      </c>
      <c r="B231" s="98">
        <v>0.42304939031600952</v>
      </c>
      <c r="C231" s="98">
        <f t="shared" si="3"/>
        <v>-0.19409846869428066</v>
      </c>
      <c r="D231" s="98">
        <v>-0.18627645628593253</v>
      </c>
    </row>
    <row r="232" spans="1:4">
      <c r="A232">
        <v>204</v>
      </c>
      <c r="B232" s="98">
        <v>0.57692384719848633</v>
      </c>
      <c r="C232" s="98">
        <f t="shared" si="3"/>
        <v>0.19403010990686673</v>
      </c>
      <c r="D232" s="98">
        <v>-7.8861171911327188E-2</v>
      </c>
    </row>
    <row r="233" spans="1:4">
      <c r="A233">
        <v>205</v>
      </c>
      <c r="B233" s="98">
        <v>0.27995175123214722</v>
      </c>
      <c r="C233" s="98">
        <f t="shared" si="3"/>
        <v>-0.58298484487449875</v>
      </c>
      <c r="D233" s="98">
        <v>0.67228566950977142</v>
      </c>
    </row>
    <row r="234" spans="1:4">
      <c r="A234">
        <v>206</v>
      </c>
      <c r="B234" s="98">
        <v>0.80750346183776855</v>
      </c>
      <c r="C234" s="98">
        <f t="shared" si="3"/>
        <v>0.86873320259729014</v>
      </c>
      <c r="D234" s="98">
        <v>1.7901487532826887</v>
      </c>
    </row>
    <row r="235" spans="1:4">
      <c r="A235">
        <v>207</v>
      </c>
      <c r="B235" s="98">
        <v>0.72126954793930054</v>
      </c>
      <c r="C235" s="98">
        <f t="shared" si="3"/>
        <v>0.58661708715835859</v>
      </c>
      <c r="D235" s="98">
        <v>0.19231164713768628</v>
      </c>
    </row>
    <row r="236" spans="1:4">
      <c r="A236">
        <v>208</v>
      </c>
      <c r="B236" s="98">
        <v>0.94329893589019775</v>
      </c>
      <c r="C236" s="98">
        <f t="shared" si="3"/>
        <v>1.5830848411287821</v>
      </c>
      <c r="D236" s="98">
        <v>-0.70919431359368146</v>
      </c>
    </row>
    <row r="237" spans="1:4">
      <c r="A237">
        <v>209</v>
      </c>
      <c r="B237" s="98">
        <v>0.76493293046951294</v>
      </c>
      <c r="C237" s="98">
        <f t="shared" si="3"/>
        <v>0.72226081581926371</v>
      </c>
      <c r="D237" s="98">
        <v>-0.57504593339419174</v>
      </c>
    </row>
    <row r="238" spans="1:4">
      <c r="A238">
        <v>210</v>
      </c>
      <c r="B238" s="98">
        <v>0.15038955211639404</v>
      </c>
      <c r="C238" s="98">
        <f t="shared" si="3"/>
        <v>-1.0347640746443931</v>
      </c>
      <c r="D238" s="98">
        <v>-2.8572780026496631</v>
      </c>
    </row>
    <row r="239" spans="1:4">
      <c r="A239">
        <v>211</v>
      </c>
      <c r="B239" s="98">
        <v>0.50523334741592407</v>
      </c>
      <c r="C239" s="98">
        <f t="shared" si="3"/>
        <v>1.3118432859701042E-2</v>
      </c>
      <c r="D239" s="98">
        <v>-0.95682625011264411</v>
      </c>
    </row>
    <row r="240" spans="1:4">
      <c r="A240">
        <v>212</v>
      </c>
      <c r="B240" s="98">
        <v>0.37492477893829346</v>
      </c>
      <c r="C240" s="98">
        <f t="shared" si="3"/>
        <v>-0.31883774050293756</v>
      </c>
      <c r="D240" s="98">
        <v>-1.9531666475616625</v>
      </c>
    </row>
    <row r="241" spans="1:4">
      <c r="A241">
        <v>213</v>
      </c>
      <c r="B241" s="98">
        <v>0.11898118257522583</v>
      </c>
      <c r="C241" s="98">
        <f t="shared" si="3"/>
        <v>-1.1800951707019742</v>
      </c>
      <c r="D241" s="98">
        <v>-0.43620038639476005</v>
      </c>
    </row>
    <row r="242" spans="1:4">
      <c r="A242">
        <v>214</v>
      </c>
      <c r="B242" s="98">
        <v>0.45403480529785156</v>
      </c>
      <c r="C242" s="98">
        <f t="shared" si="3"/>
        <v>-0.11547376910916177</v>
      </c>
      <c r="D242" s="98">
        <v>-5.9994788324712882E-2</v>
      </c>
    </row>
    <row r="243" spans="1:4">
      <c r="A243">
        <v>215</v>
      </c>
      <c r="B243" s="98">
        <v>0.36492747068405151</v>
      </c>
      <c r="C243" s="98">
        <f t="shared" si="3"/>
        <v>-0.34531849833589118</v>
      </c>
      <c r="D243" s="98">
        <v>0.44584672946335674</v>
      </c>
    </row>
    <row r="244" spans="1:4">
      <c r="A244">
        <v>216</v>
      </c>
      <c r="B244" s="98">
        <v>0.49216294288635254</v>
      </c>
      <c r="C244" s="98">
        <f t="shared" si="3"/>
        <v>-1.9645852628466368E-2</v>
      </c>
      <c r="D244" s="98">
        <v>0.92579839148380139</v>
      </c>
    </row>
    <row r="245" spans="1:4">
      <c r="A245">
        <v>217</v>
      </c>
      <c r="B245" s="98">
        <v>0.68828719854354858</v>
      </c>
      <c r="C245" s="98">
        <f t="shared" si="3"/>
        <v>0.49100119421088712</v>
      </c>
      <c r="D245" s="98">
        <v>1.5522837731830454</v>
      </c>
    </row>
    <row r="246" spans="1:4">
      <c r="A246">
        <v>218</v>
      </c>
      <c r="B246" s="98">
        <v>0.80417490005493164</v>
      </c>
      <c r="C246" s="98">
        <f t="shared" si="3"/>
        <v>0.85662855403714744</v>
      </c>
      <c r="D246" s="98">
        <v>-1.3321675084224869</v>
      </c>
    </row>
    <row r="247" spans="1:4">
      <c r="A247">
        <v>219</v>
      </c>
      <c r="B247" s="98">
        <v>0.20952671766281128</v>
      </c>
      <c r="C247" s="98">
        <f t="shared" si="3"/>
        <v>-0.8080645298235879</v>
      </c>
      <c r="D247" s="98">
        <v>-1.3259985377667449</v>
      </c>
    </row>
    <row r="248" spans="1:4">
      <c r="A248">
        <v>220</v>
      </c>
      <c r="B248" s="98">
        <v>0.81161785125732422</v>
      </c>
      <c r="C248" s="98">
        <f t="shared" si="3"/>
        <v>0.88387388232694519</v>
      </c>
      <c r="D248" s="98">
        <v>-2.1526628493552193</v>
      </c>
    </row>
    <row r="249" spans="1:4">
      <c r="A249">
        <v>221</v>
      </c>
      <c r="B249" s="98">
        <v>0.41034239530563354</v>
      </c>
      <c r="C249" s="98">
        <f t="shared" si="3"/>
        <v>-0.22666429803293045</v>
      </c>
      <c r="D249" s="98">
        <v>-1.1441665216985695</v>
      </c>
    </row>
    <row r="250" spans="1:4">
      <c r="A250">
        <v>222</v>
      </c>
      <c r="B250" s="98">
        <v>0.6946709156036377</v>
      </c>
      <c r="C250" s="98">
        <f t="shared" si="3"/>
        <v>0.50913418898561125</v>
      </c>
      <c r="D250" s="98">
        <v>-0.41775330436459845</v>
      </c>
    </row>
    <row r="251" spans="1:4">
      <c r="A251">
        <v>223</v>
      </c>
      <c r="B251" s="98">
        <v>0.65205234289169312</v>
      </c>
      <c r="C251" s="98">
        <f t="shared" si="3"/>
        <v>0.39086731569609096</v>
      </c>
      <c r="D251" s="98">
        <v>-0.13718147388656313</v>
      </c>
    </row>
    <row r="252" spans="1:4">
      <c r="A252">
        <v>224</v>
      </c>
      <c r="B252" s="98">
        <v>0.5081019401550293</v>
      </c>
      <c r="C252" s="98">
        <f t="shared" si="3"/>
        <v>2.0309948474246286E-2</v>
      </c>
      <c r="D252" s="98">
        <v>-4.5733459754682244E-2</v>
      </c>
    </row>
    <row r="253" spans="1:4">
      <c r="A253">
        <v>225</v>
      </c>
      <c r="B253" s="98">
        <v>0.37215965986251831</v>
      </c>
      <c r="C253" s="98">
        <f t="shared" si="3"/>
        <v>-0.32613882990198462</v>
      </c>
      <c r="D253" s="98">
        <v>2.1564762140649347</v>
      </c>
    </row>
    <row r="254" spans="1:4">
      <c r="A254">
        <v>226</v>
      </c>
      <c r="B254" s="98">
        <v>0.57277274131774902</v>
      </c>
      <c r="C254" s="98">
        <f t="shared" si="3"/>
        <v>0.18343780197761647</v>
      </c>
      <c r="D254" s="98">
        <v>-0.61776630889197459</v>
      </c>
    </row>
    <row r="255" spans="1:4">
      <c r="A255">
        <v>227</v>
      </c>
      <c r="B255" s="98">
        <v>0.17057889699935913</v>
      </c>
      <c r="C255" s="98">
        <f t="shared" si="3"/>
        <v>-0.9518800979263452</v>
      </c>
      <c r="D255" s="98">
        <v>0.10039128971030796</v>
      </c>
    </row>
    <row r="256" spans="1:4">
      <c r="A256">
        <v>228</v>
      </c>
      <c r="B256" s="98">
        <v>0.12849044799804688</v>
      </c>
      <c r="C256" s="98">
        <f t="shared" si="3"/>
        <v>-1.1335558628635078</v>
      </c>
      <c r="D256" s="98">
        <v>-1.7104684161674073</v>
      </c>
    </row>
    <row r="257" spans="1:4">
      <c r="A257">
        <v>229</v>
      </c>
      <c r="B257" s="98">
        <v>0.89038866758346558</v>
      </c>
      <c r="C257" s="98">
        <f t="shared" si="3"/>
        <v>1.2285977358068947</v>
      </c>
      <c r="D257" s="98">
        <v>-2.1508463105895039</v>
      </c>
    </row>
    <row r="258" spans="1:4">
      <c r="A258">
        <v>230</v>
      </c>
      <c r="B258" s="98">
        <v>0.84963250160217285</v>
      </c>
      <c r="C258" s="98">
        <f t="shared" si="3"/>
        <v>1.0348585025807049</v>
      </c>
      <c r="D258" s="98">
        <v>-1.7577221945021566</v>
      </c>
    </row>
    <row r="259" spans="1:4">
      <c r="A259">
        <v>231</v>
      </c>
      <c r="B259" s="98">
        <v>7.0956647396087646E-2</v>
      </c>
      <c r="C259" s="98">
        <f t="shared" si="3"/>
        <v>-1.4687032529010686</v>
      </c>
      <c r="D259" s="98">
        <v>1.1718290977136692</v>
      </c>
    </row>
    <row r="260" spans="1:4">
      <c r="A260">
        <v>232</v>
      </c>
      <c r="B260" s="98">
        <v>3.9157986640930176E-2</v>
      </c>
      <c r="C260" s="98">
        <f t="shared" si="3"/>
        <v>-1.7605418792113119</v>
      </c>
      <c r="D260" s="98">
        <v>1.5980790630295973</v>
      </c>
    </row>
    <row r="261" spans="1:4">
      <c r="A261">
        <v>233</v>
      </c>
      <c r="B261" s="98">
        <v>0.53546124696731567</v>
      </c>
      <c r="C261" s="98">
        <f t="shared" si="3"/>
        <v>8.9005541570680843E-2</v>
      </c>
      <c r="D261" s="98">
        <v>4.4893744862497236E-3</v>
      </c>
    </row>
    <row r="262" spans="1:4">
      <c r="A262">
        <v>234</v>
      </c>
      <c r="B262" s="98">
        <v>0.63958203792572021</v>
      </c>
      <c r="C262" s="98">
        <f t="shared" si="3"/>
        <v>0.35734182252550961</v>
      </c>
      <c r="D262" s="98">
        <v>0.82341749800523467</v>
      </c>
    </row>
    <row r="263" spans="1:4">
      <c r="A263">
        <v>235</v>
      </c>
      <c r="B263" s="98">
        <v>0.74419885873794556</v>
      </c>
      <c r="C263" s="98">
        <f t="shared" si="3"/>
        <v>0.65634482481906864</v>
      </c>
      <c r="D263" s="98">
        <v>-0.46603259562095639</v>
      </c>
    </row>
    <row r="264" spans="1:4">
      <c r="A264">
        <v>236</v>
      </c>
      <c r="B264" s="98">
        <v>0.69287550449371338</v>
      </c>
      <c r="C264" s="98">
        <f t="shared" si="3"/>
        <v>0.50401762587907417</v>
      </c>
      <c r="D264" s="98">
        <v>0.26633205334204357</v>
      </c>
    </row>
    <row r="265" spans="1:4">
      <c r="A265">
        <v>237</v>
      </c>
      <c r="B265" s="98">
        <v>0.39510947465896606</v>
      </c>
      <c r="C265" s="98">
        <f t="shared" si="3"/>
        <v>-0.26602630625581458</v>
      </c>
      <c r="D265" s="98">
        <v>0.36208639263375575</v>
      </c>
    </row>
    <row r="266" spans="1:4">
      <c r="A266">
        <v>238</v>
      </c>
      <c r="B266" s="98">
        <v>0.42859029769897461</v>
      </c>
      <c r="C266" s="98">
        <f t="shared" si="3"/>
        <v>-0.17996429953913334</v>
      </c>
      <c r="D266" s="98">
        <v>-0.15066662773623543</v>
      </c>
    </row>
    <row r="267" spans="1:4">
      <c r="A267">
        <v>239</v>
      </c>
      <c r="B267" s="98">
        <v>9.7022712230682373E-2</v>
      </c>
      <c r="C267" s="98">
        <f t="shared" si="3"/>
        <v>-1.2987043098312219</v>
      </c>
      <c r="D267" s="98">
        <v>2.2202759558668186</v>
      </c>
    </row>
    <row r="268" spans="1:4">
      <c r="A268">
        <v>240</v>
      </c>
      <c r="B268" s="98">
        <v>0.48366868495941162</v>
      </c>
      <c r="C268" s="98">
        <f t="shared" si="3"/>
        <v>-4.0947976328040044E-2</v>
      </c>
      <c r="D268" s="98">
        <v>-0.92164078977127983</v>
      </c>
    </row>
    <row r="269" spans="1:4">
      <c r="A269">
        <v>241</v>
      </c>
      <c r="B269" s="98">
        <v>0.88479048013687134</v>
      </c>
      <c r="C269" s="98">
        <f t="shared" si="3"/>
        <v>1.1992801272066935</v>
      </c>
      <c r="D269" s="98">
        <v>0.30319832806067382</v>
      </c>
    </row>
    <row r="270" spans="1:4">
      <c r="A270">
        <v>242</v>
      </c>
      <c r="B270" s="98">
        <v>0.39592516422271729</v>
      </c>
      <c r="C270" s="98">
        <f t="shared" si="3"/>
        <v>-0.26390862624901096</v>
      </c>
      <c r="D270" s="98">
        <v>-0.76418035100452419</v>
      </c>
    </row>
    <row r="271" spans="1:4">
      <c r="A271">
        <v>243</v>
      </c>
      <c r="B271" s="98">
        <v>0.78693705797195435</v>
      </c>
      <c r="C271" s="98">
        <f t="shared" si="3"/>
        <v>0.79583854628687967</v>
      </c>
      <c r="D271" s="98">
        <v>-1.8091703970421569</v>
      </c>
    </row>
    <row r="272" spans="1:4">
      <c r="A272">
        <v>244</v>
      </c>
      <c r="B272" s="98">
        <v>0.78577029705047607</v>
      </c>
      <c r="C272" s="98">
        <f t="shared" si="3"/>
        <v>0.79183068823519609</v>
      </c>
      <c r="D272" s="98">
        <v>-0.18879084159984483</v>
      </c>
    </row>
    <row r="273" spans="1:4">
      <c r="A273">
        <v>245</v>
      </c>
      <c r="B273" s="98">
        <v>0.36959892511367798</v>
      </c>
      <c r="C273" s="98">
        <f t="shared" si="3"/>
        <v>-0.33291578968339552</v>
      </c>
      <c r="D273" s="98">
        <v>1.6237548490152312E-2</v>
      </c>
    </row>
    <row r="274" spans="1:4">
      <c r="A274">
        <v>246</v>
      </c>
      <c r="B274" s="98">
        <v>0.62592136859893799</v>
      </c>
      <c r="C274" s="98">
        <f t="shared" si="3"/>
        <v>0.32107010745407316</v>
      </c>
      <c r="D274" s="98">
        <v>-0.28404831987763873</v>
      </c>
    </row>
    <row r="275" spans="1:4">
      <c r="A275">
        <v>247</v>
      </c>
      <c r="B275" s="98">
        <v>0.77712422609329224</v>
      </c>
      <c r="C275" s="98">
        <f t="shared" si="3"/>
        <v>0.7625169213159021</v>
      </c>
      <c r="D275" s="98">
        <v>0.35542393462062938</v>
      </c>
    </row>
    <row r="276" spans="1:4">
      <c r="A276">
        <v>248</v>
      </c>
      <c r="B276" s="98">
        <v>0.95647847652435303</v>
      </c>
      <c r="C276" s="98">
        <f t="shared" si="3"/>
        <v>1.7112062412347764</v>
      </c>
      <c r="D276" s="98">
        <v>-0.48163259178305168</v>
      </c>
    </row>
    <row r="277" spans="1:4">
      <c r="A277">
        <v>249</v>
      </c>
      <c r="B277" s="98">
        <v>0.95171266794204712</v>
      </c>
      <c r="C277" s="98">
        <f t="shared" si="3"/>
        <v>1.6616914112091965</v>
      </c>
      <c r="D277" s="98">
        <v>-1.7482002835024304</v>
      </c>
    </row>
    <row r="278" spans="1:4">
      <c r="A278">
        <v>250</v>
      </c>
      <c r="B278" s="98">
        <v>0.31830143928527832</v>
      </c>
      <c r="C278" s="98">
        <f t="shared" si="3"/>
        <v>-0.47245384523599254</v>
      </c>
      <c r="D278" s="98">
        <v>-0.29955327694152428</v>
      </c>
    </row>
    <row r="279" spans="1:4">
      <c r="A279">
        <v>251</v>
      </c>
      <c r="B279" s="98">
        <v>0.19131702184677124</v>
      </c>
      <c r="C279" s="98">
        <f t="shared" si="3"/>
        <v>-0.87305326862895416</v>
      </c>
      <c r="D279" s="98">
        <v>-1.2531284069637487</v>
      </c>
    </row>
    <row r="280" spans="1:4">
      <c r="A280">
        <v>252</v>
      </c>
      <c r="B280" s="98">
        <v>0.72529935836791992</v>
      </c>
      <c r="C280" s="98">
        <f t="shared" si="3"/>
        <v>0.59865753068473171</v>
      </c>
      <c r="D280" s="98">
        <v>0.30879776189418068</v>
      </c>
    </row>
    <row r="281" spans="1:4">
      <c r="A281">
        <v>253</v>
      </c>
      <c r="B281" s="98">
        <v>0.94322365522384644</v>
      </c>
      <c r="C281" s="98">
        <f t="shared" si="3"/>
        <v>1.5824245254337528</v>
      </c>
      <c r="D281" s="98">
        <v>-1.4466630668016736</v>
      </c>
    </row>
    <row r="282" spans="1:4">
      <c r="A282">
        <v>254</v>
      </c>
      <c r="B282" s="98">
        <v>0.11888861656188965</v>
      </c>
      <c r="C282" s="98">
        <f t="shared" si="3"/>
        <v>-1.1805608269374217</v>
      </c>
      <c r="D282" s="98">
        <v>0.64038990026377018</v>
      </c>
    </row>
    <row r="283" spans="1:4">
      <c r="A283">
        <v>255</v>
      </c>
      <c r="B283" s="98">
        <v>0.56738752126693726</v>
      </c>
      <c r="C283" s="98">
        <f t="shared" si="3"/>
        <v>0.1697268496394414</v>
      </c>
      <c r="D283" s="98">
        <v>-1.4921001935577338</v>
      </c>
    </row>
    <row r="284" spans="1:4">
      <c r="A284">
        <v>256</v>
      </c>
      <c r="B284" s="98">
        <v>0.5670013427734375</v>
      </c>
      <c r="C284" s="98">
        <f t="shared" si="3"/>
        <v>0.16874488171696039</v>
      </c>
      <c r="D284" s="98">
        <v>-0.18796467021604596</v>
      </c>
    </row>
    <row r="285" spans="1:4">
      <c r="A285">
        <v>257</v>
      </c>
      <c r="B285" s="98">
        <v>0.4225122332572937</v>
      </c>
      <c r="C285" s="98">
        <f t="shared" si="3"/>
        <v>-0.19547070860186236</v>
      </c>
      <c r="D285" s="98">
        <v>-1.9375522151812496</v>
      </c>
    </row>
    <row r="286" spans="1:4">
      <c r="A286">
        <v>258</v>
      </c>
      <c r="B286" s="98">
        <v>0.82213997840881348</v>
      </c>
      <c r="C286" s="98">
        <f t="shared" ref="C286:C349" si="4">NORMINV(B286,0,1)</f>
        <v>0.92355117752355431</v>
      </c>
      <c r="D286" s="98">
        <v>9.4216440617390235E-3</v>
      </c>
    </row>
    <row r="287" spans="1:4">
      <c r="A287">
        <v>259</v>
      </c>
      <c r="B287" s="98">
        <v>0.81359046697616577</v>
      </c>
      <c r="C287" s="98">
        <f t="shared" si="4"/>
        <v>0.89120525443726772</v>
      </c>
      <c r="D287" s="98">
        <v>0.8118503153244071</v>
      </c>
    </row>
    <row r="288" spans="1:4">
      <c r="A288">
        <v>260</v>
      </c>
      <c r="B288" s="98">
        <v>8.7002277374267578E-2</v>
      </c>
      <c r="C288" s="98">
        <f t="shared" si="4"/>
        <v>-1.3594483627861182</v>
      </c>
      <c r="D288" s="98">
        <v>0.17264854754215342</v>
      </c>
    </row>
    <row r="289" spans="1:4">
      <c r="A289">
        <v>261</v>
      </c>
      <c r="B289" s="98">
        <v>0.69502896070480347</v>
      </c>
      <c r="C289" s="98">
        <f t="shared" si="4"/>
        <v>0.51015613773390067</v>
      </c>
      <c r="D289" s="98">
        <v>-0.49909362157540488</v>
      </c>
    </row>
    <row r="290" spans="1:4">
      <c r="A290">
        <v>262</v>
      </c>
      <c r="B290" s="98">
        <v>3.0106306076049805E-2</v>
      </c>
      <c r="C290" s="98">
        <f t="shared" si="4"/>
        <v>-1.8792335377369735</v>
      </c>
      <c r="D290" s="98">
        <v>-2.8464389067357629</v>
      </c>
    </row>
    <row r="291" spans="1:4">
      <c r="A291">
        <v>263</v>
      </c>
      <c r="B291" s="98">
        <v>0.62377351522445679</v>
      </c>
      <c r="C291" s="98">
        <f t="shared" si="4"/>
        <v>0.31540658257034138</v>
      </c>
      <c r="D291" s="98">
        <v>0.58736580474440769</v>
      </c>
    </row>
    <row r="292" spans="1:4">
      <c r="A292">
        <v>264</v>
      </c>
      <c r="B292" s="98">
        <v>5.1415443420410156E-2</v>
      </c>
      <c r="C292" s="98">
        <f t="shared" si="4"/>
        <v>-1.6312817290151933</v>
      </c>
      <c r="D292" s="98">
        <v>-1.0090581841580069</v>
      </c>
    </row>
    <row r="293" spans="1:4">
      <c r="A293">
        <v>265</v>
      </c>
      <c r="B293" s="98">
        <v>0.96243399381637573</v>
      </c>
      <c r="C293" s="98">
        <f t="shared" si="4"/>
        <v>1.7796576065295091</v>
      </c>
      <c r="D293" s="98">
        <v>0.78347934749708081</v>
      </c>
    </row>
    <row r="294" spans="1:4">
      <c r="A294">
        <v>266</v>
      </c>
      <c r="B294" s="98">
        <v>0.79796338081359863</v>
      </c>
      <c r="C294" s="98">
        <f t="shared" si="4"/>
        <v>0.83436871971532189</v>
      </c>
      <c r="D294" s="98">
        <v>-1.0036604082865173</v>
      </c>
    </row>
    <row r="295" spans="1:4">
      <c r="A295">
        <v>267</v>
      </c>
      <c r="B295" s="98">
        <v>0.3324093222618103</v>
      </c>
      <c r="C295" s="98">
        <f t="shared" si="4"/>
        <v>-0.43326998004940281</v>
      </c>
      <c r="D295" s="98">
        <v>0.48201169975593083</v>
      </c>
    </row>
    <row r="296" spans="1:4">
      <c r="A296">
        <v>268</v>
      </c>
      <c r="B296" s="98">
        <v>0.17510330677032471</v>
      </c>
      <c r="C296" s="98">
        <f t="shared" si="4"/>
        <v>-0.93418860318122565</v>
      </c>
      <c r="D296" s="98">
        <v>-0.20536998595737935</v>
      </c>
    </row>
    <row r="297" spans="1:4">
      <c r="A297">
        <v>269</v>
      </c>
      <c r="B297" s="98">
        <v>0.72625809907913208</v>
      </c>
      <c r="C297" s="98">
        <f t="shared" si="4"/>
        <v>0.6015348580364126</v>
      </c>
      <c r="D297" s="98">
        <v>-1.0406779057600255</v>
      </c>
    </row>
    <row r="298" spans="1:4">
      <c r="A298">
        <v>270</v>
      </c>
      <c r="B298" s="98">
        <v>0.99880921840667725</v>
      </c>
      <c r="C298" s="98">
        <f t="shared" si="4"/>
        <v>3.0379970086858372</v>
      </c>
      <c r="D298" s="98">
        <v>-0.24284546527188536</v>
      </c>
    </row>
    <row r="299" spans="1:4">
      <c r="A299">
        <v>271</v>
      </c>
      <c r="B299" s="98">
        <v>0.15577512979507446</v>
      </c>
      <c r="C299" s="98">
        <f t="shared" si="4"/>
        <v>-1.0119744715980048</v>
      </c>
      <c r="D299" s="98">
        <v>-0.5812746770381616</v>
      </c>
    </row>
    <row r="300" spans="1:4">
      <c r="A300">
        <v>272</v>
      </c>
      <c r="B300" s="98">
        <v>0.95043337345123291</v>
      </c>
      <c r="C300" s="98">
        <f t="shared" si="4"/>
        <v>1.6490702036547542</v>
      </c>
      <c r="D300" s="98">
        <v>-1.4106840349690277</v>
      </c>
    </row>
    <row r="301" spans="1:4">
      <c r="A301">
        <v>273</v>
      </c>
      <c r="B301" s="98">
        <v>0.25231868028640747</v>
      </c>
      <c r="C301" s="98">
        <f t="shared" si="4"/>
        <v>-0.66721100819928947</v>
      </c>
      <c r="D301" s="98">
        <v>-2.2290977708888272E-4</v>
      </c>
    </row>
    <row r="302" spans="1:4">
      <c r="A302">
        <v>274</v>
      </c>
      <c r="B302" s="98">
        <v>0.7790602445602417</v>
      </c>
      <c r="C302" s="98">
        <f t="shared" si="4"/>
        <v>0.76902324579532344</v>
      </c>
      <c r="D302" s="98">
        <v>0.33637130736649262</v>
      </c>
    </row>
    <row r="303" spans="1:4">
      <c r="A303">
        <v>275</v>
      </c>
      <c r="B303" s="98">
        <v>0.8311353325843811</v>
      </c>
      <c r="C303" s="98">
        <f t="shared" si="4"/>
        <v>0.95866143014089511</v>
      </c>
      <c r="D303" s="98">
        <v>-0.3380853540488214</v>
      </c>
    </row>
    <row r="304" spans="1:4">
      <c r="A304">
        <v>276</v>
      </c>
      <c r="B304" s="98">
        <v>0.30951189994812012</v>
      </c>
      <c r="C304" s="98">
        <f t="shared" si="4"/>
        <v>-0.49723435152538886</v>
      </c>
      <c r="D304" s="98">
        <v>-1.2198181793488121</v>
      </c>
    </row>
    <row r="305" spans="1:4">
      <c r="A305">
        <v>277</v>
      </c>
      <c r="B305" s="98">
        <v>0.30313485860824585</v>
      </c>
      <c r="C305" s="98">
        <f t="shared" si="4"/>
        <v>-0.51540546093522399</v>
      </c>
      <c r="D305" s="98">
        <v>-0.74412501478643289</v>
      </c>
    </row>
    <row r="306" spans="1:4">
      <c r="A306">
        <v>278</v>
      </c>
      <c r="B306" s="98">
        <v>0.78483104705810547</v>
      </c>
      <c r="C306" s="98">
        <f t="shared" si="4"/>
        <v>0.78861355522529997</v>
      </c>
      <c r="D306" s="98">
        <v>0.22279367624524904</v>
      </c>
    </row>
    <row r="307" spans="1:4">
      <c r="A307">
        <v>279</v>
      </c>
      <c r="B307" s="98">
        <v>0.68601530790328979</v>
      </c>
      <c r="C307" s="98">
        <f t="shared" si="4"/>
        <v>0.48458693361299532</v>
      </c>
      <c r="D307" s="98">
        <v>1.3408976821828973</v>
      </c>
    </row>
    <row r="308" spans="1:4">
      <c r="A308">
        <v>280</v>
      </c>
      <c r="B308" s="98">
        <v>0.43118977546691895</v>
      </c>
      <c r="C308" s="98">
        <f t="shared" si="4"/>
        <v>-0.17334589470420156</v>
      </c>
      <c r="D308" s="98">
        <v>-0.62048022155599558</v>
      </c>
    </row>
    <row r="309" spans="1:4">
      <c r="A309">
        <v>281</v>
      </c>
      <c r="B309" s="98">
        <v>0.26280826330184937</v>
      </c>
      <c r="C309" s="98">
        <f t="shared" si="4"/>
        <v>-0.63471160019446415</v>
      </c>
      <c r="D309" s="98">
        <v>1.4876691645248385</v>
      </c>
    </row>
    <row r="310" spans="1:4">
      <c r="A310">
        <v>282</v>
      </c>
      <c r="B310" s="98">
        <v>0.57237958908081055</v>
      </c>
      <c r="C310" s="98">
        <f t="shared" si="4"/>
        <v>0.18243568661430856</v>
      </c>
      <c r="D310" s="98">
        <v>0.6656488001776184</v>
      </c>
    </row>
    <row r="311" spans="1:4">
      <c r="A311">
        <v>283</v>
      </c>
      <c r="B311" s="98">
        <v>0.62463921308517456</v>
      </c>
      <c r="C311" s="98">
        <f t="shared" si="4"/>
        <v>0.31768805379480552</v>
      </c>
      <c r="D311" s="98">
        <v>0.28301750860777175</v>
      </c>
    </row>
    <row r="312" spans="1:4">
      <c r="A312">
        <v>284</v>
      </c>
      <c r="B312" s="98">
        <v>0.68551230430603027</v>
      </c>
      <c r="C312" s="98">
        <f t="shared" si="4"/>
        <v>0.48316949747398835</v>
      </c>
      <c r="D312" s="98">
        <v>1.6285419661805851</v>
      </c>
    </row>
    <row r="313" spans="1:4">
      <c r="A313">
        <v>285</v>
      </c>
      <c r="B313" s="98">
        <v>0.90267270803451538</v>
      </c>
      <c r="C313" s="98">
        <f t="shared" si="4"/>
        <v>1.2969320028877067</v>
      </c>
      <c r="D313" s="98">
        <v>1.2106811390115749E-2</v>
      </c>
    </row>
    <row r="314" spans="1:4">
      <c r="A314">
        <v>286</v>
      </c>
      <c r="B314" s="98">
        <v>0.11526072025299072</v>
      </c>
      <c r="C314" s="98">
        <f t="shared" si="4"/>
        <v>-1.1990167297443042</v>
      </c>
      <c r="D314" s="98">
        <v>3.423553146733576E-2</v>
      </c>
    </row>
    <row r="315" spans="1:4">
      <c r="A315">
        <v>287</v>
      </c>
      <c r="B315" s="98">
        <v>0.69728976488113403</v>
      </c>
      <c r="C315" s="98">
        <f t="shared" si="4"/>
        <v>0.51662140538525492</v>
      </c>
      <c r="D315" s="98">
        <v>-0.27921427321105069</v>
      </c>
    </row>
    <row r="316" spans="1:4">
      <c r="A316">
        <v>288</v>
      </c>
      <c r="B316" s="98">
        <v>0.66913783550262451</v>
      </c>
      <c r="C316" s="98">
        <f t="shared" si="4"/>
        <v>0.43753371736280766</v>
      </c>
      <c r="D316" s="98">
        <v>0.72887395451293691</v>
      </c>
    </row>
    <row r="317" spans="1:4">
      <c r="A317">
        <v>289</v>
      </c>
      <c r="B317" s="98">
        <v>0.25660568475723267</v>
      </c>
      <c r="C317" s="98">
        <f t="shared" si="4"/>
        <v>-0.65384546842040436</v>
      </c>
      <c r="D317" s="98">
        <v>-1.2185636802435662</v>
      </c>
    </row>
    <row r="318" spans="1:4">
      <c r="A318">
        <v>290</v>
      </c>
      <c r="B318" s="98">
        <v>0.17087948322296143</v>
      </c>
      <c r="C318" s="98">
        <f t="shared" si="4"/>
        <v>-0.95069551334251456</v>
      </c>
      <c r="D318" s="98">
        <v>0.80700084752110612</v>
      </c>
    </row>
    <row r="319" spans="1:4">
      <c r="A319">
        <v>291</v>
      </c>
      <c r="B319" s="98">
        <v>0.64810925722122192</v>
      </c>
      <c r="C319" s="98">
        <f t="shared" si="4"/>
        <v>0.38022084704391285</v>
      </c>
      <c r="D319" s="98">
        <v>0.21275945805587981</v>
      </c>
    </row>
    <row r="320" spans="1:4">
      <c r="A320">
        <v>292</v>
      </c>
      <c r="B320" s="98">
        <v>0.46527326107025146</v>
      </c>
      <c r="C320" s="98">
        <f t="shared" si="4"/>
        <v>-8.7157246741819489E-2</v>
      </c>
      <c r="D320" s="98">
        <v>-0.63941270803650629</v>
      </c>
    </row>
    <row r="321" spans="1:4">
      <c r="A321">
        <v>293</v>
      </c>
      <c r="B321" s="98">
        <v>0.39993768930435181</v>
      </c>
      <c r="C321" s="98">
        <f t="shared" si="4"/>
        <v>-0.25350838998252362</v>
      </c>
      <c r="D321" s="98">
        <v>-1.5379289822728022</v>
      </c>
    </row>
    <row r="322" spans="1:4">
      <c r="A322">
        <v>294</v>
      </c>
      <c r="B322" s="98">
        <v>0.24923062324523926</v>
      </c>
      <c r="C322" s="98">
        <f t="shared" si="4"/>
        <v>-0.67691285644377719</v>
      </c>
      <c r="D322" s="98">
        <v>0.23480327270679122</v>
      </c>
    </row>
    <row r="323" spans="1:4">
      <c r="A323">
        <v>295</v>
      </c>
      <c r="B323" s="98">
        <v>0.88876384496688843</v>
      </c>
      <c r="C323" s="98">
        <f t="shared" si="4"/>
        <v>1.2199803868372916</v>
      </c>
      <c r="D323" s="98">
        <v>1.0006672325617354</v>
      </c>
    </row>
    <row r="324" spans="1:4">
      <c r="A324">
        <v>296</v>
      </c>
      <c r="B324" s="98">
        <v>0.18525075912475586</v>
      </c>
      <c r="C324" s="98">
        <f t="shared" si="4"/>
        <v>-0.89553433834063845</v>
      </c>
      <c r="D324" s="98">
        <v>1.5427835084799615</v>
      </c>
    </row>
    <row r="325" spans="1:4">
      <c r="A325">
        <v>297</v>
      </c>
      <c r="B325" s="98">
        <v>0.27235382795333862</v>
      </c>
      <c r="C325" s="98">
        <f t="shared" si="4"/>
        <v>-0.60570952798813937</v>
      </c>
      <c r="D325" s="98">
        <v>-0.87387591936503883</v>
      </c>
    </row>
    <row r="326" spans="1:4">
      <c r="A326">
        <v>298</v>
      </c>
      <c r="B326" s="98">
        <v>0.80463957786560059</v>
      </c>
      <c r="C326" s="98">
        <f t="shared" si="4"/>
        <v>0.85831084193697027</v>
      </c>
      <c r="D326" s="98">
        <v>-0.40872332912288345</v>
      </c>
    </row>
    <row r="327" spans="1:4">
      <c r="A327">
        <v>299</v>
      </c>
      <c r="B327" s="98">
        <v>0.93786901235580444</v>
      </c>
      <c r="C327" s="98">
        <f t="shared" si="4"/>
        <v>1.5371279680523151</v>
      </c>
      <c r="D327" s="98">
        <v>1.3195649943885279</v>
      </c>
    </row>
    <row r="328" spans="1:4">
      <c r="A328">
        <v>300</v>
      </c>
      <c r="B328" s="98">
        <v>0.91751670837402344</v>
      </c>
      <c r="C328" s="98">
        <f t="shared" si="4"/>
        <v>1.3885600150259192</v>
      </c>
      <c r="D328" s="98">
        <v>-7.9583313081861787E-3</v>
      </c>
    </row>
    <row r="329" spans="1:4">
      <c r="A329">
        <v>301</v>
      </c>
      <c r="B329" s="98">
        <v>1.7450511455535889E-2</v>
      </c>
      <c r="C329" s="98">
        <f t="shared" si="4"/>
        <v>-2.1095049069866412</v>
      </c>
      <c r="D329" s="98">
        <v>2.6896404982178708</v>
      </c>
    </row>
    <row r="330" spans="1:4">
      <c r="A330">
        <v>302</v>
      </c>
      <c r="B330" s="98">
        <v>0.39357209205627441</v>
      </c>
      <c r="C330" s="98">
        <f t="shared" si="4"/>
        <v>-0.27002088783017408</v>
      </c>
      <c r="D330" s="98">
        <v>-0.26466614324540755</v>
      </c>
    </row>
    <row r="331" spans="1:4">
      <c r="A331">
        <v>303</v>
      </c>
      <c r="B331" s="98">
        <v>0.46452850103378296</v>
      </c>
      <c r="C331" s="98">
        <f t="shared" si="4"/>
        <v>-8.9031341541890935E-2</v>
      </c>
      <c r="D331" s="98">
        <v>7.896645397694034E-2</v>
      </c>
    </row>
    <row r="332" spans="1:4">
      <c r="A332">
        <v>304</v>
      </c>
      <c r="B332" s="98">
        <v>0.55158817768096924</v>
      </c>
      <c r="C332" s="98">
        <f t="shared" si="4"/>
        <v>0.12967489636530774</v>
      </c>
      <c r="D332" s="98">
        <v>4.744128725676542E-2</v>
      </c>
    </row>
    <row r="333" spans="1:4">
      <c r="A333">
        <v>305</v>
      </c>
      <c r="B333" s="98">
        <v>0.50793629884719849</v>
      </c>
      <c r="C333" s="98">
        <f t="shared" si="4"/>
        <v>1.9894663385171065E-2</v>
      </c>
      <c r="D333" s="98">
        <v>-0.62135840645411633</v>
      </c>
    </row>
    <row r="334" spans="1:4">
      <c r="A334">
        <v>306</v>
      </c>
      <c r="B334" s="98">
        <v>0.41938686370849609</v>
      </c>
      <c r="C334" s="98">
        <f t="shared" si="4"/>
        <v>-0.2034622772032445</v>
      </c>
      <c r="D334" s="98">
        <v>0.27203731315171198</v>
      </c>
    </row>
    <row r="335" spans="1:4">
      <c r="A335">
        <v>307</v>
      </c>
      <c r="B335" s="98">
        <v>0.38000410795211792</v>
      </c>
      <c r="C335" s="98">
        <f t="shared" si="4"/>
        <v>-0.30546999916757411</v>
      </c>
      <c r="D335" s="98">
        <v>0.87573200523584183</v>
      </c>
    </row>
    <row r="336" spans="1:4">
      <c r="A336">
        <v>308</v>
      </c>
      <c r="B336" s="98">
        <v>0.28333592414855957</v>
      </c>
      <c r="C336" s="98">
        <f t="shared" si="4"/>
        <v>-0.57295989582373819</v>
      </c>
      <c r="D336" s="98">
        <v>-0.2662293693876101</v>
      </c>
    </row>
    <row r="337" spans="1:4">
      <c r="A337">
        <v>309</v>
      </c>
      <c r="B337" s="98">
        <v>0.11652606725692749</v>
      </c>
      <c r="C337" s="98">
        <f t="shared" si="4"/>
        <v>-1.192533471354867</v>
      </c>
      <c r="D337" s="98">
        <v>0.41997304931447099</v>
      </c>
    </row>
    <row r="338" spans="1:4">
      <c r="A338">
        <v>310</v>
      </c>
      <c r="B338" s="98">
        <v>0.29934263229370117</v>
      </c>
      <c r="C338" s="98">
        <f t="shared" si="4"/>
        <v>-0.52629210937939097</v>
      </c>
      <c r="D338" s="98">
        <v>0.16236929091342359</v>
      </c>
    </row>
    <row r="339" spans="1:4">
      <c r="A339">
        <v>311</v>
      </c>
      <c r="B339" s="98">
        <v>0.66640633344650269</v>
      </c>
      <c r="C339" s="98">
        <f t="shared" si="4"/>
        <v>0.43001142121756436</v>
      </c>
      <c r="D339" s="98">
        <v>0.38607736256253322</v>
      </c>
    </row>
    <row r="340" spans="1:4">
      <c r="A340">
        <v>312</v>
      </c>
      <c r="B340" s="98">
        <v>0.5226438045501709</v>
      </c>
      <c r="C340" s="98">
        <f t="shared" si="4"/>
        <v>5.6790111759483418E-2</v>
      </c>
      <c r="D340" s="98">
        <v>-0.56757177486596133</v>
      </c>
    </row>
    <row r="341" spans="1:4">
      <c r="A341">
        <v>313</v>
      </c>
      <c r="B341" s="98">
        <v>0.42643445730209351</v>
      </c>
      <c r="C341" s="98">
        <f t="shared" si="4"/>
        <v>-0.1854591543185006</v>
      </c>
      <c r="D341" s="98">
        <v>-2.3739501156640537</v>
      </c>
    </row>
    <row r="342" spans="1:4">
      <c r="A342">
        <v>314</v>
      </c>
      <c r="B342" s="98">
        <v>0.67742156982421875</v>
      </c>
      <c r="C342" s="98">
        <f t="shared" si="4"/>
        <v>0.46050071227894257</v>
      </c>
      <c r="D342" s="98">
        <v>-1.3058439955755032</v>
      </c>
    </row>
    <row r="343" spans="1:4">
      <c r="A343">
        <v>315</v>
      </c>
      <c r="B343" s="98">
        <v>0.78656405210494995</v>
      </c>
      <c r="C343" s="98">
        <f t="shared" si="4"/>
        <v>0.79455587258477567</v>
      </c>
      <c r="D343" s="98">
        <v>-0.69418749787474998</v>
      </c>
    </row>
    <row r="344" spans="1:4">
      <c r="A344">
        <v>316</v>
      </c>
      <c r="B344" s="98">
        <v>0.67242836952209473</v>
      </c>
      <c r="C344" s="98">
        <f t="shared" si="4"/>
        <v>0.44662857394854361</v>
      </c>
      <c r="D344" s="98">
        <v>-0.38445784502861474</v>
      </c>
    </row>
    <row r="345" spans="1:4">
      <c r="A345">
        <v>317</v>
      </c>
      <c r="B345" s="98">
        <v>0.58303779363632202</v>
      </c>
      <c r="C345" s="98">
        <f t="shared" si="4"/>
        <v>0.20967106191784499</v>
      </c>
      <c r="D345" s="98">
        <v>0.86461822145615119</v>
      </c>
    </row>
    <row r="346" spans="1:4">
      <c r="A346">
        <v>318</v>
      </c>
      <c r="B346" s="98">
        <v>0.36661195755004883</v>
      </c>
      <c r="C346" s="98">
        <f t="shared" si="4"/>
        <v>-0.34084016044772786</v>
      </c>
      <c r="D346" s="98">
        <v>-1.3466335415023909</v>
      </c>
    </row>
    <row r="347" spans="1:4">
      <c r="A347">
        <v>319</v>
      </c>
      <c r="B347" s="98">
        <v>0.80151242017745972</v>
      </c>
      <c r="C347" s="98">
        <f t="shared" si="4"/>
        <v>0.84703581374097447</v>
      </c>
      <c r="D347" s="98">
        <v>-1.7541474068314851</v>
      </c>
    </row>
    <row r="348" spans="1:4">
      <c r="A348">
        <v>320</v>
      </c>
      <c r="B348" s="98">
        <v>0.58474040031433105</v>
      </c>
      <c r="C348" s="98">
        <f t="shared" si="4"/>
        <v>0.21403572341973515</v>
      </c>
      <c r="D348" s="98">
        <v>-0.91958028303794637</v>
      </c>
    </row>
    <row r="349" spans="1:4">
      <c r="A349">
        <v>321</v>
      </c>
      <c r="B349" s="98">
        <v>0.53018373250961304</v>
      </c>
      <c r="C349" s="98">
        <f t="shared" si="4"/>
        <v>7.5731725730022362E-2</v>
      </c>
      <c r="D349" s="98">
        <v>-1.3965402883983555</v>
      </c>
    </row>
    <row r="350" spans="1:4">
      <c r="A350">
        <v>322</v>
      </c>
      <c r="B350" s="98">
        <v>0.38302707672119141</v>
      </c>
      <c r="C350" s="98">
        <f t="shared" ref="C350:C413" si="5">NORMINV(B350,0,1)</f>
        <v>-0.29754015839736392</v>
      </c>
      <c r="D350" s="98">
        <v>0.64465330309169766</v>
      </c>
    </row>
    <row r="351" spans="1:4">
      <c r="A351">
        <v>323</v>
      </c>
      <c r="B351" s="98">
        <v>0.16291159391403198</v>
      </c>
      <c r="C351" s="98">
        <f t="shared" si="5"/>
        <v>-0.98256172921155172</v>
      </c>
      <c r="D351" s="98">
        <v>0.86595482281249236</v>
      </c>
    </row>
    <row r="352" spans="1:4">
      <c r="A352">
        <v>324</v>
      </c>
      <c r="B352" s="98">
        <v>0.56475567817687988</v>
      </c>
      <c r="C352" s="98">
        <f t="shared" si="5"/>
        <v>0.16303783694858137</v>
      </c>
      <c r="D352" s="98">
        <v>2.7825908513102324</v>
      </c>
    </row>
    <row r="353" spans="1:4">
      <c r="A353">
        <v>325</v>
      </c>
      <c r="B353" s="98">
        <v>0.85234493017196655</v>
      </c>
      <c r="C353" s="98">
        <f t="shared" si="5"/>
        <v>1.0465435703674704</v>
      </c>
      <c r="D353" s="98">
        <v>-0.27171471955073345</v>
      </c>
    </row>
    <row r="354" spans="1:4">
      <c r="A354">
        <v>326</v>
      </c>
      <c r="B354" s="98">
        <v>0.15106308460235596</v>
      </c>
      <c r="C354" s="98">
        <f t="shared" si="5"/>
        <v>-1.0318846253282909</v>
      </c>
      <c r="D354" s="98">
        <v>-1.4413481476646683</v>
      </c>
    </row>
    <row r="355" spans="1:4">
      <c r="A355">
        <v>327</v>
      </c>
      <c r="B355" s="98">
        <v>0.80619126558303833</v>
      </c>
      <c r="C355" s="98">
        <f t="shared" si="5"/>
        <v>0.86394615786025075</v>
      </c>
      <c r="D355" s="98">
        <v>0.64353491016484976</v>
      </c>
    </row>
    <row r="356" spans="1:4">
      <c r="A356">
        <v>328</v>
      </c>
      <c r="B356" s="98">
        <v>0.2078012228012085</v>
      </c>
      <c r="C356" s="98">
        <f t="shared" si="5"/>
        <v>-0.81407419893480348</v>
      </c>
      <c r="D356" s="98">
        <v>-0.391182037935497</v>
      </c>
    </row>
    <row r="357" spans="1:4">
      <c r="A357">
        <v>329</v>
      </c>
      <c r="B357" s="98">
        <v>0.16161161661148071</v>
      </c>
      <c r="C357" s="98">
        <f t="shared" si="5"/>
        <v>-0.98785588520331047</v>
      </c>
      <c r="D357" s="98">
        <v>-0.23906500534820546</v>
      </c>
    </row>
    <row r="358" spans="1:4">
      <c r="A358">
        <v>330</v>
      </c>
      <c r="B358" s="98">
        <v>0.53503572940826416</v>
      </c>
      <c r="C358" s="98">
        <f t="shared" si="5"/>
        <v>8.7934744819369276E-2</v>
      </c>
      <c r="D358" s="98">
        <v>1.973433735889037</v>
      </c>
    </row>
    <row r="359" spans="1:4">
      <c r="A359">
        <v>331</v>
      </c>
      <c r="B359" s="98">
        <v>0.75632411241531372</v>
      </c>
      <c r="C359" s="98">
        <f t="shared" si="5"/>
        <v>0.69452699889439362</v>
      </c>
      <c r="D359" s="98">
        <v>-0.45373075920825912</v>
      </c>
    </row>
    <row r="360" spans="1:4">
      <c r="A360">
        <v>332</v>
      </c>
      <c r="B360" s="98">
        <v>0.28810107707977295</v>
      </c>
      <c r="C360" s="98">
        <f t="shared" si="5"/>
        <v>-0.55894075474264471</v>
      </c>
      <c r="D360" s="98">
        <v>-0.53549074949868547</v>
      </c>
    </row>
    <row r="361" spans="1:4">
      <c r="A361">
        <v>333</v>
      </c>
      <c r="B361" s="98">
        <v>0.18682533502578735</v>
      </c>
      <c r="C361" s="98">
        <f t="shared" si="5"/>
        <v>-0.88965591947826828</v>
      </c>
      <c r="D361" s="98">
        <v>-0.14281392838297663</v>
      </c>
    </row>
    <row r="362" spans="1:4">
      <c r="A362">
        <v>334</v>
      </c>
      <c r="B362" s="98">
        <v>0.29908955097198486</v>
      </c>
      <c r="C362" s="98">
        <f t="shared" si="5"/>
        <v>-0.52702086098629519</v>
      </c>
      <c r="D362" s="98">
        <v>-0.10744587607128893</v>
      </c>
    </row>
    <row r="363" spans="1:4">
      <c r="A363">
        <v>335</v>
      </c>
      <c r="B363" s="98">
        <v>1.9338428974151611E-2</v>
      </c>
      <c r="C363" s="98">
        <f t="shared" si="5"/>
        <v>-2.0676084383808808</v>
      </c>
      <c r="D363" s="98">
        <v>-1.2448171824314804</v>
      </c>
    </row>
    <row r="364" spans="1:4">
      <c r="A364">
        <v>336</v>
      </c>
      <c r="B364" s="98">
        <v>0.15257549285888672</v>
      </c>
      <c r="C364" s="98">
        <f t="shared" si="5"/>
        <v>-1.0254498313903104</v>
      </c>
      <c r="D364" s="98">
        <v>-0.58187292191959417</v>
      </c>
    </row>
    <row r="365" spans="1:4">
      <c r="A365">
        <v>337</v>
      </c>
      <c r="B365" s="98">
        <v>0.77809447050094604</v>
      </c>
      <c r="C365" s="98">
        <f t="shared" si="5"/>
        <v>0.76577354315515023</v>
      </c>
      <c r="D365" s="98">
        <v>0.51490862667132731</v>
      </c>
    </row>
    <row r="366" spans="1:4">
      <c r="A366">
        <v>338</v>
      </c>
      <c r="B366" s="98">
        <v>0.1247398853302002</v>
      </c>
      <c r="C366" s="98">
        <f t="shared" si="5"/>
        <v>-1.1516138909722669</v>
      </c>
      <c r="D366" s="98">
        <v>0.28611177065712556</v>
      </c>
    </row>
    <row r="367" spans="1:4">
      <c r="A367">
        <v>339</v>
      </c>
      <c r="B367" s="98">
        <v>2.4704337120056152E-3</v>
      </c>
      <c r="C367" s="98">
        <f t="shared" si="5"/>
        <v>-2.8108639440331382</v>
      </c>
      <c r="D367" s="98">
        <v>-0.88724081463808402</v>
      </c>
    </row>
    <row r="368" spans="1:4">
      <c r="A368">
        <v>340</v>
      </c>
      <c r="B368" s="98">
        <v>0.12564384937286377</v>
      </c>
      <c r="C368" s="98">
        <f t="shared" si="5"/>
        <v>-1.1472272822717045</v>
      </c>
      <c r="D368" s="98">
        <v>-0.4683147793217588</v>
      </c>
    </row>
    <row r="369" spans="1:4">
      <c r="A369">
        <v>341</v>
      </c>
      <c r="B369" s="98">
        <v>9.4020962715148926E-3</v>
      </c>
      <c r="C369" s="98">
        <f t="shared" si="5"/>
        <v>-2.3493901349323716</v>
      </c>
      <c r="D369" s="98">
        <v>0.92567793360651618</v>
      </c>
    </row>
    <row r="370" spans="1:4">
      <c r="A370">
        <v>342</v>
      </c>
      <c r="B370" s="98">
        <v>0.43790566921234131</v>
      </c>
      <c r="C370" s="98">
        <f t="shared" si="5"/>
        <v>-0.15628124574342012</v>
      </c>
      <c r="D370" s="98">
        <v>-0.27099062881081343</v>
      </c>
    </row>
    <row r="371" spans="1:4">
      <c r="A371">
        <v>343</v>
      </c>
      <c r="B371" s="98">
        <v>0.75450140237808228</v>
      </c>
      <c r="C371" s="98">
        <f t="shared" si="5"/>
        <v>0.68872364224798499</v>
      </c>
      <c r="D371" s="98">
        <v>2.3582802677108123</v>
      </c>
    </row>
    <row r="372" spans="1:4">
      <c r="A372">
        <v>344</v>
      </c>
      <c r="B372" s="98">
        <v>5.0209283828735352E-2</v>
      </c>
      <c r="C372" s="98">
        <f t="shared" si="5"/>
        <v>-1.6428277949774397</v>
      </c>
      <c r="D372" s="98">
        <v>1.0291206139572997</v>
      </c>
    </row>
    <row r="373" spans="1:4">
      <c r="A373">
        <v>345</v>
      </c>
      <c r="B373" s="98">
        <v>0.10985130071640015</v>
      </c>
      <c r="C373" s="98">
        <f t="shared" si="5"/>
        <v>-1.2273193079118567</v>
      </c>
      <c r="D373" s="98">
        <v>1.4242671615513494</v>
      </c>
    </row>
    <row r="374" spans="1:4">
      <c r="A374">
        <v>346</v>
      </c>
      <c r="B374" s="98">
        <v>0.22838222980499268</v>
      </c>
      <c r="C374" s="98">
        <f t="shared" si="5"/>
        <v>-0.74418516835717852</v>
      </c>
      <c r="D374" s="98">
        <v>-1.1392100753013266</v>
      </c>
    </row>
    <row r="375" spans="1:4">
      <c r="A375">
        <v>347</v>
      </c>
      <c r="B375" s="98">
        <v>0.98341351747512817</v>
      </c>
      <c r="C375" s="98">
        <f t="shared" si="5"/>
        <v>2.1299836279755167</v>
      </c>
      <c r="D375" s="98">
        <v>-0.40877642637451506</v>
      </c>
    </row>
    <row r="376" spans="1:4">
      <c r="A376">
        <v>348</v>
      </c>
      <c r="B376" s="98">
        <v>0.27924573421478271</v>
      </c>
      <c r="C376" s="98">
        <f t="shared" si="5"/>
        <v>-0.58508365529734108</v>
      </c>
      <c r="D376" s="98">
        <v>-0.27903439612944919</v>
      </c>
    </row>
    <row r="377" spans="1:4">
      <c r="A377">
        <v>349</v>
      </c>
      <c r="B377" s="98">
        <v>9.0832769870758057E-2</v>
      </c>
      <c r="C377" s="98">
        <f t="shared" si="5"/>
        <v>-1.3356443716471973</v>
      </c>
      <c r="D377" s="98">
        <v>-1.3586976169908491</v>
      </c>
    </row>
    <row r="378" spans="1:4">
      <c r="A378">
        <v>350</v>
      </c>
      <c r="B378" s="98">
        <v>0.81813490390777588</v>
      </c>
      <c r="C378" s="98">
        <f t="shared" si="5"/>
        <v>0.90828021634351275</v>
      </c>
      <c r="D378" s="98">
        <v>0.74394166225728464</v>
      </c>
    </row>
    <row r="379" spans="1:4">
      <c r="A379">
        <v>351</v>
      </c>
      <c r="B379" s="98">
        <v>0.53495627641677856</v>
      </c>
      <c r="C379" s="98">
        <f t="shared" si="5"/>
        <v>8.773481596924311E-2</v>
      </c>
      <c r="D379" s="98">
        <v>0.19476791408558761</v>
      </c>
    </row>
    <row r="380" spans="1:4">
      <c r="A380">
        <v>352</v>
      </c>
      <c r="B380" s="98">
        <v>0.40272796154022217</v>
      </c>
      <c r="C380" s="98">
        <f t="shared" si="5"/>
        <v>-0.24629236075740379</v>
      </c>
      <c r="D380" s="98">
        <v>-1.0573526476139608E-2</v>
      </c>
    </row>
    <row r="381" spans="1:4">
      <c r="A381">
        <v>353</v>
      </c>
      <c r="B381" s="98">
        <v>0.7052493691444397</v>
      </c>
      <c r="C381" s="98">
        <f t="shared" si="5"/>
        <v>0.53955890780411075</v>
      </c>
      <c r="D381" s="98">
        <v>0.44416388381806254</v>
      </c>
    </row>
    <row r="382" spans="1:4">
      <c r="A382">
        <v>354</v>
      </c>
      <c r="B382" s="98">
        <v>0.45496094226837158</v>
      </c>
      <c r="C382" s="98">
        <f t="shared" si="5"/>
        <v>-0.11313707189974348</v>
      </c>
      <c r="D382" s="98">
        <v>-0.10675585649435855</v>
      </c>
    </row>
    <row r="383" spans="1:4">
      <c r="A383">
        <v>355</v>
      </c>
      <c r="B383" s="98">
        <v>0.39840394258499146</v>
      </c>
      <c r="C383" s="98">
        <f t="shared" si="5"/>
        <v>-0.25748047610529734</v>
      </c>
      <c r="D383" s="98">
        <v>0.83133580916385064</v>
      </c>
    </row>
    <row r="384" spans="1:4">
      <c r="A384">
        <v>356</v>
      </c>
      <c r="B384" s="98">
        <v>0.40165269374847412</v>
      </c>
      <c r="C384" s="98">
        <f t="shared" si="5"/>
        <v>-0.24907161256555893</v>
      </c>
      <c r="D384" s="98">
        <v>1.763632696141922</v>
      </c>
    </row>
    <row r="385" spans="1:4">
      <c r="A385">
        <v>357</v>
      </c>
      <c r="B385" s="98">
        <v>0.39646345376968384</v>
      </c>
      <c r="C385" s="98">
        <f t="shared" si="5"/>
        <v>-0.26251177619298111</v>
      </c>
      <c r="D385" s="98">
        <v>-2.0408672270726846</v>
      </c>
    </row>
    <row r="386" spans="1:4">
      <c r="A386">
        <v>358</v>
      </c>
      <c r="B386" s="98">
        <v>6.5129876136779785E-2</v>
      </c>
      <c r="C386" s="98">
        <f t="shared" si="5"/>
        <v>-1.5130783734788587</v>
      </c>
      <c r="D386" s="98">
        <v>-7.1745699537710386E-2</v>
      </c>
    </row>
    <row r="387" spans="1:4">
      <c r="A387">
        <v>359</v>
      </c>
      <c r="B387" s="98">
        <v>0.29494792222976685</v>
      </c>
      <c r="C387" s="98">
        <f t="shared" si="5"/>
        <v>-0.53898697135202955</v>
      </c>
      <c r="D387" s="98">
        <v>-1.0937720260664441</v>
      </c>
    </row>
    <row r="388" spans="1:4">
      <c r="A388">
        <v>360</v>
      </c>
      <c r="B388" s="98">
        <v>0.30385196208953857</v>
      </c>
      <c r="C388" s="98">
        <f t="shared" si="5"/>
        <v>-0.51335370349033815</v>
      </c>
      <c r="D388" s="98">
        <v>-0.6423233297049864</v>
      </c>
    </row>
    <row r="389" spans="1:4">
      <c r="A389">
        <v>361</v>
      </c>
      <c r="B389" s="98">
        <v>0.58097892999649048</v>
      </c>
      <c r="C389" s="98">
        <f t="shared" si="5"/>
        <v>0.20439845170433621</v>
      </c>
      <c r="D389" s="98">
        <v>0.81449798321159528</v>
      </c>
    </row>
    <row r="390" spans="1:4">
      <c r="A390">
        <v>362</v>
      </c>
      <c r="B390" s="98">
        <v>0.90303623676300049</v>
      </c>
      <c r="C390" s="98">
        <f t="shared" si="5"/>
        <v>1.2990477972853069</v>
      </c>
      <c r="D390" s="98">
        <v>1.633928915729334</v>
      </c>
    </row>
    <row r="391" spans="1:4">
      <c r="A391">
        <v>363</v>
      </c>
      <c r="B391" s="98">
        <v>0.96140462160110474</v>
      </c>
      <c r="C391" s="98">
        <f t="shared" si="5"/>
        <v>1.7672237913890305</v>
      </c>
      <c r="D391" s="98">
        <v>0.12040443188793976</v>
      </c>
    </row>
    <row r="392" spans="1:4">
      <c r="A392">
        <v>364</v>
      </c>
      <c r="B392" s="98">
        <v>0.23439693450927734</v>
      </c>
      <c r="C392" s="98">
        <f t="shared" si="5"/>
        <v>-0.72444290230166175</v>
      </c>
      <c r="D392" s="98">
        <v>0.24660255737434086</v>
      </c>
    </row>
    <row r="393" spans="1:4">
      <c r="A393">
        <v>365</v>
      </c>
      <c r="B393" s="98">
        <v>0.13028639554977417</v>
      </c>
      <c r="C393" s="98">
        <f t="shared" si="5"/>
        <v>-1.1250383325029818</v>
      </c>
      <c r="D393" s="98">
        <v>-0.44453593619592319</v>
      </c>
    </row>
    <row r="394" spans="1:4">
      <c r="A394">
        <v>366</v>
      </c>
      <c r="B394" s="98">
        <v>0.20540165901184082</v>
      </c>
      <c r="C394" s="98">
        <f t="shared" si="5"/>
        <v>-0.82248078538370817</v>
      </c>
      <c r="D394" s="98">
        <v>0.14878809756892936</v>
      </c>
    </row>
    <row r="395" spans="1:4">
      <c r="A395">
        <v>367</v>
      </c>
      <c r="B395" s="98">
        <v>0.17064136266708374</v>
      </c>
      <c r="C395" s="98">
        <f t="shared" si="5"/>
        <v>-0.95163381615917031</v>
      </c>
      <c r="D395" s="98">
        <v>-0.22366046245142365</v>
      </c>
    </row>
    <row r="396" spans="1:4">
      <c r="A396">
        <v>368</v>
      </c>
      <c r="B396" s="98">
        <v>0.39291715621948242</v>
      </c>
      <c r="C396" s="98">
        <f t="shared" si="5"/>
        <v>-0.27172391365637172</v>
      </c>
      <c r="D396" s="98">
        <v>0.52699231934601432</v>
      </c>
    </row>
    <row r="397" spans="1:4">
      <c r="A397">
        <v>369</v>
      </c>
      <c r="B397" s="98">
        <v>0.83099526166915894</v>
      </c>
      <c r="C397" s="98">
        <f t="shared" si="5"/>
        <v>0.95810566995525381</v>
      </c>
      <c r="D397" s="98">
        <v>0.68492040590217806</v>
      </c>
    </row>
    <row r="398" spans="1:4">
      <c r="A398">
        <v>370</v>
      </c>
      <c r="B398" s="98">
        <v>8.4302425384521484E-3</v>
      </c>
      <c r="C398" s="98">
        <f t="shared" si="5"/>
        <v>-2.3897360537198065</v>
      </c>
      <c r="D398" s="98">
        <v>0.2109642540307668</v>
      </c>
    </row>
    <row r="399" spans="1:4">
      <c r="A399">
        <v>371</v>
      </c>
      <c r="B399" s="98">
        <v>3.9387643337249756E-2</v>
      </c>
      <c r="C399" s="98">
        <f t="shared" si="5"/>
        <v>-1.7578367715133214</v>
      </c>
      <c r="D399" s="98">
        <v>-0.63894211990900229</v>
      </c>
    </row>
    <row r="400" spans="1:4">
      <c r="A400">
        <v>372</v>
      </c>
      <c r="B400" s="98">
        <v>0.432373046875</v>
      </c>
      <c r="C400" s="98">
        <f t="shared" si="5"/>
        <v>-0.17033575492371456</v>
      </c>
      <c r="D400" s="98">
        <v>-1.3677510941606457</v>
      </c>
    </row>
    <row r="401" spans="1:4">
      <c r="A401">
        <v>373</v>
      </c>
      <c r="B401" s="98">
        <v>0.2170221209526062</v>
      </c>
      <c r="C401" s="98">
        <f t="shared" si="5"/>
        <v>-0.78228986471910955</v>
      </c>
      <c r="D401" s="98">
        <v>1.1188659608324647</v>
      </c>
    </row>
    <row r="402" spans="1:4">
      <c r="A402">
        <v>374</v>
      </c>
      <c r="B402" s="98">
        <v>0.72974801063537598</v>
      </c>
      <c r="C402" s="98">
        <f t="shared" si="5"/>
        <v>0.61205105550429006</v>
      </c>
      <c r="D402" s="98">
        <v>0.82135527737169256</v>
      </c>
    </row>
    <row r="403" spans="1:4">
      <c r="A403">
        <v>375</v>
      </c>
      <c r="B403" s="98">
        <v>0.73139137029647827</v>
      </c>
      <c r="C403" s="98">
        <f t="shared" si="5"/>
        <v>0.61702648075307509</v>
      </c>
      <c r="D403" s="98">
        <v>-1.3413974175614469</v>
      </c>
    </row>
    <row r="404" spans="1:4">
      <c r="A404">
        <v>376</v>
      </c>
      <c r="B404" s="98">
        <v>0.41575288772583008</v>
      </c>
      <c r="C404" s="98">
        <f t="shared" si="5"/>
        <v>-0.21277075513246105</v>
      </c>
      <c r="D404" s="98">
        <v>-0.6157234196999426</v>
      </c>
    </row>
    <row r="405" spans="1:4">
      <c r="A405">
        <v>377</v>
      </c>
      <c r="B405" s="98">
        <v>0.59940212965011597</v>
      </c>
      <c r="C405" s="98">
        <f t="shared" si="5"/>
        <v>0.2517998921321189</v>
      </c>
      <c r="D405" s="98">
        <v>-0.85555431858982689</v>
      </c>
    </row>
    <row r="406" spans="1:4">
      <c r="A406">
        <v>378</v>
      </c>
      <c r="B406" s="98">
        <v>0.4714057445526123</v>
      </c>
      <c r="C406" s="98">
        <f t="shared" si="5"/>
        <v>-7.1736649620287266E-2</v>
      </c>
      <c r="D406" s="98">
        <v>0.23688752417665926</v>
      </c>
    </row>
    <row r="407" spans="1:4">
      <c r="A407">
        <v>379</v>
      </c>
      <c r="B407" s="98">
        <v>0.44050019979476929</v>
      </c>
      <c r="C407" s="98">
        <f t="shared" si="5"/>
        <v>-0.14970115158093711</v>
      </c>
      <c r="D407" s="98">
        <v>0.96589232461980212</v>
      </c>
    </row>
    <row r="408" spans="1:4">
      <c r="A408">
        <v>380</v>
      </c>
      <c r="B408" s="98">
        <v>0.3811880350112915</v>
      </c>
      <c r="C408" s="98">
        <f t="shared" si="5"/>
        <v>-0.30236206483151179</v>
      </c>
      <c r="D408" s="98">
        <v>1.5907584773095624</v>
      </c>
    </row>
    <row r="409" spans="1:4">
      <c r="A409">
        <v>381</v>
      </c>
      <c r="B409" s="98">
        <v>0.72470313310623169</v>
      </c>
      <c r="C409" s="98">
        <f t="shared" si="5"/>
        <v>0.59687066539531386</v>
      </c>
      <c r="D409" s="98">
        <v>-1.3830075732884075</v>
      </c>
    </row>
    <row r="410" spans="1:4">
      <c r="A410">
        <v>382</v>
      </c>
      <c r="B410" s="98">
        <v>0.18956923484802246</v>
      </c>
      <c r="C410" s="98">
        <f t="shared" si="5"/>
        <v>-0.87948480250815264</v>
      </c>
      <c r="D410" s="98">
        <v>-0.99042322119113402</v>
      </c>
    </row>
    <row r="411" spans="1:4">
      <c r="A411">
        <v>383</v>
      </c>
      <c r="B411" s="98">
        <v>0.38854879140853882</v>
      </c>
      <c r="C411" s="98">
        <f t="shared" si="5"/>
        <v>-0.28310339025528269</v>
      </c>
      <c r="D411" s="98">
        <v>2.0296329975891583</v>
      </c>
    </row>
    <row r="412" spans="1:4">
      <c r="A412">
        <v>384</v>
      </c>
      <c r="B412" s="98">
        <v>0.70619392395019531</v>
      </c>
      <c r="C412" s="98">
        <f t="shared" si="5"/>
        <v>0.54229956955924885</v>
      </c>
      <c r="D412" s="98">
        <v>-0.62031979707023521</v>
      </c>
    </row>
    <row r="413" spans="1:4">
      <c r="A413">
        <v>385</v>
      </c>
      <c r="B413" s="98">
        <v>0.69438761472702026</v>
      </c>
      <c r="C413" s="98">
        <f t="shared" si="5"/>
        <v>0.50832595532739544</v>
      </c>
      <c r="D413" s="98">
        <v>-1.0356867391679612</v>
      </c>
    </row>
    <row r="414" spans="1:4">
      <c r="A414">
        <v>386</v>
      </c>
      <c r="B414" s="98">
        <v>0.63580155372619629</v>
      </c>
      <c r="C414" s="98">
        <f t="shared" ref="C414:C477" si="6">NORMINV(B414,0,1)</f>
        <v>0.34725880983020407</v>
      </c>
      <c r="D414" s="98">
        <v>-1.8482156443298179</v>
      </c>
    </row>
    <row r="415" spans="1:4">
      <c r="A415">
        <v>387</v>
      </c>
      <c r="B415" s="98">
        <v>0.21830886602401733</v>
      </c>
      <c r="C415" s="98">
        <f t="shared" si="6"/>
        <v>-0.77791736222556651</v>
      </c>
      <c r="D415" s="98">
        <v>-1.2167153142993852</v>
      </c>
    </row>
    <row r="416" spans="1:4">
      <c r="A416">
        <v>388</v>
      </c>
      <c r="B416" s="98">
        <v>0.65765237808227539</v>
      </c>
      <c r="C416" s="98">
        <f t="shared" si="6"/>
        <v>0.40606445247752226</v>
      </c>
      <c r="D416" s="98">
        <v>-0.16957930423698736</v>
      </c>
    </row>
    <row r="417" spans="1:4">
      <c r="A417">
        <v>389</v>
      </c>
      <c r="B417" s="98">
        <v>0.48503178358078003</v>
      </c>
      <c r="C417" s="98">
        <f t="shared" si="6"/>
        <v>-3.7528561796823949E-2</v>
      </c>
      <c r="D417" s="98">
        <v>1.8061531033214975</v>
      </c>
    </row>
    <row r="418" spans="1:4">
      <c r="A418">
        <v>390</v>
      </c>
      <c r="B418" s="98">
        <v>4.1826963424682617E-2</v>
      </c>
      <c r="C418" s="98">
        <f t="shared" si="6"/>
        <v>-1.7298676356216376</v>
      </c>
      <c r="D418" s="98">
        <v>1.3397058380357205</v>
      </c>
    </row>
    <row r="419" spans="1:4">
      <c r="A419">
        <v>391</v>
      </c>
      <c r="B419" s="98">
        <v>0.24681466817855835</v>
      </c>
      <c r="C419" s="98">
        <f t="shared" si="6"/>
        <v>-0.6845477683259249</v>
      </c>
      <c r="D419" s="98">
        <v>1.0210637987781803</v>
      </c>
    </row>
    <row r="420" spans="1:4">
      <c r="A420">
        <v>392</v>
      </c>
      <c r="B420" s="98">
        <v>0.91485118865966797</v>
      </c>
      <c r="C420" s="98">
        <f t="shared" si="6"/>
        <v>1.3712481187136136</v>
      </c>
      <c r="D420" s="98">
        <v>0.44996912962051699</v>
      </c>
    </row>
    <row r="421" spans="1:4">
      <c r="A421">
        <v>393</v>
      </c>
      <c r="B421" s="98">
        <v>0.68657988309860229</v>
      </c>
      <c r="C421" s="98">
        <f t="shared" si="6"/>
        <v>0.48617903574321536</v>
      </c>
      <c r="D421" s="98">
        <v>1.7101225920405834</v>
      </c>
    </row>
    <row r="422" spans="1:4">
      <c r="A422">
        <v>394</v>
      </c>
      <c r="B422" s="98">
        <v>0.77532124519348145</v>
      </c>
      <c r="C422" s="98">
        <f t="shared" si="6"/>
        <v>0.75648658982203532</v>
      </c>
      <c r="D422" s="98">
        <v>-1.6331878950760894</v>
      </c>
    </row>
    <row r="423" spans="1:4">
      <c r="A423">
        <v>395</v>
      </c>
      <c r="B423" s="98">
        <v>0.87103885412216187</v>
      </c>
      <c r="C423" s="98">
        <f t="shared" si="6"/>
        <v>1.1313155736578888</v>
      </c>
      <c r="D423" s="98">
        <v>-1.6595210236742908</v>
      </c>
    </row>
    <row r="424" spans="1:4">
      <c r="A424">
        <v>396</v>
      </c>
      <c r="B424" s="98">
        <v>0.38383018970489502</v>
      </c>
      <c r="C424" s="98">
        <f t="shared" si="6"/>
        <v>-0.29543659763996727</v>
      </c>
      <c r="D424" s="98">
        <v>-0.3187138088766564</v>
      </c>
    </row>
    <row r="425" spans="1:4">
      <c r="A425">
        <v>397</v>
      </c>
      <c r="B425" s="98">
        <v>0.24265557527542114</v>
      </c>
      <c r="C425" s="98">
        <f t="shared" si="6"/>
        <v>-0.69778581639333159</v>
      </c>
      <c r="D425" s="98">
        <v>-1.0449359565313321</v>
      </c>
    </row>
    <row r="426" spans="1:4">
      <c r="A426">
        <v>398</v>
      </c>
      <c r="B426" s="98">
        <v>0.50724923610687256</v>
      </c>
      <c r="C426" s="98">
        <f t="shared" si="6"/>
        <v>1.8172140299692264E-2</v>
      </c>
      <c r="D426" s="98">
        <v>0.39180839186238531</v>
      </c>
    </row>
    <row r="427" spans="1:4">
      <c r="A427">
        <v>399</v>
      </c>
      <c r="B427" s="98">
        <v>0.17928320169448853</v>
      </c>
      <c r="C427" s="98">
        <f t="shared" si="6"/>
        <v>-0.91810021294989119</v>
      </c>
      <c r="D427" s="98">
        <v>1.2291363013448744</v>
      </c>
    </row>
    <row r="428" spans="1:4">
      <c r="A428">
        <v>400</v>
      </c>
      <c r="B428" s="98">
        <v>0.86063730716705322</v>
      </c>
      <c r="C428" s="98">
        <f t="shared" si="6"/>
        <v>1.0831870971450432</v>
      </c>
      <c r="D428" s="98">
        <v>-1.1685559871958331</v>
      </c>
    </row>
    <row r="429" spans="1:4">
      <c r="A429">
        <v>401</v>
      </c>
      <c r="B429" s="98">
        <v>0.97678500413894653</v>
      </c>
      <c r="C429" s="98">
        <f t="shared" si="6"/>
        <v>1.9914631578632833</v>
      </c>
      <c r="D429" s="98">
        <v>-0.12035499363595768</v>
      </c>
    </row>
    <row r="430" spans="1:4">
      <c r="A430">
        <v>402</v>
      </c>
      <c r="B430" s="98">
        <v>0.8538975715637207</v>
      </c>
      <c r="C430" s="98">
        <f t="shared" si="6"/>
        <v>1.0532970798122832</v>
      </c>
      <c r="D430" s="98">
        <v>0.38603950704924778</v>
      </c>
    </row>
    <row r="431" spans="1:4">
      <c r="A431">
        <v>403</v>
      </c>
      <c r="B431" s="98">
        <v>0.75762432813644409</v>
      </c>
      <c r="C431" s="98">
        <f t="shared" si="6"/>
        <v>0.69868110677978812</v>
      </c>
      <c r="D431" s="98">
        <v>-1.4551951086583641</v>
      </c>
    </row>
    <row r="432" spans="1:4">
      <c r="A432">
        <v>404</v>
      </c>
      <c r="B432" s="98">
        <v>0.91425013542175293</v>
      </c>
      <c r="C432" s="98">
        <f t="shared" si="6"/>
        <v>1.367400744370765</v>
      </c>
      <c r="D432" s="98">
        <v>0.20881106650239764</v>
      </c>
    </row>
    <row r="433" spans="1:4">
      <c r="A433">
        <v>405</v>
      </c>
      <c r="B433" s="98">
        <v>0.39712327718734741</v>
      </c>
      <c r="C433" s="98">
        <f t="shared" si="6"/>
        <v>-0.26080024645833128</v>
      </c>
      <c r="D433" s="98">
        <v>1.871501032856967</v>
      </c>
    </row>
    <row r="434" spans="1:4">
      <c r="A434">
        <v>406</v>
      </c>
      <c r="B434" s="98">
        <v>0.45693647861480713</v>
      </c>
      <c r="C434" s="98">
        <f t="shared" si="6"/>
        <v>-0.1081547265114621</v>
      </c>
      <c r="D434" s="98">
        <v>0.58278392200798845</v>
      </c>
    </row>
    <row r="435" spans="1:4">
      <c r="A435">
        <v>407</v>
      </c>
      <c r="B435" s="98">
        <v>0.37636405229568481</v>
      </c>
      <c r="C435" s="98">
        <f t="shared" si="6"/>
        <v>-0.31504418679673707</v>
      </c>
      <c r="D435" s="98">
        <v>-0.99337488184195433</v>
      </c>
    </row>
    <row r="436" spans="1:4">
      <c r="A436">
        <v>408</v>
      </c>
      <c r="B436" s="98">
        <v>0.30190551280975342</v>
      </c>
      <c r="C436" s="98">
        <f t="shared" si="6"/>
        <v>-0.5189278932680168</v>
      </c>
      <c r="D436" s="98">
        <v>0.61101520623111683</v>
      </c>
    </row>
    <row r="437" spans="1:4">
      <c r="A437">
        <v>409</v>
      </c>
      <c r="B437" s="98">
        <v>0.39052921533584595</v>
      </c>
      <c r="C437" s="98">
        <f t="shared" si="6"/>
        <v>-0.27793998295300359</v>
      </c>
      <c r="D437" s="98">
        <v>1.572568399921491</v>
      </c>
    </row>
    <row r="438" spans="1:4">
      <c r="A438">
        <v>410</v>
      </c>
      <c r="B438" s="98">
        <v>0.94459259510040283</v>
      </c>
      <c r="C438" s="98">
        <f t="shared" si="6"/>
        <v>1.5945414713317145</v>
      </c>
      <c r="D438" s="98">
        <v>-0.32265950644236202</v>
      </c>
    </row>
    <row r="439" spans="1:4">
      <c r="A439">
        <v>411</v>
      </c>
      <c r="B439" s="98">
        <v>0.93732148408889771</v>
      </c>
      <c r="C439" s="98">
        <f t="shared" si="6"/>
        <v>1.5326706192870885</v>
      </c>
      <c r="D439" s="98">
        <v>0.44741558127483461</v>
      </c>
    </row>
    <row r="440" spans="1:4">
      <c r="A440">
        <v>412</v>
      </c>
      <c r="B440" s="98">
        <v>0.21806657314300537</v>
      </c>
      <c r="C440" s="98">
        <f t="shared" si="6"/>
        <v>-0.77873956199026573</v>
      </c>
      <c r="D440" s="98">
        <v>0.16767256745169937</v>
      </c>
    </row>
    <row r="441" spans="1:4">
      <c r="A441">
        <v>413</v>
      </c>
      <c r="B441" s="98">
        <v>0.58003431558609009</v>
      </c>
      <c r="C441" s="98">
        <f t="shared" si="6"/>
        <v>0.20198126738096397</v>
      </c>
      <c r="D441" s="98">
        <v>1.060383701213041</v>
      </c>
    </row>
    <row r="442" spans="1:4">
      <c r="A442">
        <v>414</v>
      </c>
      <c r="B442" s="98">
        <v>0.85090410709381104</v>
      </c>
      <c r="C442" s="98">
        <f t="shared" si="6"/>
        <v>1.0403188577742375</v>
      </c>
      <c r="D442" s="98">
        <v>0.10349483623407107</v>
      </c>
    </row>
    <row r="443" spans="1:4">
      <c r="A443">
        <v>415</v>
      </c>
      <c r="B443" s="98">
        <v>0.1954377293586731</v>
      </c>
      <c r="C443" s="98">
        <f t="shared" si="6"/>
        <v>-0.85803079575643015</v>
      </c>
      <c r="D443" s="98">
        <v>0.16492203114462478</v>
      </c>
    </row>
    <row r="444" spans="1:4">
      <c r="A444">
        <v>416</v>
      </c>
      <c r="B444" s="98">
        <v>0.10781466960906982</v>
      </c>
      <c r="C444" s="98">
        <f t="shared" si="6"/>
        <v>-1.2382339158037641</v>
      </c>
      <c r="D444" s="98">
        <v>-0.29560746580819419</v>
      </c>
    </row>
    <row r="445" spans="1:4">
      <c r="A445">
        <v>417</v>
      </c>
      <c r="B445" s="98">
        <v>5.1903307437896729E-2</v>
      </c>
      <c r="C445" s="98">
        <f t="shared" si="6"/>
        <v>-1.62667277035206</v>
      </c>
      <c r="D445" s="98">
        <v>0.14396656307449746</v>
      </c>
    </row>
    <row r="446" spans="1:4">
      <c r="A446">
        <v>418</v>
      </c>
      <c r="B446" s="98">
        <v>0.68026554584503174</v>
      </c>
      <c r="C446" s="98">
        <f t="shared" si="6"/>
        <v>0.46844148328411001</v>
      </c>
      <c r="D446" s="98">
        <v>1.3028838057371595</v>
      </c>
    </row>
    <row r="447" spans="1:4">
      <c r="A447">
        <v>419</v>
      </c>
      <c r="B447" s="98">
        <v>0.13752919435501099</v>
      </c>
      <c r="C447" s="98">
        <f t="shared" si="6"/>
        <v>-1.0914875920383471</v>
      </c>
      <c r="D447" s="98">
        <v>-0.29484864866818744</v>
      </c>
    </row>
    <row r="448" spans="1:4">
      <c r="A448">
        <v>420</v>
      </c>
      <c r="B448" s="98">
        <v>0.82710683345794678</v>
      </c>
      <c r="C448" s="98">
        <f t="shared" si="6"/>
        <v>0.94279389877444131</v>
      </c>
      <c r="D448" s="98">
        <v>0.23092661820859359</v>
      </c>
    </row>
    <row r="449" spans="1:4">
      <c r="A449">
        <v>421</v>
      </c>
      <c r="B449" s="98">
        <v>0.73826509714126587</v>
      </c>
      <c r="C449" s="98">
        <f t="shared" si="6"/>
        <v>0.63800595182981967</v>
      </c>
      <c r="D449" s="98">
        <v>-0.51724567464330207</v>
      </c>
    </row>
    <row r="450" spans="1:4">
      <c r="A450">
        <v>422</v>
      </c>
      <c r="B450" s="98">
        <v>0.76519644260406494</v>
      </c>
      <c r="C450" s="98">
        <f t="shared" si="6"/>
        <v>0.72311845040592648</v>
      </c>
      <c r="D450" s="98">
        <v>1.8173610676433707</v>
      </c>
    </row>
    <row r="451" spans="1:4">
      <c r="A451">
        <v>423</v>
      </c>
      <c r="B451" s="98">
        <v>0.26603728532791138</v>
      </c>
      <c r="C451" s="98">
        <f t="shared" si="6"/>
        <v>-0.6248422916383185</v>
      </c>
      <c r="D451" s="98">
        <v>-0.67135782912707942</v>
      </c>
    </row>
    <row r="452" spans="1:4">
      <c r="A452">
        <v>424</v>
      </c>
      <c r="B452" s="98">
        <v>0.31002509593963623</v>
      </c>
      <c r="C452" s="98">
        <f t="shared" si="6"/>
        <v>-0.49577921368000438</v>
      </c>
      <c r="D452" s="98">
        <v>-0.23644821107276209</v>
      </c>
    </row>
    <row r="453" spans="1:4">
      <c r="A453">
        <v>425</v>
      </c>
      <c r="B453" s="98">
        <v>0.33687359094619751</v>
      </c>
      <c r="C453" s="98">
        <f t="shared" si="6"/>
        <v>-0.42101081866646867</v>
      </c>
      <c r="D453" s="98">
        <v>-0.12624458050275453</v>
      </c>
    </row>
    <row r="454" spans="1:4">
      <c r="A454">
        <v>426</v>
      </c>
      <c r="B454" s="98">
        <v>0.76634132862091064</v>
      </c>
      <c r="C454" s="98">
        <f t="shared" si="6"/>
        <v>0.72685082725355443</v>
      </c>
      <c r="D454" s="98">
        <v>-1.6103207960361601E-2</v>
      </c>
    </row>
    <row r="455" spans="1:4">
      <c r="A455">
        <v>427</v>
      </c>
      <c r="B455" s="98">
        <v>9.9028408527374268E-2</v>
      </c>
      <c r="C455" s="98">
        <f t="shared" si="6"/>
        <v>-1.2871075133035961</v>
      </c>
      <c r="D455" s="98">
        <v>1.503806277603333</v>
      </c>
    </row>
    <row r="456" spans="1:4">
      <c r="A456">
        <v>428</v>
      </c>
      <c r="B456" s="98">
        <v>6.8776488304138184E-2</v>
      </c>
      <c r="C456" s="98">
        <f t="shared" si="6"/>
        <v>-1.484965450073058</v>
      </c>
      <c r="D456" s="98">
        <v>-1.8490499297419158</v>
      </c>
    </row>
    <row r="457" spans="1:4">
      <c r="A457">
        <v>429</v>
      </c>
      <c r="B457" s="98">
        <v>0.81110769510269165</v>
      </c>
      <c r="C457" s="98">
        <f t="shared" si="6"/>
        <v>0.88198557165919422</v>
      </c>
      <c r="D457" s="98">
        <v>0.81701719955867991</v>
      </c>
    </row>
    <row r="458" spans="1:4">
      <c r="A458">
        <v>430</v>
      </c>
      <c r="B458" s="98">
        <v>0.17246973514556885</v>
      </c>
      <c r="C458" s="98">
        <f t="shared" si="6"/>
        <v>-0.94445053009865287</v>
      </c>
      <c r="D458" s="98">
        <v>0.52658086373470414</v>
      </c>
    </row>
    <row r="459" spans="1:4">
      <c r="A459">
        <v>431</v>
      </c>
      <c r="B459" s="98">
        <v>0.67019397020339966</v>
      </c>
      <c r="C459" s="98">
        <f t="shared" si="6"/>
        <v>0.44044883806059437</v>
      </c>
      <c r="D459" s="98">
        <v>0.33084201843589184</v>
      </c>
    </row>
    <row r="460" spans="1:4">
      <c r="A460">
        <v>432</v>
      </c>
      <c r="B460" s="98">
        <v>0.23442506790161133</v>
      </c>
      <c r="C460" s="98">
        <f t="shared" si="6"/>
        <v>-0.72435122532305962</v>
      </c>
      <c r="D460" s="98">
        <v>0.66609980447167039</v>
      </c>
    </row>
    <row r="461" spans="1:4">
      <c r="A461">
        <v>433</v>
      </c>
      <c r="B461" s="98">
        <v>8.8698089122772217E-2</v>
      </c>
      <c r="C461" s="98">
        <f t="shared" si="6"/>
        <v>-1.3488156761316321</v>
      </c>
      <c r="D461" s="98">
        <v>1.3642829550181745</v>
      </c>
    </row>
    <row r="462" spans="1:4">
      <c r="A462">
        <v>434</v>
      </c>
      <c r="B462" s="98">
        <v>0.35323178768157959</v>
      </c>
      <c r="C462" s="98">
        <f t="shared" si="6"/>
        <v>-0.37660983826737143</v>
      </c>
      <c r="D462" s="98">
        <v>-1.0425913181459179</v>
      </c>
    </row>
    <row r="463" spans="1:4">
      <c r="A463">
        <v>435</v>
      </c>
      <c r="B463" s="98">
        <v>0.56809335947036743</v>
      </c>
      <c r="C463" s="98">
        <f t="shared" si="6"/>
        <v>0.17152206640436352</v>
      </c>
      <c r="D463" s="98">
        <v>1.7585028558057474</v>
      </c>
    </row>
    <row r="464" spans="1:4">
      <c r="A464">
        <v>436</v>
      </c>
      <c r="B464" s="98">
        <v>0.29538023471832275</v>
      </c>
      <c r="C464" s="98">
        <f t="shared" si="6"/>
        <v>-0.53773433792386893</v>
      </c>
      <c r="D464" s="98">
        <v>0.10011554507838348</v>
      </c>
    </row>
    <row r="465" spans="1:4">
      <c r="A465">
        <v>437</v>
      </c>
      <c r="B465" s="98">
        <v>0.73993903398513794</v>
      </c>
      <c r="C465" s="98">
        <f t="shared" si="6"/>
        <v>0.6431574619065854</v>
      </c>
      <c r="D465" s="98">
        <v>-0.1655808656125404</v>
      </c>
    </row>
    <row r="466" spans="1:4">
      <c r="A466">
        <v>438</v>
      </c>
      <c r="B466" s="98">
        <v>0.29397475719451904</v>
      </c>
      <c r="C466" s="98">
        <f t="shared" si="6"/>
        <v>-0.54180983652921044</v>
      </c>
      <c r="D466" s="98">
        <v>1.5110356649827841</v>
      </c>
    </row>
    <row r="467" spans="1:4">
      <c r="A467">
        <v>439</v>
      </c>
      <c r="B467" s="98">
        <v>0.60572773218154907</v>
      </c>
      <c r="C467" s="98">
        <f t="shared" si="6"/>
        <v>0.26820109050187624</v>
      </c>
      <c r="D467" s="98">
        <v>0.14451724016982345</v>
      </c>
    </row>
    <row r="468" spans="1:4">
      <c r="A468">
        <v>440</v>
      </c>
      <c r="B468" s="98">
        <v>0.63032639026641846</v>
      </c>
      <c r="C468" s="98">
        <f t="shared" si="6"/>
        <v>0.33271792245464155</v>
      </c>
      <c r="D468" s="98">
        <v>1.2742434648016219</v>
      </c>
    </row>
    <row r="469" spans="1:4">
      <c r="A469">
        <v>441</v>
      </c>
      <c r="B469" s="98">
        <v>0.38402634859085083</v>
      </c>
      <c r="C469" s="98">
        <f t="shared" si="6"/>
        <v>-0.29492300569213176</v>
      </c>
      <c r="D469" s="98">
        <v>-0.31314101277832329</v>
      </c>
    </row>
    <row r="470" spans="1:4">
      <c r="A470">
        <v>442</v>
      </c>
      <c r="B470" s="98">
        <v>0.340628981590271</v>
      </c>
      <c r="C470" s="98">
        <f t="shared" si="6"/>
        <v>-0.4107471316124448</v>
      </c>
      <c r="D470" s="98">
        <v>0.1960047873160114</v>
      </c>
    </row>
    <row r="471" spans="1:4">
      <c r="A471">
        <v>443</v>
      </c>
      <c r="B471" s="98">
        <v>2.8753340244293213E-2</v>
      </c>
      <c r="C471" s="98">
        <f t="shared" si="6"/>
        <v>-1.8994397561303604</v>
      </c>
      <c r="D471" s="98">
        <v>-0.36106596740942642</v>
      </c>
    </row>
    <row r="472" spans="1:4">
      <c r="A472">
        <v>444</v>
      </c>
      <c r="B472" s="98">
        <v>0.60658419132232666</v>
      </c>
      <c r="C472" s="98">
        <f t="shared" si="6"/>
        <v>0.27042719926454828</v>
      </c>
      <c r="D472" s="98">
        <v>-0.19709865068995211</v>
      </c>
    </row>
    <row r="473" spans="1:4">
      <c r="A473">
        <v>445</v>
      </c>
      <c r="B473" s="98">
        <v>5.7303726673126221E-2</v>
      </c>
      <c r="C473" s="98">
        <f t="shared" si="6"/>
        <v>-1.5778178870401143</v>
      </c>
      <c r="D473" s="98">
        <v>0.44685838119815008</v>
      </c>
    </row>
    <row r="474" spans="1:4">
      <c r="A474">
        <v>446</v>
      </c>
      <c r="B474" s="98">
        <v>0.39602649211883545</v>
      </c>
      <c r="C474" s="98">
        <f t="shared" si="6"/>
        <v>-0.26364564322598533</v>
      </c>
      <c r="D474" s="98">
        <v>-0.5867826451736986</v>
      </c>
    </row>
    <row r="475" spans="1:4">
      <c r="A475">
        <v>447</v>
      </c>
      <c r="B475" s="98">
        <v>0.62867408990859985</v>
      </c>
      <c r="C475" s="98">
        <f t="shared" si="6"/>
        <v>0.32834368144125731</v>
      </c>
      <c r="D475" s="98">
        <v>-2.357092039444161E-2</v>
      </c>
    </row>
    <row r="476" spans="1:4">
      <c r="A476">
        <v>448</v>
      </c>
      <c r="B476" s="98">
        <v>0.35354816913604736</v>
      </c>
      <c r="C476" s="98">
        <f t="shared" si="6"/>
        <v>-0.37575864052177488</v>
      </c>
      <c r="D476" s="98">
        <v>0.57655925515677264</v>
      </c>
    </row>
    <row r="477" spans="1:4">
      <c r="A477">
        <v>449</v>
      </c>
      <c r="B477" s="98">
        <v>0.87158757448196411</v>
      </c>
      <c r="C477" s="98">
        <f t="shared" si="6"/>
        <v>1.1339277612901095</v>
      </c>
      <c r="D477" s="98">
        <v>1.9581494125542803E-2</v>
      </c>
    </row>
    <row r="478" spans="1:4">
      <c r="A478">
        <v>450</v>
      </c>
      <c r="B478" s="98">
        <v>0.9411243200302124</v>
      </c>
      <c r="C478" s="98">
        <f t="shared" ref="C478:C541" si="7">NORMINV(B478,0,1)</f>
        <v>1.5642819891008739</v>
      </c>
      <c r="D478" s="98">
        <v>5.9550153759689972E-2</v>
      </c>
    </row>
    <row r="479" spans="1:4">
      <c r="A479">
        <v>451</v>
      </c>
      <c r="B479" s="98">
        <v>0.46261888742446899</v>
      </c>
      <c r="C479" s="98">
        <f t="shared" si="7"/>
        <v>-9.3838088581656459E-2</v>
      </c>
      <c r="D479" s="98">
        <v>-0.71635819184764005</v>
      </c>
    </row>
    <row r="480" spans="1:4">
      <c r="A480">
        <v>452</v>
      </c>
      <c r="B480" s="98">
        <v>0.82873785495758057</v>
      </c>
      <c r="C480" s="98">
        <f t="shared" si="7"/>
        <v>0.94918940326145473</v>
      </c>
      <c r="D480" s="98">
        <v>-0.14805483319313548</v>
      </c>
    </row>
    <row r="481" spans="1:4">
      <c r="A481">
        <v>453</v>
      </c>
      <c r="B481" s="98">
        <v>0.4543192982673645</v>
      </c>
      <c r="C481" s="98">
        <f t="shared" si="7"/>
        <v>-0.11475591036891605</v>
      </c>
      <c r="D481" s="98">
        <v>-0.30700688400756032</v>
      </c>
    </row>
    <row r="482" spans="1:4">
      <c r="A482">
        <v>454</v>
      </c>
      <c r="B482" s="98">
        <v>0.53500449657440186</v>
      </c>
      <c r="C482" s="98">
        <f t="shared" si="7"/>
        <v>8.7856152714513427E-2</v>
      </c>
      <c r="D482" s="98">
        <v>0.96642961068007982</v>
      </c>
    </row>
    <row r="483" spans="1:4">
      <c r="A483">
        <v>455</v>
      </c>
      <c r="B483" s="98">
        <v>0.35334163904190063</v>
      </c>
      <c r="C483" s="98">
        <f t="shared" si="7"/>
        <v>-0.37631426151038605</v>
      </c>
      <c r="D483" s="98">
        <v>-1.8968126153407261</v>
      </c>
    </row>
    <row r="484" spans="1:4">
      <c r="A484">
        <v>456</v>
      </c>
      <c r="B484" s="98">
        <v>0.51591849327087402</v>
      </c>
      <c r="C484" s="98">
        <f t="shared" si="7"/>
        <v>3.9912339482532692E-2</v>
      </c>
      <c r="D484" s="98">
        <v>-0.53545988478601414</v>
      </c>
    </row>
    <row r="485" spans="1:4">
      <c r="A485">
        <v>457</v>
      </c>
      <c r="B485" s="98">
        <v>0.62239164113998413</v>
      </c>
      <c r="C485" s="98">
        <f t="shared" si="7"/>
        <v>0.31176816751834885</v>
      </c>
      <c r="D485" s="98">
        <v>-1.5734240244741093</v>
      </c>
    </row>
    <row r="486" spans="1:4">
      <c r="A486">
        <v>458</v>
      </c>
      <c r="B486" s="98">
        <v>0.14829635620117188</v>
      </c>
      <c r="C486" s="98">
        <f t="shared" si="7"/>
        <v>-1.043768059905182</v>
      </c>
      <c r="D486" s="98">
        <v>-0.94153168632793993</v>
      </c>
    </row>
    <row r="487" spans="1:4">
      <c r="A487">
        <v>459</v>
      </c>
      <c r="B487" s="98">
        <v>0.61222094297409058</v>
      </c>
      <c r="C487" s="98">
        <f t="shared" si="7"/>
        <v>0.28511229071821792</v>
      </c>
      <c r="D487" s="98">
        <v>-0.59166890093326663</v>
      </c>
    </row>
    <row r="488" spans="1:4">
      <c r="A488">
        <v>460</v>
      </c>
      <c r="B488" s="98">
        <v>0.49606502056121826</v>
      </c>
      <c r="C488" s="98">
        <f t="shared" si="7"/>
        <v>-9.8636906626866309E-3</v>
      </c>
      <c r="D488" s="98">
        <v>0.2309563939598224</v>
      </c>
    </row>
    <row r="489" spans="1:4">
      <c r="A489">
        <v>461</v>
      </c>
      <c r="B489" s="98">
        <v>0.42426162958145142</v>
      </c>
      <c r="C489" s="98">
        <f t="shared" si="7"/>
        <v>-0.19100297907593239</v>
      </c>
      <c r="D489" s="98">
        <v>0.38428240149682374</v>
      </c>
    </row>
    <row r="490" spans="1:4">
      <c r="A490">
        <v>462</v>
      </c>
      <c r="B490" s="98">
        <v>0.12073147296905518</v>
      </c>
      <c r="C490" s="98">
        <f t="shared" si="7"/>
        <v>-1.171337992192983</v>
      </c>
      <c r="D490" s="98">
        <v>0.42840544164904576</v>
      </c>
    </row>
    <row r="491" spans="1:4">
      <c r="A491">
        <v>463</v>
      </c>
      <c r="B491" s="98">
        <v>0.32199078798294067</v>
      </c>
      <c r="C491" s="98">
        <f t="shared" si="7"/>
        <v>-0.46213909501071171</v>
      </c>
      <c r="D491" s="98">
        <v>-0.60498924044313529</v>
      </c>
    </row>
    <row r="492" spans="1:4">
      <c r="A492">
        <v>464</v>
      </c>
      <c r="B492" s="98">
        <v>0.87203443050384521</v>
      </c>
      <c r="C492" s="98">
        <f t="shared" si="7"/>
        <v>1.1360607531550551</v>
      </c>
      <c r="D492" s="98">
        <v>8.4904855738869675E-2</v>
      </c>
    </row>
    <row r="493" spans="1:4">
      <c r="A493">
        <v>465</v>
      </c>
      <c r="B493" s="98">
        <v>0.57809168100357056</v>
      </c>
      <c r="C493" s="98">
        <f t="shared" si="7"/>
        <v>0.19701392855011854</v>
      </c>
      <c r="D493" s="98">
        <v>1.1551624113350218</v>
      </c>
    </row>
    <row r="494" spans="1:4">
      <c r="A494">
        <v>466</v>
      </c>
      <c r="B494" s="98">
        <v>0.31436431407928467</v>
      </c>
      <c r="C494" s="98">
        <f t="shared" si="7"/>
        <v>-0.48351709004386306</v>
      </c>
      <c r="D494" s="98">
        <v>9.2895950497175472E-2</v>
      </c>
    </row>
    <row r="495" spans="1:4">
      <c r="A495">
        <v>467</v>
      </c>
      <c r="B495" s="98">
        <v>0.7359653115272522</v>
      </c>
      <c r="C495" s="98">
        <f t="shared" si="7"/>
        <v>0.63095587374855577</v>
      </c>
      <c r="D495" s="98">
        <v>2.1113782763786055</v>
      </c>
    </row>
    <row r="496" spans="1:4">
      <c r="A496">
        <v>468</v>
      </c>
      <c r="B496" s="98">
        <v>0.61000549793243408</v>
      </c>
      <c r="C496" s="98">
        <f t="shared" si="7"/>
        <v>0.27933336397392206</v>
      </c>
      <c r="D496" s="98">
        <v>-1.5514807259606591</v>
      </c>
    </row>
    <row r="497" spans="1:4">
      <c r="A497">
        <v>469</v>
      </c>
      <c r="B497" s="98">
        <v>0.94889527559280396</v>
      </c>
      <c r="C497" s="98">
        <f t="shared" si="7"/>
        <v>1.6342353204281508</v>
      </c>
      <c r="D497" s="98">
        <v>0.22135259656657594</v>
      </c>
    </row>
    <row r="498" spans="1:4">
      <c r="A498">
        <v>470</v>
      </c>
      <c r="B498" s="98">
        <v>0.93745958805084229</v>
      </c>
      <c r="C498" s="98">
        <f t="shared" si="7"/>
        <v>1.5337920318205114</v>
      </c>
      <c r="D498" s="98">
        <v>-1.1191752762076237</v>
      </c>
    </row>
    <row r="499" spans="1:4">
      <c r="A499">
        <v>471</v>
      </c>
      <c r="B499" s="98">
        <v>0.19358378648757935</v>
      </c>
      <c r="C499" s="98">
        <f t="shared" si="7"/>
        <v>-0.86476538627616895</v>
      </c>
      <c r="D499" s="98">
        <v>-1.666848298223131</v>
      </c>
    </row>
    <row r="500" spans="1:4">
      <c r="A500">
        <v>472</v>
      </c>
      <c r="B500" s="98">
        <v>0.74405908584594727</v>
      </c>
      <c r="C500" s="98">
        <f t="shared" si="7"/>
        <v>0.65591031908635822</v>
      </c>
      <c r="D500" s="98">
        <v>-0.49659879227245357</v>
      </c>
    </row>
    <row r="501" spans="1:4">
      <c r="A501">
        <v>473</v>
      </c>
      <c r="B501" s="98">
        <v>0.1437804102897644</v>
      </c>
      <c r="C501" s="98">
        <f t="shared" si="7"/>
        <v>-1.0634877433314056</v>
      </c>
      <c r="D501" s="98">
        <v>-0.1244043568592013</v>
      </c>
    </row>
    <row r="502" spans="1:4">
      <c r="A502">
        <v>474</v>
      </c>
      <c r="B502" s="98">
        <v>4.8010826110839844E-2</v>
      </c>
      <c r="C502" s="98">
        <f t="shared" si="7"/>
        <v>-1.6644544215385673</v>
      </c>
      <c r="D502" s="98">
        <v>-0.73362638107307865</v>
      </c>
    </row>
    <row r="503" spans="1:4">
      <c r="A503">
        <v>475</v>
      </c>
      <c r="B503" s="98">
        <v>8.006972074508667E-2</v>
      </c>
      <c r="C503" s="98">
        <f t="shared" si="7"/>
        <v>-1.4046027397276897</v>
      </c>
      <c r="D503" s="98">
        <v>0.59090291010237161</v>
      </c>
    </row>
    <row r="504" spans="1:4">
      <c r="A504">
        <v>476</v>
      </c>
      <c r="B504" s="98">
        <v>0.91330420970916748</v>
      </c>
      <c r="C504" s="98">
        <f t="shared" si="7"/>
        <v>1.3613864984755459</v>
      </c>
      <c r="D504" s="98">
        <v>0.23262428894244563</v>
      </c>
    </row>
    <row r="505" spans="1:4">
      <c r="A505">
        <v>477</v>
      </c>
      <c r="B505" s="98">
        <v>0.90984874963760376</v>
      </c>
      <c r="C505" s="98">
        <f t="shared" si="7"/>
        <v>1.3398242162791014</v>
      </c>
      <c r="D505" s="98">
        <v>-1.1371076549566905</v>
      </c>
    </row>
    <row r="506" spans="1:4">
      <c r="A506">
        <v>478</v>
      </c>
      <c r="B506" s="98">
        <v>0.28819954395294189</v>
      </c>
      <c r="C506" s="98">
        <f t="shared" si="7"/>
        <v>-0.55865222866458031</v>
      </c>
      <c r="D506" s="98">
        <v>-4.9117518101211746E-2</v>
      </c>
    </row>
    <row r="507" spans="1:4">
      <c r="A507">
        <v>479</v>
      </c>
      <c r="B507" s="98">
        <v>0.54126626253128052</v>
      </c>
      <c r="C507" s="98">
        <f t="shared" si="7"/>
        <v>0.10362433518902064</v>
      </c>
      <c r="D507" s="98">
        <v>-1.5378470835698583</v>
      </c>
    </row>
    <row r="508" spans="1:4">
      <c r="A508">
        <v>480</v>
      </c>
      <c r="B508" s="98">
        <v>0.49554193019866943</v>
      </c>
      <c r="C508" s="98">
        <f t="shared" si="7"/>
        <v>-1.1174956397378566E-2</v>
      </c>
      <c r="D508" s="98">
        <v>0.15166494182069462</v>
      </c>
    </row>
    <row r="509" spans="1:4">
      <c r="A509">
        <v>481</v>
      </c>
      <c r="B509" s="98">
        <v>0.1636238694190979</v>
      </c>
      <c r="C509" s="98">
        <f t="shared" si="7"/>
        <v>-0.97967263361450441</v>
      </c>
      <c r="D509" s="98">
        <v>0.63153925967454239</v>
      </c>
    </row>
    <row r="510" spans="1:4">
      <c r="A510">
        <v>482</v>
      </c>
      <c r="B510" s="98">
        <v>0.3967205286026001</v>
      </c>
      <c r="C510" s="98">
        <f t="shared" si="7"/>
        <v>-0.26184485325365792</v>
      </c>
      <c r="D510" s="98">
        <v>-0.37442251582232117</v>
      </c>
    </row>
    <row r="511" spans="1:4">
      <c r="A511">
        <v>483</v>
      </c>
      <c r="B511" s="98">
        <v>0.25525408983230591</v>
      </c>
      <c r="C511" s="98">
        <f t="shared" si="7"/>
        <v>-0.65804661245403639</v>
      </c>
      <c r="D511" s="98">
        <v>-0.12871379644195527</v>
      </c>
    </row>
    <row r="512" spans="1:4">
      <c r="A512">
        <v>484</v>
      </c>
      <c r="B512" s="98">
        <v>1.4257311820983887E-2</v>
      </c>
      <c r="C512" s="98">
        <f t="shared" si="7"/>
        <v>-2.190132571420889</v>
      </c>
      <c r="D512" s="98">
        <v>-1.2498245831122676</v>
      </c>
    </row>
    <row r="513" spans="1:4">
      <c r="A513">
        <v>485</v>
      </c>
      <c r="B513" s="98">
        <v>0.81109100580215454</v>
      </c>
      <c r="C513" s="98">
        <f t="shared" si="7"/>
        <v>0.88192385040073551</v>
      </c>
      <c r="D513" s="98">
        <v>0.78331845116078558</v>
      </c>
    </row>
    <row r="514" spans="1:4">
      <c r="A514">
        <v>486</v>
      </c>
      <c r="B514" s="98">
        <v>0.4224320650100708</v>
      </c>
      <c r="C514" s="98">
        <f t="shared" si="7"/>
        <v>-0.19567554067233034</v>
      </c>
      <c r="D514" s="98">
        <v>-0.55987924817180323</v>
      </c>
    </row>
    <row r="515" spans="1:4">
      <c r="A515">
        <v>487</v>
      </c>
      <c r="B515" s="98">
        <v>0.6707952618598938</v>
      </c>
      <c r="C515" s="98">
        <f t="shared" si="7"/>
        <v>0.4421101826234296</v>
      </c>
      <c r="D515" s="98">
        <v>-0.91755521928094241</v>
      </c>
    </row>
    <row r="516" spans="1:4">
      <c r="A516">
        <v>488</v>
      </c>
      <c r="B516" s="98">
        <v>0.88790738582611084</v>
      </c>
      <c r="C516" s="98">
        <f t="shared" si="7"/>
        <v>1.2154743436538598</v>
      </c>
      <c r="D516" s="98">
        <v>-0.80418677408763317</v>
      </c>
    </row>
    <row r="517" spans="1:4">
      <c r="A517">
        <v>489</v>
      </c>
      <c r="B517" s="98">
        <v>9.6879065036773682E-2</v>
      </c>
      <c r="C517" s="98">
        <f t="shared" si="7"/>
        <v>-1.2995415902005727</v>
      </c>
      <c r="D517" s="98">
        <v>1.2132578955400859</v>
      </c>
    </row>
    <row r="518" spans="1:4">
      <c r="A518">
        <v>490</v>
      </c>
      <c r="B518" s="98">
        <v>0.260353684425354</v>
      </c>
      <c r="C518" s="98">
        <f t="shared" si="7"/>
        <v>-0.64225539795148734</v>
      </c>
      <c r="D518" s="98">
        <v>0.80594507329238085</v>
      </c>
    </row>
    <row r="519" spans="1:4">
      <c r="A519">
        <v>491</v>
      </c>
      <c r="B519" s="98">
        <v>0.60283118486404419</v>
      </c>
      <c r="C519" s="98">
        <f t="shared" si="7"/>
        <v>0.26068215285789831</v>
      </c>
      <c r="D519" s="98">
        <v>0.41308493629935272</v>
      </c>
    </row>
    <row r="520" spans="1:4">
      <c r="A520">
        <v>492</v>
      </c>
      <c r="B520" s="98">
        <v>0.61307418346405029</v>
      </c>
      <c r="C520" s="98">
        <f t="shared" si="7"/>
        <v>0.28734047639735283</v>
      </c>
      <c r="D520" s="98">
        <v>-1.2101962168004228</v>
      </c>
    </row>
    <row r="521" spans="1:4">
      <c r="A521">
        <v>493</v>
      </c>
      <c r="B521" s="98">
        <v>3.1241953372955322E-2</v>
      </c>
      <c r="C521" s="98">
        <f t="shared" si="7"/>
        <v>-1.862846208172714</v>
      </c>
      <c r="D521" s="98">
        <v>-0.98483566807621636</v>
      </c>
    </row>
    <row r="522" spans="1:4">
      <c r="A522">
        <v>494</v>
      </c>
      <c r="B522" s="98">
        <v>0.13362991809844971</v>
      </c>
      <c r="C522" s="98">
        <f t="shared" si="7"/>
        <v>-1.1093949587343968</v>
      </c>
      <c r="D522" s="98">
        <v>0.12598385231492187</v>
      </c>
    </row>
    <row r="523" spans="1:4">
      <c r="A523">
        <v>495</v>
      </c>
      <c r="B523" s="98">
        <v>0.88192826509475708</v>
      </c>
      <c r="C523" s="98">
        <f t="shared" si="7"/>
        <v>1.184681322790724</v>
      </c>
      <c r="D523" s="98">
        <v>1.1553395464076603</v>
      </c>
    </row>
    <row r="524" spans="1:4">
      <c r="A524">
        <v>496</v>
      </c>
      <c r="B524" s="98">
        <v>0.26446473598480225</v>
      </c>
      <c r="C524" s="98">
        <f t="shared" si="7"/>
        <v>-0.62964103101672642</v>
      </c>
      <c r="D524" s="98">
        <v>-1.9222088193594666</v>
      </c>
    </row>
    <row r="525" spans="1:4">
      <c r="A525">
        <v>497</v>
      </c>
      <c r="B525" s="98">
        <v>0.89005857706069946</v>
      </c>
      <c r="C525" s="98">
        <f t="shared" si="7"/>
        <v>1.2268397007458873</v>
      </c>
      <c r="D525" s="98">
        <v>1.7230481130396862</v>
      </c>
    </row>
    <row r="526" spans="1:4">
      <c r="A526">
        <v>498</v>
      </c>
      <c r="B526" s="98">
        <v>9.353029727935791E-2</v>
      </c>
      <c r="C526" s="98">
        <f t="shared" si="7"/>
        <v>-1.3193246673787402</v>
      </c>
      <c r="D526" s="98">
        <v>-1.5509875665924955</v>
      </c>
    </row>
    <row r="527" spans="1:4">
      <c r="A527">
        <v>499</v>
      </c>
      <c r="B527" s="98">
        <v>0.85427790880203247</v>
      </c>
      <c r="C527" s="98">
        <f t="shared" si="7"/>
        <v>1.0549587685715522</v>
      </c>
      <c r="D527" s="98">
        <v>9.1469479489847849E-2</v>
      </c>
    </row>
    <row r="528" spans="1:4">
      <c r="A528">
        <v>500</v>
      </c>
      <c r="B528" s="98">
        <v>0.9949110746383667</v>
      </c>
      <c r="C528" s="98">
        <f t="shared" si="7"/>
        <v>2.5697276096846502</v>
      </c>
      <c r="D528" s="98">
        <v>0.42620563848964299</v>
      </c>
    </row>
    <row r="529" spans="1:4">
      <c r="A529">
        <v>501</v>
      </c>
      <c r="B529" s="98">
        <v>0.7148328423500061</v>
      </c>
      <c r="C529" s="98">
        <f t="shared" si="7"/>
        <v>0.56755920370961876</v>
      </c>
      <c r="D529" s="98">
        <v>1.1287066264480095</v>
      </c>
    </row>
    <row r="530" spans="1:4">
      <c r="A530">
        <v>502</v>
      </c>
      <c r="B530" s="98">
        <v>0.51944935321807861</v>
      </c>
      <c r="C530" s="98">
        <f t="shared" si="7"/>
        <v>4.8771627083604982E-2</v>
      </c>
      <c r="D530" s="98">
        <v>1.9102013108271398</v>
      </c>
    </row>
    <row r="531" spans="1:4">
      <c r="A531">
        <v>503</v>
      </c>
      <c r="B531" s="98">
        <v>0.88169652223587036</v>
      </c>
      <c r="C531" s="98">
        <f t="shared" si="7"/>
        <v>1.1835103286469013</v>
      </c>
      <c r="D531" s="98">
        <v>-0.16874844881545573</v>
      </c>
    </row>
    <row r="532" spans="1:4">
      <c r="A532">
        <v>504</v>
      </c>
      <c r="B532" s="98">
        <v>0.53537023067474365</v>
      </c>
      <c r="C532" s="98">
        <f t="shared" si="7"/>
        <v>8.8776494422032073E-2</v>
      </c>
      <c r="D532" s="98">
        <v>-0.12468637407801911</v>
      </c>
    </row>
    <row r="533" spans="1:4">
      <c r="A533">
        <v>505</v>
      </c>
      <c r="B533" s="98">
        <v>0.81269365549087524</v>
      </c>
      <c r="C533" s="98">
        <f t="shared" si="7"/>
        <v>0.88786627244748872</v>
      </c>
      <c r="D533" s="98">
        <v>0.13225098012448447</v>
      </c>
    </row>
    <row r="534" spans="1:4">
      <c r="A534">
        <v>506</v>
      </c>
      <c r="B534" s="98">
        <v>0.61890661716461182</v>
      </c>
      <c r="C534" s="98">
        <f t="shared" si="7"/>
        <v>0.3026104290686123</v>
      </c>
      <c r="D534" s="98">
        <v>0.48683732679361558</v>
      </c>
    </row>
    <row r="535" spans="1:4">
      <c r="A535">
        <v>507</v>
      </c>
      <c r="B535" s="98">
        <v>0.84162551164627075</v>
      </c>
      <c r="C535" s="98">
        <f t="shared" si="7"/>
        <v>1.0011610026696802</v>
      </c>
      <c r="D535" s="98">
        <v>0.85813156922884803</v>
      </c>
    </row>
    <row r="536" spans="1:4">
      <c r="A536">
        <v>508</v>
      </c>
      <c r="B536" s="98">
        <v>2.4802684783935547E-2</v>
      </c>
      <c r="C536" s="98">
        <f t="shared" si="7"/>
        <v>-1.9633512900384102</v>
      </c>
      <c r="D536" s="98">
        <v>-1.0724433873403856</v>
      </c>
    </row>
    <row r="537" spans="1:4">
      <c r="A537">
        <v>509</v>
      </c>
      <c r="B537" s="98">
        <v>4.8619925975799561E-2</v>
      </c>
      <c r="C537" s="98">
        <f t="shared" si="7"/>
        <v>-1.6583846544782419</v>
      </c>
      <c r="D537" s="98">
        <v>0.64778638347682838</v>
      </c>
    </row>
    <row r="538" spans="1:4">
      <c r="A538">
        <v>510</v>
      </c>
      <c r="B538" s="98">
        <v>0.95678305625915527</v>
      </c>
      <c r="C538" s="98">
        <f t="shared" si="7"/>
        <v>1.7145166193550945</v>
      </c>
      <c r="D538" s="98">
        <v>0.19261972917420234</v>
      </c>
    </row>
    <row r="539" spans="1:4">
      <c r="A539">
        <v>511</v>
      </c>
      <c r="B539" s="98">
        <v>0.37011045217514038</v>
      </c>
      <c r="C539" s="98">
        <f t="shared" si="7"/>
        <v>-0.3315608255842537</v>
      </c>
      <c r="D539" s="98">
        <v>1.0030805901333537</v>
      </c>
    </row>
    <row r="540" spans="1:4">
      <c r="A540">
        <v>512</v>
      </c>
      <c r="B540" s="98">
        <v>0.26457595825195313</v>
      </c>
      <c r="C540" s="98">
        <f t="shared" si="7"/>
        <v>-0.6293011532409547</v>
      </c>
      <c r="D540" s="98">
        <v>-0.32163863707461054</v>
      </c>
    </row>
    <row r="541" spans="1:4">
      <c r="A541">
        <v>513</v>
      </c>
      <c r="B541" s="98">
        <v>0.95869463682174683</v>
      </c>
      <c r="C541" s="98">
        <f t="shared" si="7"/>
        <v>1.7357348616142014</v>
      </c>
      <c r="D541" s="98">
        <v>1.1120961100450135</v>
      </c>
    </row>
    <row r="542" spans="1:4">
      <c r="A542">
        <v>514</v>
      </c>
      <c r="B542" s="98">
        <v>0.4038088321685791</v>
      </c>
      <c r="C542" s="98">
        <f t="shared" ref="C542:C605" si="8">NORMINV(B542,0,1)</f>
        <v>-0.2435005432269674</v>
      </c>
      <c r="D542" s="98">
        <v>0.5284768524916954</v>
      </c>
    </row>
    <row r="543" spans="1:4">
      <c r="A543">
        <v>515</v>
      </c>
      <c r="B543" s="98">
        <v>9.9901556968688965E-3</v>
      </c>
      <c r="C543" s="98">
        <f t="shared" si="8"/>
        <v>-2.3267173953776572</v>
      </c>
      <c r="D543" s="98">
        <v>-1.6618885781148177E-2</v>
      </c>
    </row>
    <row r="544" spans="1:4">
      <c r="A544">
        <v>516</v>
      </c>
      <c r="B544" s="98">
        <v>0.5303044319152832</v>
      </c>
      <c r="C544" s="98">
        <f t="shared" si="8"/>
        <v>7.6035146611369966E-2</v>
      </c>
      <c r="D544" s="98">
        <v>-1.9167513811945183</v>
      </c>
    </row>
    <row r="545" spans="1:4">
      <c r="A545">
        <v>517</v>
      </c>
      <c r="B545" s="98">
        <v>0.61902874708175659</v>
      </c>
      <c r="C545" s="98">
        <f t="shared" si="8"/>
        <v>0.30293092159284984</v>
      </c>
      <c r="D545" s="98">
        <v>0.29180195714919999</v>
      </c>
    </row>
    <row r="546" spans="1:4">
      <c r="A546">
        <v>518</v>
      </c>
      <c r="B546" s="98">
        <v>0.51570582389831543</v>
      </c>
      <c r="C546" s="98">
        <f t="shared" si="8"/>
        <v>3.9378837306451836E-2</v>
      </c>
      <c r="D546" s="98">
        <v>-0.11192017408029638</v>
      </c>
    </row>
    <row r="547" spans="1:4">
      <c r="A547">
        <v>519</v>
      </c>
      <c r="B547" s="98">
        <v>0.73338121175765991</v>
      </c>
      <c r="C547" s="98">
        <f t="shared" si="8"/>
        <v>0.62307144031748585</v>
      </c>
      <c r="D547" s="98">
        <v>1.4866056694622578</v>
      </c>
    </row>
    <row r="548" spans="1:4">
      <c r="A548">
        <v>520</v>
      </c>
      <c r="B548" s="98">
        <v>0.21310138702392578</v>
      </c>
      <c r="C548" s="98">
        <f t="shared" si="8"/>
        <v>-0.79570628307814295</v>
      </c>
      <c r="D548" s="98">
        <v>-1.2372180282681855</v>
      </c>
    </row>
    <row r="549" spans="1:4">
      <c r="A549">
        <v>521</v>
      </c>
      <c r="B549" s="98">
        <v>0.35628241300582886</v>
      </c>
      <c r="C549" s="98">
        <f t="shared" si="8"/>
        <v>-0.36841364315179048</v>
      </c>
      <c r="D549" s="98">
        <v>0.91273562469139413</v>
      </c>
    </row>
    <row r="550" spans="1:4">
      <c r="A550">
        <v>522</v>
      </c>
      <c r="B550" s="98">
        <v>0.97264981269836426</v>
      </c>
      <c r="C550" s="98">
        <f t="shared" si="8"/>
        <v>1.9212485934499579</v>
      </c>
      <c r="D550" s="98">
        <v>0.24098849173421796</v>
      </c>
    </row>
    <row r="551" spans="1:4">
      <c r="A551">
        <v>523</v>
      </c>
      <c r="B551" s="98">
        <v>0.99975627660751343</v>
      </c>
      <c r="C551" s="98">
        <f t="shared" si="8"/>
        <v>3.4875615103269055</v>
      </c>
      <c r="D551" s="98">
        <v>-0.40204258571440332</v>
      </c>
    </row>
    <row r="552" spans="1:4">
      <c r="A552">
        <v>524</v>
      </c>
      <c r="B552" s="98">
        <v>0.40720510482788086</v>
      </c>
      <c r="C552" s="98">
        <f t="shared" si="8"/>
        <v>-0.23474042497086037</v>
      </c>
      <c r="D552" s="98">
        <v>1.6214281036323293</v>
      </c>
    </row>
    <row r="553" spans="1:4">
      <c r="A553">
        <v>525</v>
      </c>
      <c r="B553" s="98">
        <v>0.38774079084396362</v>
      </c>
      <c r="C553" s="98">
        <f t="shared" si="8"/>
        <v>-0.28521219013158983</v>
      </c>
      <c r="D553" s="98">
        <v>-1.5809783580145538</v>
      </c>
    </row>
    <row r="554" spans="1:4">
      <c r="A554">
        <v>526</v>
      </c>
      <c r="B554" s="98">
        <v>0.40794157981872559</v>
      </c>
      <c r="C554" s="98">
        <f t="shared" si="8"/>
        <v>-0.23284320814966156</v>
      </c>
      <c r="D554" s="98">
        <v>-2.166530117620554</v>
      </c>
    </row>
    <row r="555" spans="1:4">
      <c r="A555">
        <v>527</v>
      </c>
      <c r="B555" s="98">
        <v>0.40921300649642944</v>
      </c>
      <c r="C555" s="98">
        <f t="shared" si="8"/>
        <v>-0.22956988138429013</v>
      </c>
      <c r="D555" s="98">
        <v>0.29381197973353379</v>
      </c>
    </row>
    <row r="556" spans="1:4">
      <c r="A556">
        <v>528</v>
      </c>
      <c r="B556" s="98">
        <v>0.40997886657714844</v>
      </c>
      <c r="C556" s="98">
        <f t="shared" si="8"/>
        <v>-0.22759933991895484</v>
      </c>
      <c r="D556" s="98">
        <v>1.3526507324678603</v>
      </c>
    </row>
    <row r="557" spans="1:4">
      <c r="A557">
        <v>529</v>
      </c>
      <c r="B557" s="98">
        <v>0.32131403684616089</v>
      </c>
      <c r="C557" s="98">
        <f t="shared" si="8"/>
        <v>-0.46402745748834445</v>
      </c>
      <c r="D557" s="98">
        <v>-0.99208044850246502</v>
      </c>
    </row>
    <row r="558" spans="1:4">
      <c r="A558">
        <v>530</v>
      </c>
      <c r="B558" s="98">
        <v>0.90800690650939941</v>
      </c>
      <c r="C558" s="98">
        <f t="shared" si="8"/>
        <v>1.3285811724653027</v>
      </c>
      <c r="D558" s="98">
        <v>-1.1925887488357225</v>
      </c>
    </row>
    <row r="559" spans="1:4">
      <c r="A559">
        <v>531</v>
      </c>
      <c r="B559" s="98">
        <v>0.20247405767440796</v>
      </c>
      <c r="C559" s="98">
        <f t="shared" si="8"/>
        <v>-0.83281669897628419</v>
      </c>
      <c r="D559" s="98">
        <v>0.84869546508279448</v>
      </c>
    </row>
    <row r="560" spans="1:4">
      <c r="A560">
        <v>532</v>
      </c>
      <c r="B560" s="98">
        <v>0.22191095352172852</v>
      </c>
      <c r="C560" s="98">
        <f t="shared" si="8"/>
        <v>-0.76575531488225268</v>
      </c>
      <c r="D560" s="98">
        <v>0.62272661383702987</v>
      </c>
    </row>
    <row r="561" spans="1:4">
      <c r="A561">
        <v>533</v>
      </c>
      <c r="B561" s="98">
        <v>0.65553730726242065</v>
      </c>
      <c r="C561" s="98">
        <f t="shared" si="8"/>
        <v>0.40031382644153984</v>
      </c>
      <c r="D561" s="98">
        <v>0.16364933587339786</v>
      </c>
    </row>
    <row r="562" spans="1:4">
      <c r="A562">
        <v>534</v>
      </c>
      <c r="B562" s="98">
        <v>0.51239657402038574</v>
      </c>
      <c r="C562" s="98">
        <f t="shared" si="8"/>
        <v>3.107860525563336E-2</v>
      </c>
      <c r="D562" s="98">
        <v>2.1391606264809511</v>
      </c>
    </row>
    <row r="563" spans="1:4">
      <c r="A563">
        <v>535</v>
      </c>
      <c r="B563" s="98">
        <v>0.76088708639144897</v>
      </c>
      <c r="C563" s="98">
        <f t="shared" si="8"/>
        <v>0.70915897749244938</v>
      </c>
      <c r="D563" s="98">
        <v>2.5720450259498675E-2</v>
      </c>
    </row>
    <row r="564" spans="1:4">
      <c r="A564">
        <v>536</v>
      </c>
      <c r="B564" s="98">
        <v>4.6614646911621094E-2</v>
      </c>
      <c r="C564" s="98">
        <f t="shared" si="8"/>
        <v>-1.678603757278444</v>
      </c>
      <c r="D564" s="98">
        <v>0.72289706715409352</v>
      </c>
    </row>
    <row r="565" spans="1:4">
      <c r="A565">
        <v>537</v>
      </c>
      <c r="B565" s="98">
        <v>0.27957075834274292</v>
      </c>
      <c r="C565" s="98">
        <f t="shared" si="8"/>
        <v>-0.58411712099899049</v>
      </c>
      <c r="D565" s="98">
        <v>1.1961507939937648</v>
      </c>
    </row>
    <row r="566" spans="1:4">
      <c r="A566">
        <v>538</v>
      </c>
      <c r="B566" s="98">
        <v>0.71378636360168457</v>
      </c>
      <c r="C566" s="98">
        <f t="shared" si="8"/>
        <v>0.56448034509246936</v>
      </c>
      <c r="D566" s="98">
        <v>0.14071897419105447</v>
      </c>
    </row>
    <row r="567" spans="1:4">
      <c r="A567">
        <v>539</v>
      </c>
      <c r="B567" s="98">
        <v>0.10642474889755249</v>
      </c>
      <c r="C567" s="98">
        <f t="shared" si="8"/>
        <v>-1.2457682260162182</v>
      </c>
      <c r="D567" s="98">
        <v>-0.89705534583691393</v>
      </c>
    </row>
    <row r="568" spans="1:4">
      <c r="A568">
        <v>540</v>
      </c>
      <c r="B568" s="98">
        <v>0.79082822799682617</v>
      </c>
      <c r="C568" s="98">
        <f t="shared" si="8"/>
        <v>0.80929836929116428</v>
      </c>
      <c r="D568" s="98">
        <v>0.34652482898787146</v>
      </c>
    </row>
    <row r="569" spans="1:4">
      <c r="A569">
        <v>541</v>
      </c>
      <c r="B569" s="98">
        <v>0.97319954633712769</v>
      </c>
      <c r="C569" s="98">
        <f t="shared" si="8"/>
        <v>1.9300478649732602</v>
      </c>
      <c r="D569" s="98">
        <v>-1.8749495443522675E-2</v>
      </c>
    </row>
    <row r="570" spans="1:4">
      <c r="A570">
        <v>542</v>
      </c>
      <c r="B570" s="98">
        <v>0.9579770565032959</v>
      </c>
      <c r="C570" s="98">
        <f t="shared" si="8"/>
        <v>1.7276784623625756</v>
      </c>
      <c r="D570" s="98">
        <v>0.60396739790185627</v>
      </c>
    </row>
    <row r="571" spans="1:4">
      <c r="A571">
        <v>543</v>
      </c>
      <c r="B571" s="98">
        <v>0.40168470144271851</v>
      </c>
      <c r="C571" s="98">
        <f t="shared" si="8"/>
        <v>-0.24898885438392335</v>
      </c>
      <c r="D571" s="98">
        <v>1.0301217298159702</v>
      </c>
    </row>
    <row r="572" spans="1:4">
      <c r="A572">
        <v>544</v>
      </c>
      <c r="B572" s="98">
        <v>0.56441497802734375</v>
      </c>
      <c r="C572" s="98">
        <f t="shared" si="8"/>
        <v>0.16217246315528405</v>
      </c>
      <c r="D572" s="98">
        <v>-1.2746171114117395</v>
      </c>
    </row>
    <row r="573" spans="1:4">
      <c r="A573">
        <v>545</v>
      </c>
      <c r="B573" s="98">
        <v>0.90683382749557495</v>
      </c>
      <c r="C573" s="98">
        <f t="shared" si="8"/>
        <v>1.3215070751300073</v>
      </c>
      <c r="D573" s="98">
        <v>-1.9892206046739593</v>
      </c>
    </row>
    <row r="574" spans="1:4">
      <c r="A574">
        <v>546</v>
      </c>
      <c r="B574" s="98">
        <v>0.14389443397521973</v>
      </c>
      <c r="C574" s="98">
        <f t="shared" si="8"/>
        <v>-1.0629847482543031</v>
      </c>
      <c r="D574" s="98">
        <v>-1.5769264675670831</v>
      </c>
    </row>
    <row r="575" spans="1:4">
      <c r="A575">
        <v>547</v>
      </c>
      <c r="B575" s="98">
        <v>0.44988960027694702</v>
      </c>
      <c r="C575" s="98">
        <f t="shared" si="8"/>
        <v>-0.12594027636122143</v>
      </c>
      <c r="D575" s="98">
        <v>-0.33167350967617898</v>
      </c>
    </row>
    <row r="576" spans="1:4">
      <c r="A576">
        <v>548</v>
      </c>
      <c r="B576" s="98">
        <v>0.18036317825317383</v>
      </c>
      <c r="C576" s="98">
        <f t="shared" si="8"/>
        <v>-0.91398190004060509</v>
      </c>
      <c r="D576" s="98">
        <v>-0.39290666754045822</v>
      </c>
    </row>
    <row r="577" spans="1:4">
      <c r="A577">
        <v>549</v>
      </c>
      <c r="B577" s="98">
        <v>0.14150875806808472</v>
      </c>
      <c r="C577" s="98">
        <f t="shared" si="8"/>
        <v>-1.0735653909418381</v>
      </c>
      <c r="D577" s="98">
        <v>0.4831515939230171</v>
      </c>
    </row>
    <row r="578" spans="1:4">
      <c r="A578">
        <v>550</v>
      </c>
      <c r="B578" s="98">
        <v>0.12358927726745605</v>
      </c>
      <c r="C578" s="98">
        <f t="shared" si="8"/>
        <v>-1.1572296314265973</v>
      </c>
      <c r="D578" s="98">
        <v>3.6373769639441222E-2</v>
      </c>
    </row>
    <row r="579" spans="1:4">
      <c r="A579">
        <v>551</v>
      </c>
      <c r="B579" s="98">
        <v>0.19488710165023804</v>
      </c>
      <c r="C579" s="98">
        <f t="shared" si="8"/>
        <v>-0.86002692016053006</v>
      </c>
      <c r="D579" s="98">
        <v>-0.96972701090538893</v>
      </c>
    </row>
    <row r="580" spans="1:4">
      <c r="A580">
        <v>552</v>
      </c>
      <c r="B580" s="98">
        <v>0.65478610992431641</v>
      </c>
      <c r="C580" s="98">
        <f t="shared" si="8"/>
        <v>0.39827460167563322</v>
      </c>
      <c r="D580" s="98">
        <v>1.7496061855676528</v>
      </c>
    </row>
    <row r="581" spans="1:4">
      <c r="A581">
        <v>553</v>
      </c>
      <c r="B581" s="98">
        <v>0.12888449430465698</v>
      </c>
      <c r="C581" s="98">
        <f t="shared" si="8"/>
        <v>-1.1316800101442193</v>
      </c>
      <c r="D581" s="98">
        <v>-1.1285976281038348</v>
      </c>
    </row>
    <row r="582" spans="1:4">
      <c r="A582">
        <v>554</v>
      </c>
      <c r="B582" s="98">
        <v>0.20223736763000488</v>
      </c>
      <c r="C582" s="98">
        <f t="shared" si="8"/>
        <v>-0.83365621998085526</v>
      </c>
      <c r="D582" s="98">
        <v>-0.94072016082459586</v>
      </c>
    </row>
    <row r="583" spans="1:4">
      <c r="A583">
        <v>555</v>
      </c>
      <c r="B583" s="98">
        <v>0.22114986181259155</v>
      </c>
      <c r="C583" s="98">
        <f t="shared" si="8"/>
        <v>-0.76831557513756688</v>
      </c>
      <c r="D583" s="98">
        <v>0.68109857810778596</v>
      </c>
    </row>
    <row r="584" spans="1:4">
      <c r="A584">
        <v>556</v>
      </c>
      <c r="B584" s="98">
        <v>0.81271469593048096</v>
      </c>
      <c r="C584" s="98">
        <f t="shared" si="8"/>
        <v>0.88794449615764015</v>
      </c>
      <c r="D584" s="98">
        <v>-0.95045358222447029</v>
      </c>
    </row>
    <row r="585" spans="1:4">
      <c r="A585">
        <v>557</v>
      </c>
      <c r="B585" s="98">
        <v>0.85248643159866333</v>
      </c>
      <c r="C585" s="98">
        <f t="shared" si="8"/>
        <v>1.0471570801031604</v>
      </c>
      <c r="D585" s="98">
        <v>0.73980480293478401</v>
      </c>
    </row>
    <row r="586" spans="1:4">
      <c r="A586">
        <v>558</v>
      </c>
      <c r="B586" s="98">
        <v>0.4265817403793335</v>
      </c>
      <c r="C586" s="98">
        <f t="shared" si="8"/>
        <v>-0.18508357949722015</v>
      </c>
      <c r="D586" s="98">
        <v>-1.3186529440576693</v>
      </c>
    </row>
    <row r="587" spans="1:4">
      <c r="A587">
        <v>559</v>
      </c>
      <c r="B587" s="98">
        <v>3.6520063877105713E-2</v>
      </c>
      <c r="C587" s="98">
        <f t="shared" si="8"/>
        <v>-1.7925798687149415</v>
      </c>
      <c r="D587" s="98">
        <v>-0.35351708313790475</v>
      </c>
    </row>
    <row r="588" spans="1:4">
      <c r="A588">
        <v>560</v>
      </c>
      <c r="B588" s="98">
        <v>0.88125765323638916</v>
      </c>
      <c r="C588" s="98">
        <f t="shared" si="8"/>
        <v>1.1812971640301311</v>
      </c>
      <c r="D588" s="98">
        <v>-0.55551618470215636</v>
      </c>
    </row>
    <row r="589" spans="1:4">
      <c r="A589">
        <v>561</v>
      </c>
      <c r="B589" s="98">
        <v>0.74890834093093872</v>
      </c>
      <c r="C589" s="98">
        <f t="shared" si="8"/>
        <v>0.67105841345707273</v>
      </c>
      <c r="D589" s="98">
        <v>-0.90726710020380774</v>
      </c>
    </row>
    <row r="590" spans="1:4">
      <c r="A590">
        <v>562</v>
      </c>
      <c r="B590" s="98">
        <v>0.95707690715789795</v>
      </c>
      <c r="C590" s="98">
        <f t="shared" si="8"/>
        <v>1.7177282957894584</v>
      </c>
      <c r="D590" s="98">
        <v>0.40245861451811571</v>
      </c>
    </row>
    <row r="591" spans="1:4">
      <c r="A591">
        <v>563</v>
      </c>
      <c r="B591" s="98">
        <v>0.71114784479141235</v>
      </c>
      <c r="C591" s="98">
        <f t="shared" si="8"/>
        <v>0.55674113097453137</v>
      </c>
      <c r="D591" s="98">
        <v>0.73195850672310725</v>
      </c>
    </row>
    <row r="592" spans="1:4">
      <c r="A592">
        <v>564</v>
      </c>
      <c r="B592" s="98">
        <v>0.11113178730010986</v>
      </c>
      <c r="C592" s="98">
        <f t="shared" si="8"/>
        <v>-1.220531186512009</v>
      </c>
      <c r="D592" s="98">
        <v>-2.8156651596888401E-2</v>
      </c>
    </row>
    <row r="593" spans="1:4">
      <c r="A593">
        <v>565</v>
      </c>
      <c r="B593" s="98">
        <v>0.61446171998977661</v>
      </c>
      <c r="C593" s="98">
        <f t="shared" si="8"/>
        <v>0.29096699769409257</v>
      </c>
      <c r="D593" s="98">
        <v>-0.15564613724064807</v>
      </c>
    </row>
    <row r="594" spans="1:4">
      <c r="A594">
        <v>566</v>
      </c>
      <c r="B594" s="98">
        <v>0.6178973913192749</v>
      </c>
      <c r="C594" s="98">
        <f t="shared" si="8"/>
        <v>0.29996321122048097</v>
      </c>
      <c r="D594" s="98">
        <v>0.57537844355310419</v>
      </c>
    </row>
    <row r="595" spans="1:4">
      <c r="A595">
        <v>567</v>
      </c>
      <c r="B595" s="98">
        <v>0.69792467355728149</v>
      </c>
      <c r="C595" s="98">
        <f t="shared" si="8"/>
        <v>0.51844094550092157</v>
      </c>
      <c r="D595" s="98">
        <v>0.65087231641960352</v>
      </c>
    </row>
    <row r="596" spans="1:4">
      <c r="A596">
        <v>568</v>
      </c>
      <c r="B596" s="98">
        <v>0.95985662937164307</v>
      </c>
      <c r="C596" s="98">
        <f t="shared" si="8"/>
        <v>1.7490247502333525</v>
      </c>
      <c r="D596" s="98">
        <v>-1.7912739890107841</v>
      </c>
    </row>
    <row r="597" spans="1:4">
      <c r="A597">
        <v>569</v>
      </c>
      <c r="B597" s="98">
        <v>0.576587975025177</v>
      </c>
      <c r="C597" s="98">
        <f t="shared" si="8"/>
        <v>0.19317227649264315</v>
      </c>
      <c r="D597" s="98">
        <v>-0.20240488841444967</v>
      </c>
    </row>
    <row r="598" spans="1:4">
      <c r="A598">
        <v>570</v>
      </c>
      <c r="B598" s="98">
        <v>0.46812522411346436</v>
      </c>
      <c r="C598" s="98">
        <f t="shared" si="8"/>
        <v>-7.9983412977759558E-2</v>
      </c>
      <c r="D598" s="98">
        <v>-1.6445238273793279</v>
      </c>
    </row>
    <row r="599" spans="1:4">
      <c r="A599">
        <v>571</v>
      </c>
      <c r="B599" s="98">
        <v>0.31960445642471313</v>
      </c>
      <c r="C599" s="98">
        <f t="shared" si="8"/>
        <v>-0.46880515785674282</v>
      </c>
      <c r="D599" s="98">
        <v>1.9820193744982197</v>
      </c>
    </row>
    <row r="600" spans="1:4">
      <c r="A600">
        <v>572</v>
      </c>
      <c r="B600" s="98">
        <v>0.21307671070098877</v>
      </c>
      <c r="C600" s="98">
        <f t="shared" si="8"/>
        <v>-0.79579117600275584</v>
      </c>
      <c r="D600" s="98">
        <v>8.62994410628668E-2</v>
      </c>
    </row>
    <row r="601" spans="1:4">
      <c r="A601">
        <v>573</v>
      </c>
      <c r="B601" s="98">
        <v>0.77835351228713989</v>
      </c>
      <c r="C601" s="98">
        <f t="shared" si="8"/>
        <v>0.76664438991177619</v>
      </c>
      <c r="D601" s="98">
        <v>-5.9286793607164046E-2</v>
      </c>
    </row>
    <row r="602" spans="1:4">
      <c r="A602">
        <v>574</v>
      </c>
      <c r="B602" s="98">
        <v>0.14496743679046631</v>
      </c>
      <c r="C602" s="98">
        <f t="shared" si="8"/>
        <v>-1.0582644980847031</v>
      </c>
      <c r="D602" s="98">
        <v>1.084536432372095</v>
      </c>
    </row>
    <row r="603" spans="1:4">
      <c r="A603">
        <v>575</v>
      </c>
      <c r="B603" s="98">
        <v>0.16456609964370728</v>
      </c>
      <c r="C603" s="98">
        <f t="shared" si="8"/>
        <v>-0.97586332374778029</v>
      </c>
      <c r="D603" s="98">
        <v>-0.25005783695122258</v>
      </c>
    </row>
    <row r="604" spans="1:4">
      <c r="A604">
        <v>576</v>
      </c>
      <c r="B604" s="98">
        <v>0.48456156253814697</v>
      </c>
      <c r="C604" s="98">
        <f t="shared" si="8"/>
        <v>-3.8708087844254231E-2</v>
      </c>
      <c r="D604" s="98">
        <v>-6.7663063868593137E-2</v>
      </c>
    </row>
    <row r="605" spans="1:4">
      <c r="A605">
        <v>577</v>
      </c>
      <c r="B605" s="98">
        <v>0.87844973802566528</v>
      </c>
      <c r="C605" s="98">
        <f t="shared" si="8"/>
        <v>1.1672720457598229</v>
      </c>
      <c r="D605" s="98">
        <v>0.17940094134169118</v>
      </c>
    </row>
    <row r="606" spans="1:4">
      <c r="A606">
        <v>578</v>
      </c>
      <c r="B606" s="98">
        <v>0.36375606060028076</v>
      </c>
      <c r="C606" s="98">
        <f t="shared" ref="C606:C669" si="9">NORMINV(B606,0,1)</f>
        <v>-0.34843686442572058</v>
      </c>
      <c r="D606" s="98">
        <v>9.6554203140861772E-2</v>
      </c>
    </row>
    <row r="607" spans="1:4">
      <c r="A607">
        <v>579</v>
      </c>
      <c r="B607" s="98">
        <v>0.58681350946426392</v>
      </c>
      <c r="C607" s="98">
        <f t="shared" si="9"/>
        <v>0.21935569338280361</v>
      </c>
      <c r="D607" s="98">
        <v>1.7527614653221528</v>
      </c>
    </row>
    <row r="608" spans="1:4">
      <c r="A608">
        <v>580</v>
      </c>
      <c r="B608" s="98">
        <v>0.31448054313659668</v>
      </c>
      <c r="C608" s="98">
        <f t="shared" si="9"/>
        <v>-0.48318964617357846</v>
      </c>
      <c r="D608" s="98">
        <v>0.41501779795372756</v>
      </c>
    </row>
    <row r="609" spans="1:4">
      <c r="A609">
        <v>581</v>
      </c>
      <c r="B609" s="98">
        <v>0.90736955404281616</v>
      </c>
      <c r="C609" s="98">
        <f t="shared" si="9"/>
        <v>1.3247294794854394</v>
      </c>
      <c r="D609" s="98">
        <v>-0.37763427914910863</v>
      </c>
    </row>
    <row r="610" spans="1:4">
      <c r="A610">
        <v>582</v>
      </c>
      <c r="B610" s="98">
        <v>0.32010364532470703</v>
      </c>
      <c r="C610" s="98">
        <f t="shared" si="9"/>
        <v>-0.46740899170714501</v>
      </c>
      <c r="D610" s="98">
        <v>-1.3532134121494146</v>
      </c>
    </row>
    <row r="611" spans="1:4">
      <c r="A611">
        <v>583</v>
      </c>
      <c r="B611" s="98">
        <v>0.23058813810348511</v>
      </c>
      <c r="C611" s="98">
        <f t="shared" si="9"/>
        <v>-0.73691132557529293</v>
      </c>
      <c r="D611" s="98">
        <v>0.10631857075089038</v>
      </c>
    </row>
    <row r="612" spans="1:4">
      <c r="A612">
        <v>584</v>
      </c>
      <c r="B612" s="98">
        <v>0.67912566661834717</v>
      </c>
      <c r="C612" s="98">
        <f t="shared" si="9"/>
        <v>0.46525526449424665</v>
      </c>
      <c r="D612" s="98">
        <v>-0.9233801010899545</v>
      </c>
    </row>
    <row r="613" spans="1:4">
      <c r="A613">
        <v>585</v>
      </c>
      <c r="B613" s="98">
        <v>0.4073062539100647</v>
      </c>
      <c r="C613" s="98">
        <f t="shared" si="9"/>
        <v>-0.2344798071675642</v>
      </c>
      <c r="D613" s="98">
        <v>-0.92393405463511746</v>
      </c>
    </row>
    <row r="614" spans="1:4">
      <c r="A614">
        <v>586</v>
      </c>
      <c r="B614" s="98">
        <v>0.46817505359649658</v>
      </c>
      <c r="C614" s="98">
        <f t="shared" si="9"/>
        <v>-7.9858109447557821E-2</v>
      </c>
      <c r="D614" s="98">
        <v>-0.89068743884409707</v>
      </c>
    </row>
    <row r="615" spans="1:4">
      <c r="A615">
        <v>587</v>
      </c>
      <c r="B615" s="98">
        <v>0.39001160860061646</v>
      </c>
      <c r="C615" s="98">
        <f t="shared" si="9"/>
        <v>-0.27928877858017909</v>
      </c>
      <c r="D615" s="98">
        <v>5.1102428536799784E-2</v>
      </c>
    </row>
    <row r="616" spans="1:4">
      <c r="A616">
        <v>588</v>
      </c>
      <c r="B616" s="98">
        <v>9.6995711326599121E-2</v>
      </c>
      <c r="C616" s="98">
        <f t="shared" si="9"/>
        <v>-1.2988616212623505</v>
      </c>
      <c r="D616" s="98">
        <v>-1.2482367229510059</v>
      </c>
    </row>
    <row r="617" spans="1:4">
      <c r="A617">
        <v>589</v>
      </c>
      <c r="B617" s="98">
        <v>0.84168440103530884</v>
      </c>
      <c r="C617" s="98">
        <f t="shared" si="9"/>
        <v>1.0014046893064341</v>
      </c>
      <c r="D617" s="98">
        <v>-0.15369820460003181</v>
      </c>
    </row>
    <row r="618" spans="1:4">
      <c r="A618">
        <v>590</v>
      </c>
      <c r="B618" s="98">
        <v>1.2914299964904785E-2</v>
      </c>
      <c r="C618" s="98">
        <f t="shared" si="9"/>
        <v>-2.2287791943452286</v>
      </c>
      <c r="D618" s="98">
        <v>-0.63574824883587167</v>
      </c>
    </row>
    <row r="619" spans="1:4">
      <c r="A619">
        <v>591</v>
      </c>
      <c r="B619" s="98">
        <v>0.48284465074539185</v>
      </c>
      <c r="C619" s="98">
        <f t="shared" si="9"/>
        <v>-4.3015345180157032E-2</v>
      </c>
      <c r="D619" s="98">
        <v>1.3722568200105598</v>
      </c>
    </row>
    <row r="620" spans="1:4">
      <c r="A620">
        <v>592</v>
      </c>
      <c r="B620" s="98">
        <v>0.69939029216766357</v>
      </c>
      <c r="C620" s="98">
        <f t="shared" si="9"/>
        <v>0.52264773466884806</v>
      </c>
      <c r="D620" s="98">
        <v>2.1327151789046677</v>
      </c>
    </row>
    <row r="621" spans="1:4">
      <c r="A621">
        <v>593</v>
      </c>
      <c r="B621" s="98">
        <v>0.92561393976211548</v>
      </c>
      <c r="C621" s="98">
        <f t="shared" si="9"/>
        <v>1.443882178561777</v>
      </c>
      <c r="D621" s="98">
        <v>0.27076056043793117</v>
      </c>
    </row>
    <row r="622" spans="1:4">
      <c r="A622">
        <v>594</v>
      </c>
      <c r="B622" s="98">
        <v>0.56664097309112549</v>
      </c>
      <c r="C622" s="98">
        <f t="shared" si="9"/>
        <v>0.16782868675011342</v>
      </c>
      <c r="D622" s="98">
        <v>-8.1523178213845485E-2</v>
      </c>
    </row>
    <row r="623" spans="1:4">
      <c r="A623">
        <v>595</v>
      </c>
      <c r="B623" s="98">
        <v>1.8404126167297363E-3</v>
      </c>
      <c r="C623" s="98">
        <f t="shared" si="9"/>
        <v>-2.9042938424912079</v>
      </c>
      <c r="D623" s="98">
        <v>-0.68068989797226109</v>
      </c>
    </row>
    <row r="624" spans="1:4">
      <c r="A624">
        <v>596</v>
      </c>
      <c r="B624" s="98">
        <v>0.43974971771240234</v>
      </c>
      <c r="C624" s="98">
        <f t="shared" si="9"/>
        <v>-0.15160380084115757</v>
      </c>
      <c r="D624" s="98">
        <v>-0.26506861879851523</v>
      </c>
    </row>
    <row r="625" spans="1:4">
      <c r="A625">
        <v>597</v>
      </c>
      <c r="B625" s="98">
        <v>0.29547804594039917</v>
      </c>
      <c r="C625" s="98">
        <f t="shared" si="9"/>
        <v>-0.53745104517756892</v>
      </c>
      <c r="D625" s="98">
        <v>-0.59217761260045543</v>
      </c>
    </row>
    <row r="626" spans="1:4">
      <c r="A626">
        <v>598</v>
      </c>
      <c r="B626" s="98">
        <v>0.46397709846496582</v>
      </c>
      <c r="C626" s="98">
        <f t="shared" si="9"/>
        <v>-9.0419077757647945E-2</v>
      </c>
      <c r="D626" s="98">
        <v>-0.6177335560307694</v>
      </c>
    </row>
    <row r="627" spans="1:4">
      <c r="A627">
        <v>599</v>
      </c>
      <c r="B627" s="98">
        <v>0.67616504430770874</v>
      </c>
      <c r="C627" s="98">
        <f t="shared" si="9"/>
        <v>0.45700157786376722</v>
      </c>
      <c r="D627" s="98">
        <v>0.56715979480328726</v>
      </c>
    </row>
    <row r="628" spans="1:4">
      <c r="A628">
        <v>600</v>
      </c>
      <c r="B628" s="98">
        <v>0.96252775192260742</v>
      </c>
      <c r="C628" s="98">
        <f t="shared" si="9"/>
        <v>1.7808038751720352</v>
      </c>
      <c r="D628" s="98">
        <v>4.4745205154603139E-2</v>
      </c>
    </row>
    <row r="629" spans="1:4">
      <c r="A629">
        <v>601</v>
      </c>
      <c r="B629" s="98">
        <v>0.90341347455978394</v>
      </c>
      <c r="C629" s="98">
        <f t="shared" si="9"/>
        <v>1.3012495465144576</v>
      </c>
      <c r="D629" s="98">
        <v>-1.2454429781328979</v>
      </c>
    </row>
    <row r="630" spans="1:4">
      <c r="A630">
        <v>602</v>
      </c>
      <c r="B630" s="98">
        <v>0.77188849449157715</v>
      </c>
      <c r="C630" s="98">
        <f t="shared" si="9"/>
        <v>0.74508057552619156</v>
      </c>
      <c r="D630" s="98">
        <v>-1.383039681657142</v>
      </c>
    </row>
    <row r="631" spans="1:4">
      <c r="A631">
        <v>603</v>
      </c>
      <c r="B631" s="98">
        <v>3.0262887477874756E-2</v>
      </c>
      <c r="C631" s="98">
        <f t="shared" si="9"/>
        <v>-1.876943960035379</v>
      </c>
      <c r="D631" s="98">
        <v>0.34036773939482862</v>
      </c>
    </row>
    <row r="632" spans="1:4">
      <c r="A632">
        <v>604</v>
      </c>
      <c r="B632" s="98">
        <v>0.897491455078125</v>
      </c>
      <c r="C632" s="98">
        <f t="shared" si="9"/>
        <v>1.2673865970870721</v>
      </c>
      <c r="D632" s="98">
        <v>-1.4690864952889242</v>
      </c>
    </row>
    <row r="633" spans="1:4">
      <c r="A633">
        <v>605</v>
      </c>
      <c r="B633" s="98">
        <v>0.6029168963432312</v>
      </c>
      <c r="C633" s="98">
        <f t="shared" si="9"/>
        <v>0.26090443152870008</v>
      </c>
      <c r="D633" s="98">
        <v>-0.70522012637821097</v>
      </c>
    </row>
    <row r="634" spans="1:4">
      <c r="A634">
        <v>606</v>
      </c>
      <c r="B634" s="98">
        <v>2.9339075088500977E-2</v>
      </c>
      <c r="C634" s="98">
        <f t="shared" si="9"/>
        <v>-1.8905970812525192</v>
      </c>
      <c r="D634" s="98">
        <v>-0.78685923267035662</v>
      </c>
    </row>
    <row r="635" spans="1:4">
      <c r="A635">
        <v>607</v>
      </c>
      <c r="B635" s="98">
        <v>0.11386817693710327</v>
      </c>
      <c r="C635" s="98">
        <f t="shared" si="9"/>
        <v>-1.2062104545832286</v>
      </c>
      <c r="D635" s="98">
        <v>-0.31662996706106905</v>
      </c>
    </row>
    <row r="636" spans="1:4">
      <c r="A636">
        <v>608</v>
      </c>
      <c r="B636" s="98">
        <v>0.30762910842895508</v>
      </c>
      <c r="C636" s="98">
        <f t="shared" si="9"/>
        <v>-0.50258195779571502</v>
      </c>
      <c r="D636" s="98">
        <v>0.47698754869960114</v>
      </c>
    </row>
    <row r="637" spans="1:4">
      <c r="A637">
        <v>609</v>
      </c>
      <c r="B637" s="98">
        <v>0.70502346754074097</v>
      </c>
      <c r="C637" s="98">
        <f t="shared" si="9"/>
        <v>0.53890404656698598</v>
      </c>
      <c r="D637" s="98">
        <v>-0.95496994195905183</v>
      </c>
    </row>
    <row r="638" spans="1:4">
      <c r="A638">
        <v>610</v>
      </c>
      <c r="B638" s="98">
        <v>0.3383796215057373</v>
      </c>
      <c r="C638" s="98">
        <f t="shared" si="9"/>
        <v>-0.41688948773351703</v>
      </c>
      <c r="D638" s="98">
        <v>2.0800141430724381</v>
      </c>
    </row>
    <row r="639" spans="1:4">
      <c r="A639">
        <v>611</v>
      </c>
      <c r="B639" s="98">
        <v>0.12082856893539429</v>
      </c>
      <c r="C639" s="98">
        <f t="shared" si="9"/>
        <v>-1.1708548206465066</v>
      </c>
      <c r="D639" s="98">
        <v>0.29716691281146218</v>
      </c>
    </row>
    <row r="640" spans="1:4">
      <c r="A640">
        <v>612</v>
      </c>
      <c r="B640" s="98">
        <v>0.45905399322509766</v>
      </c>
      <c r="C640" s="98">
        <f t="shared" si="9"/>
        <v>-0.1028172850930523</v>
      </c>
      <c r="D640" s="98">
        <v>-0.16902077282317471</v>
      </c>
    </row>
    <row r="641" spans="1:4">
      <c r="A641">
        <v>613</v>
      </c>
      <c r="B641" s="98">
        <v>0.91139334440231323</v>
      </c>
      <c r="C641" s="98">
        <f t="shared" si="9"/>
        <v>1.3493850781060355</v>
      </c>
      <c r="D641" s="98">
        <v>-0.36108484227416671</v>
      </c>
    </row>
    <row r="642" spans="1:4">
      <c r="A642">
        <v>614</v>
      </c>
      <c r="B642" s="98">
        <v>0.25418591499328613</v>
      </c>
      <c r="C642" s="98">
        <f t="shared" si="9"/>
        <v>-0.66137503810427112</v>
      </c>
      <c r="D642" s="98">
        <v>0.85267622543216226</v>
      </c>
    </row>
    <row r="643" spans="1:4">
      <c r="A643">
        <v>615</v>
      </c>
      <c r="B643" s="98">
        <v>0.8856167197227478</v>
      </c>
      <c r="C643" s="98">
        <f t="shared" si="9"/>
        <v>1.2035422277084429</v>
      </c>
      <c r="D643" s="98">
        <v>0.26253925632012548</v>
      </c>
    </row>
    <row r="644" spans="1:4">
      <c r="A644">
        <v>616</v>
      </c>
      <c r="B644" s="98">
        <v>0.32100439071655273</v>
      </c>
      <c r="C644" s="98">
        <f t="shared" si="9"/>
        <v>-0.46489202561910009</v>
      </c>
      <c r="D644" s="98">
        <v>1.0451780593058173</v>
      </c>
    </row>
    <row r="645" spans="1:4">
      <c r="A645">
        <v>617</v>
      </c>
      <c r="B645" s="98">
        <v>0.814311683177948</v>
      </c>
      <c r="C645" s="98">
        <f t="shared" si="9"/>
        <v>0.8938976903757927</v>
      </c>
      <c r="D645" s="98">
        <v>1.0129505538150163</v>
      </c>
    </row>
    <row r="646" spans="1:4">
      <c r="A646">
        <v>618</v>
      </c>
      <c r="B646" s="98">
        <v>0.28505873680114746</v>
      </c>
      <c r="C646" s="98">
        <f t="shared" si="9"/>
        <v>-0.56787849738308382</v>
      </c>
      <c r="D646" s="98">
        <v>-1.2348970359604921</v>
      </c>
    </row>
    <row r="647" spans="1:4">
      <c r="A647">
        <v>619</v>
      </c>
      <c r="B647" s="98">
        <v>0.38333028554916382</v>
      </c>
      <c r="C647" s="98">
        <f t="shared" si="9"/>
        <v>-0.29674582179425152</v>
      </c>
      <c r="D647" s="98">
        <v>1.2900131539952486</v>
      </c>
    </row>
    <row r="648" spans="1:4">
      <c r="A648">
        <v>620</v>
      </c>
      <c r="B648" s="98">
        <v>6.5843582153320313E-2</v>
      </c>
      <c r="C648" s="98">
        <f t="shared" si="9"/>
        <v>-1.507481960739667</v>
      </c>
      <c r="D648" s="98">
        <v>-0.12570388671335667</v>
      </c>
    </row>
    <row r="649" spans="1:4">
      <c r="A649">
        <v>621</v>
      </c>
      <c r="B649" s="98">
        <v>0.39668864011764526</v>
      </c>
      <c r="C649" s="98">
        <f t="shared" si="9"/>
        <v>-0.26192757443562203</v>
      </c>
      <c r="D649" s="98">
        <v>-0.54421771607930058</v>
      </c>
    </row>
    <row r="650" spans="1:4">
      <c r="A650">
        <v>622</v>
      </c>
      <c r="B650" s="98">
        <v>0.2825239896774292</v>
      </c>
      <c r="C650" s="98">
        <f t="shared" si="9"/>
        <v>-0.57535980962281885</v>
      </c>
      <c r="D650" s="98">
        <v>-1.3674635999224312</v>
      </c>
    </row>
    <row r="651" spans="1:4">
      <c r="A651">
        <v>623</v>
      </c>
      <c r="B651" s="98">
        <v>0.6176190972328186</v>
      </c>
      <c r="C651" s="98">
        <f t="shared" si="9"/>
        <v>0.29923361111971014</v>
      </c>
      <c r="D651" s="98">
        <v>2.488671606060274</v>
      </c>
    </row>
    <row r="652" spans="1:4">
      <c r="A652">
        <v>624</v>
      </c>
      <c r="B652" s="98">
        <v>0.12859547138214111</v>
      </c>
      <c r="C652" s="98">
        <f t="shared" si="9"/>
        <v>-1.133055510563147</v>
      </c>
      <c r="D652" s="98">
        <v>1.1553058527097659</v>
      </c>
    </row>
    <row r="653" spans="1:4">
      <c r="A653">
        <v>625</v>
      </c>
      <c r="B653" s="98">
        <v>6.9883167743682861E-2</v>
      </c>
      <c r="C653" s="98">
        <f t="shared" si="9"/>
        <v>-1.4766617302434506</v>
      </c>
      <c r="D653" s="98">
        <v>-3.8512104718102347E-2</v>
      </c>
    </row>
    <row r="654" spans="1:4">
      <c r="A654">
        <v>626</v>
      </c>
      <c r="B654" s="98">
        <v>0.18870580196380615</v>
      </c>
      <c r="C654" s="98">
        <f t="shared" si="9"/>
        <v>-0.88267553544277944</v>
      </c>
      <c r="D654" s="98">
        <v>-1.3398324975786093</v>
      </c>
    </row>
    <row r="655" spans="1:4">
      <c r="A655">
        <v>627</v>
      </c>
      <c r="B655" s="98">
        <v>0.11831194162368774</v>
      </c>
      <c r="C655" s="98">
        <f t="shared" si="9"/>
        <v>-1.1834675915691588</v>
      </c>
      <c r="D655" s="98">
        <v>0.89274861559251517</v>
      </c>
    </row>
    <row r="656" spans="1:4">
      <c r="A656">
        <v>628</v>
      </c>
      <c r="B656" s="98">
        <v>0.85158789157867432</v>
      </c>
      <c r="C656" s="98">
        <f t="shared" si="9"/>
        <v>1.0432679362831971</v>
      </c>
      <c r="D656" s="98">
        <v>-3.3627437639521154E-2</v>
      </c>
    </row>
    <row r="657" spans="1:4">
      <c r="A657">
        <v>629</v>
      </c>
      <c r="B657" s="98">
        <v>0.65920668840408325</v>
      </c>
      <c r="C657" s="98">
        <f t="shared" si="9"/>
        <v>0.41029900322514523</v>
      </c>
      <c r="D657" s="98">
        <v>0.49521003571469518</v>
      </c>
    </row>
    <row r="658" spans="1:4">
      <c r="A658">
        <v>630</v>
      </c>
      <c r="B658" s="98">
        <v>0.85460746288299561</v>
      </c>
      <c r="C658" s="98">
        <f t="shared" si="9"/>
        <v>1.056400945453152</v>
      </c>
      <c r="D658" s="98">
        <v>0.14854894941321356</v>
      </c>
    </row>
    <row r="659" spans="1:4">
      <c r="A659">
        <v>631</v>
      </c>
      <c r="B659" s="98">
        <v>0.54297024011611938</v>
      </c>
      <c r="C659" s="98">
        <f t="shared" si="9"/>
        <v>0.10791953647012531</v>
      </c>
      <c r="D659" s="98">
        <v>1.0207246149066731</v>
      </c>
    </row>
    <row r="660" spans="1:4">
      <c r="A660">
        <v>632</v>
      </c>
      <c r="B660" s="98">
        <v>0.17438805103302002</v>
      </c>
      <c r="C660" s="98">
        <f t="shared" si="9"/>
        <v>-0.93696589376282025</v>
      </c>
      <c r="D660" s="98">
        <v>-0.25213669310736964</v>
      </c>
    </row>
    <row r="661" spans="1:4">
      <c r="A661">
        <v>633</v>
      </c>
      <c r="B661" s="98">
        <v>0.90223199129104614</v>
      </c>
      <c r="C661" s="98">
        <f t="shared" si="9"/>
        <v>1.2943747227395117</v>
      </c>
      <c r="D661" s="98">
        <v>-0.75806542803747401</v>
      </c>
    </row>
    <row r="662" spans="1:4">
      <c r="A662">
        <v>634</v>
      </c>
      <c r="B662" s="98">
        <v>0.43072891235351563</v>
      </c>
      <c r="C662" s="98">
        <f t="shared" si="9"/>
        <v>-0.17451871410923303</v>
      </c>
      <c r="D662" s="98">
        <v>0.52421340259000471</v>
      </c>
    </row>
    <row r="663" spans="1:4">
      <c r="A663">
        <v>635</v>
      </c>
      <c r="B663" s="98">
        <v>0.85086077451705933</v>
      </c>
      <c r="C663" s="98">
        <f t="shared" si="9"/>
        <v>1.040132274462819</v>
      </c>
      <c r="D663" s="98">
        <v>0.48013618924541757</v>
      </c>
    </row>
    <row r="664" spans="1:4">
      <c r="A664">
        <v>636</v>
      </c>
      <c r="B664" s="98">
        <v>9.2523455619812012E-2</v>
      </c>
      <c r="C664" s="98">
        <f t="shared" si="9"/>
        <v>-1.3253746783274349</v>
      </c>
      <c r="D664" s="98">
        <v>0.92880643662955031</v>
      </c>
    </row>
    <row r="665" spans="1:4">
      <c r="A665">
        <v>637</v>
      </c>
      <c r="B665" s="98">
        <v>0.28332382440567017</v>
      </c>
      <c r="C665" s="98">
        <f t="shared" si="9"/>
        <v>-0.57299563596624037</v>
      </c>
      <c r="D665" s="98">
        <v>-0.82477327060865557</v>
      </c>
    </row>
    <row r="666" spans="1:4">
      <c r="A666">
        <v>638</v>
      </c>
      <c r="B666" s="98">
        <v>0.40261471271514893</v>
      </c>
      <c r="C666" s="98">
        <f t="shared" si="9"/>
        <v>-0.24658498576040722</v>
      </c>
      <c r="D666" s="98">
        <v>-0.97341898016540551</v>
      </c>
    </row>
    <row r="667" spans="1:4">
      <c r="A667">
        <v>639</v>
      </c>
      <c r="B667" s="98">
        <v>0.99977856874465942</v>
      </c>
      <c r="C667" s="98">
        <f t="shared" si="9"/>
        <v>3.5131289374690828</v>
      </c>
      <c r="D667" s="98">
        <v>-0.11046623017843754</v>
      </c>
    </row>
    <row r="668" spans="1:4">
      <c r="A668">
        <v>640</v>
      </c>
      <c r="B668" s="98">
        <v>0.17332684993743896</v>
      </c>
      <c r="C668" s="98">
        <f t="shared" si="9"/>
        <v>-0.94109983544160203</v>
      </c>
      <c r="D668" s="98">
        <v>-0.8373494043898061</v>
      </c>
    </row>
    <row r="669" spans="1:4">
      <c r="A669">
        <v>641</v>
      </c>
      <c r="B669" s="98">
        <v>7.2651922702789307E-2</v>
      </c>
      <c r="C669" s="98">
        <f t="shared" si="9"/>
        <v>-1.4563212081378474</v>
      </c>
      <c r="D669" s="98">
        <v>-1.7757939735880053</v>
      </c>
    </row>
    <row r="670" spans="1:4">
      <c r="A670">
        <v>642</v>
      </c>
      <c r="B670" s="98">
        <v>0.51995527744293213</v>
      </c>
      <c r="C670" s="98">
        <f t="shared" ref="C670:C733" si="10">NORMINV(B670,0,1)</f>
        <v>5.0041339874961184E-2</v>
      </c>
      <c r="D670" s="98">
        <v>-0.78354201864454276</v>
      </c>
    </row>
    <row r="671" spans="1:4">
      <c r="A671">
        <v>643</v>
      </c>
      <c r="B671" s="98">
        <v>0.21855765581130981</v>
      </c>
      <c r="C671" s="98">
        <f t="shared" si="10"/>
        <v>-0.77707366263741684</v>
      </c>
      <c r="D671" s="98">
        <v>0.28441056963070083</v>
      </c>
    </row>
    <row r="672" spans="1:4">
      <c r="A672">
        <v>644</v>
      </c>
      <c r="B672" s="98">
        <v>3.1428217887878418E-2</v>
      </c>
      <c r="C672" s="98">
        <f t="shared" si="10"/>
        <v>-1.860205651598462</v>
      </c>
      <c r="D672" s="98">
        <v>1.2212499645396113</v>
      </c>
    </row>
    <row r="673" spans="1:4">
      <c r="A673">
        <v>645</v>
      </c>
      <c r="B673" s="98">
        <v>0.73321110010147095</v>
      </c>
      <c r="C673" s="98">
        <f t="shared" si="10"/>
        <v>0.6225537685785667</v>
      </c>
      <c r="D673" s="98">
        <v>0.52041014293154397</v>
      </c>
    </row>
    <row r="674" spans="1:4">
      <c r="A674">
        <v>646</v>
      </c>
      <c r="B674" s="98">
        <v>0.20178008079528809</v>
      </c>
      <c r="C674" s="98">
        <f t="shared" si="10"/>
        <v>-0.83527984705000557</v>
      </c>
      <c r="D674" s="98">
        <v>1.0333527470804436</v>
      </c>
    </row>
    <row r="675" spans="1:4">
      <c r="A675">
        <v>647</v>
      </c>
      <c r="B675" s="98">
        <v>0.16832250356674194</v>
      </c>
      <c r="C675" s="98">
        <f t="shared" si="10"/>
        <v>-0.96081537381628457</v>
      </c>
      <c r="D675" s="98">
        <v>0.13300904612379064</v>
      </c>
    </row>
    <row r="676" spans="1:4">
      <c r="A676">
        <v>648</v>
      </c>
      <c r="B676" s="98">
        <v>0.52339744567871094</v>
      </c>
      <c r="C676" s="98">
        <f t="shared" si="10"/>
        <v>5.8682361456874881E-2</v>
      </c>
      <c r="D676" s="98">
        <v>-0.12124625793650383</v>
      </c>
    </row>
    <row r="677" spans="1:4">
      <c r="A677">
        <v>649</v>
      </c>
      <c r="B677" s="98">
        <v>0.37168329954147339</v>
      </c>
      <c r="C677" s="98">
        <f t="shared" si="10"/>
        <v>-0.32739837008102773</v>
      </c>
      <c r="D677" s="98">
        <v>-0.85717871295147685</v>
      </c>
    </row>
    <row r="678" spans="1:4">
      <c r="A678">
        <v>650</v>
      </c>
      <c r="B678" s="98">
        <v>0.15721547603607178</v>
      </c>
      <c r="C678" s="98">
        <f t="shared" si="10"/>
        <v>-1.0059680237996775</v>
      </c>
      <c r="D678" s="98">
        <v>0.76958840457043309</v>
      </c>
    </row>
    <row r="679" spans="1:4">
      <c r="A679">
        <v>651</v>
      </c>
      <c r="B679" s="98">
        <v>0.27918916940689087</v>
      </c>
      <c r="C679" s="98">
        <f t="shared" si="10"/>
        <v>-0.58525191964266798</v>
      </c>
      <c r="D679" s="98">
        <v>-0.33518587661333621</v>
      </c>
    </row>
    <row r="680" spans="1:4">
      <c r="A680">
        <v>652</v>
      </c>
      <c r="B680" s="98">
        <v>0.12899649143218994</v>
      </c>
      <c r="C680" s="98">
        <f t="shared" si="10"/>
        <v>-1.1311475754026263</v>
      </c>
      <c r="D680" s="98">
        <v>-0.45769018717813525</v>
      </c>
    </row>
    <row r="681" spans="1:4">
      <c r="A681">
        <v>653</v>
      </c>
      <c r="B681" s="98">
        <v>0.20588713884353638</v>
      </c>
      <c r="C681" s="98">
        <f t="shared" si="10"/>
        <v>-0.82077528703594416</v>
      </c>
      <c r="D681" s="98">
        <v>-1.1080958019060185</v>
      </c>
    </row>
    <row r="682" spans="1:4">
      <c r="A682">
        <v>654</v>
      </c>
      <c r="B682" s="98">
        <v>0.40282905101776123</v>
      </c>
      <c r="C682" s="98">
        <f t="shared" si="10"/>
        <v>-0.24603117225334781</v>
      </c>
      <c r="D682" s="98">
        <v>-0.4218989207363103</v>
      </c>
    </row>
    <row r="683" spans="1:4">
      <c r="A683">
        <v>655</v>
      </c>
      <c r="B683" s="98">
        <v>0.58971172571182251</v>
      </c>
      <c r="C683" s="98">
        <f t="shared" si="10"/>
        <v>0.22680349156288696</v>
      </c>
      <c r="D683" s="98">
        <v>0.87924768889086224</v>
      </c>
    </row>
    <row r="684" spans="1:4">
      <c r="A684">
        <v>656</v>
      </c>
      <c r="B684" s="98">
        <v>0.90846168994903564</v>
      </c>
      <c r="C684" s="98">
        <f t="shared" si="10"/>
        <v>1.331341648208002</v>
      </c>
      <c r="D684" s="98">
        <v>-1.2864401487843193</v>
      </c>
    </row>
    <row r="685" spans="1:4">
      <c r="A685">
        <v>657</v>
      </c>
      <c r="B685" s="98">
        <v>0.70391732454299927</v>
      </c>
      <c r="C685" s="98">
        <f t="shared" si="10"/>
        <v>0.53570079960274664</v>
      </c>
      <c r="D685" s="98">
        <v>1.749526627164196</v>
      </c>
    </row>
    <row r="686" spans="1:4">
      <c r="A686">
        <v>658</v>
      </c>
      <c r="B686" s="98">
        <v>0.20552575588226318</v>
      </c>
      <c r="C686" s="98">
        <f t="shared" si="10"/>
        <v>-0.82204460364915688</v>
      </c>
      <c r="D686" s="98">
        <v>-0.90955017148625172</v>
      </c>
    </row>
    <row r="687" spans="1:4">
      <c r="A687">
        <v>659</v>
      </c>
      <c r="B687" s="98">
        <v>0.93210989236831665</v>
      </c>
      <c r="C687" s="98">
        <f t="shared" si="10"/>
        <v>1.4916908258297206</v>
      </c>
      <c r="D687" s="98">
        <v>0.89662380759046267</v>
      </c>
    </row>
    <row r="688" spans="1:4">
      <c r="A688">
        <v>660</v>
      </c>
      <c r="B688" s="98">
        <v>0.87416040897369385</v>
      </c>
      <c r="C688" s="98">
        <f t="shared" si="10"/>
        <v>1.146280322740765</v>
      </c>
      <c r="D688" s="98">
        <v>-0.32172821899698278</v>
      </c>
    </row>
    <row r="689" spans="1:4">
      <c r="A689">
        <v>661</v>
      </c>
      <c r="B689" s="98">
        <v>0.59637194871902466</v>
      </c>
      <c r="C689" s="98">
        <f t="shared" si="10"/>
        <v>0.24396735559387422</v>
      </c>
      <c r="D689" s="98">
        <v>-0.18229402941252992</v>
      </c>
    </row>
    <row r="690" spans="1:4">
      <c r="A690">
        <v>662</v>
      </c>
      <c r="B690" s="98">
        <v>0.15785312652587891</v>
      </c>
      <c r="C690" s="98">
        <f t="shared" si="10"/>
        <v>-1.0033204898954826</v>
      </c>
      <c r="D690" s="98">
        <v>0.91677786625329083</v>
      </c>
    </row>
    <row r="691" spans="1:4">
      <c r="A691">
        <v>663</v>
      </c>
      <c r="B691" s="98">
        <v>1.0308444499969482E-2</v>
      </c>
      <c r="C691" s="98">
        <f t="shared" si="10"/>
        <v>-2.3149277025568922</v>
      </c>
      <c r="D691" s="98">
        <v>-0.31544911758413052</v>
      </c>
    </row>
    <row r="692" spans="1:4">
      <c r="A692">
        <v>664</v>
      </c>
      <c r="B692" s="98">
        <v>0.76316571235656738</v>
      </c>
      <c r="C692" s="98">
        <f t="shared" si="10"/>
        <v>0.71652283075053369</v>
      </c>
      <c r="D692" s="98">
        <v>-1.7534321668110044</v>
      </c>
    </row>
    <row r="693" spans="1:4">
      <c r="A693">
        <v>665</v>
      </c>
      <c r="B693" s="98">
        <v>0.17898982763290405</v>
      </c>
      <c r="C693" s="98">
        <f t="shared" si="10"/>
        <v>-0.91922163847479743</v>
      </c>
      <c r="D693" s="98">
        <v>-0.90978867125100293</v>
      </c>
    </row>
    <row r="694" spans="1:4">
      <c r="A694">
        <v>666</v>
      </c>
      <c r="B694" s="98">
        <v>0.95461797714233398</v>
      </c>
      <c r="C694" s="98">
        <f t="shared" si="10"/>
        <v>1.6913810681756041</v>
      </c>
      <c r="D694" s="98">
        <v>-0.84185791050373004</v>
      </c>
    </row>
    <row r="695" spans="1:4">
      <c r="A695">
        <v>667</v>
      </c>
      <c r="B695" s="98">
        <v>0.35878342390060425</v>
      </c>
      <c r="C695" s="98">
        <f t="shared" si="10"/>
        <v>-0.36171254983201084</v>
      </c>
      <c r="D695" s="98">
        <v>0.67659020528950631</v>
      </c>
    </row>
    <row r="696" spans="1:4">
      <c r="A696">
        <v>668</v>
      </c>
      <c r="B696" s="98">
        <v>0.51400923728942871</v>
      </c>
      <c r="C696" s="98">
        <f t="shared" si="10"/>
        <v>3.5123170500647477E-2</v>
      </c>
      <c r="D696" s="98">
        <v>-0.98446176409981845</v>
      </c>
    </row>
    <row r="697" spans="1:4">
      <c r="A697">
        <v>669</v>
      </c>
      <c r="B697" s="98">
        <v>0.76679128408432007</v>
      </c>
      <c r="C697" s="98">
        <f t="shared" si="10"/>
        <v>0.72832047441226311</v>
      </c>
      <c r="D697" s="98">
        <v>-0.14630258181156575</v>
      </c>
    </row>
    <row r="698" spans="1:4">
      <c r="A698">
        <v>670</v>
      </c>
      <c r="B698" s="98">
        <v>1.7084121704101563E-2</v>
      </c>
      <c r="C698" s="98">
        <f t="shared" si="10"/>
        <v>-2.1180805860078991</v>
      </c>
      <c r="D698" s="98">
        <v>-1.3423863330282422</v>
      </c>
    </row>
    <row r="699" spans="1:4">
      <c r="A699">
        <v>671</v>
      </c>
      <c r="B699" s="98">
        <v>0.23827952146530151</v>
      </c>
      <c r="C699" s="98">
        <f t="shared" si="10"/>
        <v>-0.71184777809066768</v>
      </c>
      <c r="D699" s="98">
        <v>-0.44915127765339574</v>
      </c>
    </row>
    <row r="700" spans="1:4">
      <c r="A700">
        <v>672</v>
      </c>
      <c r="B700" s="98">
        <v>0.34915757179260254</v>
      </c>
      <c r="C700" s="98">
        <f t="shared" si="10"/>
        <v>-0.38759584587138179</v>
      </c>
      <c r="D700" s="98">
        <v>1.0552500082662304</v>
      </c>
    </row>
    <row r="701" spans="1:4">
      <c r="A701">
        <v>673</v>
      </c>
      <c r="B701" s="98">
        <v>0.67980331182479858</v>
      </c>
      <c r="C701" s="98">
        <f t="shared" si="10"/>
        <v>0.46714886379531656</v>
      </c>
      <c r="D701" s="98">
        <v>0.44103107701523608</v>
      </c>
    </row>
    <row r="702" spans="1:4">
      <c r="A702">
        <v>674</v>
      </c>
      <c r="B702" s="98">
        <v>0.47073984146118164</v>
      </c>
      <c r="C702" s="98">
        <f t="shared" si="10"/>
        <v>-7.3410222807478581E-2</v>
      </c>
      <c r="D702" s="98">
        <v>-6.1536657958303494E-2</v>
      </c>
    </row>
    <row r="703" spans="1:4">
      <c r="A703">
        <v>675</v>
      </c>
      <c r="B703" s="98">
        <v>0.77233189344406128</v>
      </c>
      <c r="C703" s="98">
        <f t="shared" si="10"/>
        <v>0.74654838751533414</v>
      </c>
      <c r="D703" s="98">
        <v>0.44062955256396791</v>
      </c>
    </row>
    <row r="704" spans="1:4">
      <c r="A704">
        <v>676</v>
      </c>
      <c r="B704" s="98">
        <v>0.43316149711608887</v>
      </c>
      <c r="C704" s="98">
        <f t="shared" si="10"/>
        <v>-0.16833086411378712</v>
      </c>
      <c r="D704" s="98">
        <v>-1.5458694915049147</v>
      </c>
    </row>
    <row r="705" spans="1:4">
      <c r="A705">
        <v>677</v>
      </c>
      <c r="B705" s="98">
        <v>0.9243735671043396</v>
      </c>
      <c r="C705" s="98">
        <f t="shared" si="10"/>
        <v>1.4351201385040837</v>
      </c>
      <c r="D705" s="98">
        <v>-0.10022274755174662</v>
      </c>
    </row>
    <row r="706" spans="1:4">
      <c r="A706">
        <v>678</v>
      </c>
      <c r="B706" s="98">
        <v>0.64419841766357422</v>
      </c>
      <c r="C706" s="98">
        <f t="shared" si="10"/>
        <v>0.36970384756072561</v>
      </c>
      <c r="D706" s="98">
        <v>-0.16934420421512494</v>
      </c>
    </row>
    <row r="707" spans="1:4">
      <c r="A707">
        <v>679</v>
      </c>
      <c r="B707" s="98">
        <v>0.47510069608688354</v>
      </c>
      <c r="C707" s="98">
        <f t="shared" si="10"/>
        <v>-6.245387554807505E-2</v>
      </c>
      <c r="D707" s="98">
        <v>-0.26140469344787598</v>
      </c>
    </row>
    <row r="708" spans="1:4">
      <c r="A708">
        <v>680</v>
      </c>
      <c r="B708" s="98">
        <v>0.3836967945098877</v>
      </c>
      <c r="C708" s="98">
        <f t="shared" si="10"/>
        <v>-0.29578590340526262</v>
      </c>
      <c r="D708" s="98">
        <v>-0.52118326088755096</v>
      </c>
    </row>
    <row r="709" spans="1:4">
      <c r="A709">
        <v>681</v>
      </c>
      <c r="B709" s="98">
        <v>0.14747470617294312</v>
      </c>
      <c r="C709" s="98">
        <f t="shared" si="10"/>
        <v>-1.0473256446181956</v>
      </c>
      <c r="D709" s="98">
        <v>0.42834058586997181</v>
      </c>
    </row>
    <row r="710" spans="1:4">
      <c r="A710">
        <v>682</v>
      </c>
      <c r="B710" s="98">
        <v>0.81148064136505127</v>
      </c>
      <c r="C710" s="98">
        <f t="shared" si="10"/>
        <v>0.88336569897240957</v>
      </c>
      <c r="D710" s="98">
        <v>1.5560021010115261</v>
      </c>
    </row>
    <row r="711" spans="1:4">
      <c r="A711">
        <v>683</v>
      </c>
      <c r="B711" s="98">
        <v>0.99876672029495239</v>
      </c>
      <c r="C711" s="98">
        <f t="shared" si="10"/>
        <v>3.0274139351891978</v>
      </c>
      <c r="D711" s="98">
        <v>0.37379639035073459</v>
      </c>
    </row>
    <row r="712" spans="1:4">
      <c r="A712">
        <v>684</v>
      </c>
      <c r="B712" s="98">
        <v>0.92818582057952881</v>
      </c>
      <c r="C712" s="98">
        <f t="shared" si="10"/>
        <v>1.4624119422371471</v>
      </c>
      <c r="D712" s="98">
        <v>-0.50006063684984159</v>
      </c>
    </row>
    <row r="713" spans="1:4">
      <c r="A713">
        <v>685</v>
      </c>
      <c r="B713" s="98">
        <v>8.0535948276519775E-2</v>
      </c>
      <c r="C713" s="98">
        <f t="shared" si="10"/>
        <v>-1.4014756083193793</v>
      </c>
      <c r="D713" s="98">
        <v>-0.46013113411081352</v>
      </c>
    </row>
    <row r="714" spans="1:4">
      <c r="A714">
        <v>686</v>
      </c>
      <c r="B714" s="98">
        <v>0.23775064945220947</v>
      </c>
      <c r="C714" s="98">
        <f t="shared" si="10"/>
        <v>-0.71355676721471506</v>
      </c>
      <c r="D714" s="98">
        <v>-2.4538474977719038</v>
      </c>
    </row>
    <row r="715" spans="1:4">
      <c r="A715">
        <v>687</v>
      </c>
      <c r="B715" s="98">
        <v>0.13450747728347778</v>
      </c>
      <c r="C715" s="98">
        <f t="shared" si="10"/>
        <v>-1.1053338522790834</v>
      </c>
      <c r="D715" s="98">
        <v>1.0201758072627305</v>
      </c>
    </row>
    <row r="716" spans="1:4">
      <c r="A716">
        <v>688</v>
      </c>
      <c r="B716" s="98">
        <v>0.68457210063934326</v>
      </c>
      <c r="C716" s="98">
        <f t="shared" si="10"/>
        <v>0.48052265392313781</v>
      </c>
      <c r="D716" s="98">
        <v>-1.5191083815002069</v>
      </c>
    </row>
    <row r="717" spans="1:4">
      <c r="A717">
        <v>689</v>
      </c>
      <c r="B717" s="98">
        <v>0.38999038934707642</v>
      </c>
      <c r="C717" s="98">
        <f t="shared" si="10"/>
        <v>-0.27934408319319071</v>
      </c>
      <c r="D717" s="98">
        <v>-0.28790520443773415</v>
      </c>
    </row>
    <row r="718" spans="1:4">
      <c r="A718">
        <v>690</v>
      </c>
      <c r="B718" s="98">
        <v>1.4804959297180176E-2</v>
      </c>
      <c r="C718" s="98">
        <f t="shared" si="10"/>
        <v>-2.1752696083322478</v>
      </c>
      <c r="D718" s="98">
        <v>-0.6324439450234085</v>
      </c>
    </row>
    <row r="719" spans="1:4">
      <c r="A719">
        <v>691</v>
      </c>
      <c r="B719" s="98">
        <v>0.67102032899856567</v>
      </c>
      <c r="C719" s="98">
        <f t="shared" si="10"/>
        <v>0.44273234778211085</v>
      </c>
      <c r="D719" s="98">
        <v>0.4326765667281206</v>
      </c>
    </row>
    <row r="720" spans="1:4">
      <c r="A720">
        <v>692</v>
      </c>
      <c r="B720" s="98">
        <v>0.91698682308197021</v>
      </c>
      <c r="C720" s="98">
        <f t="shared" si="10"/>
        <v>1.3850854060143847</v>
      </c>
      <c r="D720" s="98">
        <v>-0.24694844526506707</v>
      </c>
    </row>
    <row r="721" spans="1:4">
      <c r="A721">
        <v>693</v>
      </c>
      <c r="B721" s="98">
        <v>0.97448450326919556</v>
      </c>
      <c r="C721" s="98">
        <f t="shared" si="10"/>
        <v>1.9512190527347422</v>
      </c>
      <c r="D721" s="98">
        <v>-0.72021421213173809</v>
      </c>
    </row>
    <row r="722" spans="1:4">
      <c r="A722">
        <v>694</v>
      </c>
      <c r="B722" s="98">
        <v>6.4042329788208008E-2</v>
      </c>
      <c r="C722" s="98">
        <f t="shared" si="10"/>
        <v>-1.5216984364415995</v>
      </c>
      <c r="D722" s="98">
        <v>-1.6637367569540242</v>
      </c>
    </row>
    <row r="723" spans="1:4">
      <c r="A723">
        <v>695</v>
      </c>
      <c r="B723" s="98">
        <v>0.18651622533798218</v>
      </c>
      <c r="C723" s="98">
        <f t="shared" si="10"/>
        <v>-0.89080750039093537</v>
      </c>
      <c r="D723" s="98">
        <v>-2.4740051135149346E-2</v>
      </c>
    </row>
    <row r="724" spans="1:4">
      <c r="A724">
        <v>696</v>
      </c>
      <c r="B724" s="98">
        <v>2.8748989105224609E-2</v>
      </c>
      <c r="C724" s="98">
        <f t="shared" si="10"/>
        <v>-1.8995060021119425</v>
      </c>
      <c r="D724" s="98">
        <v>1.8155422121446498</v>
      </c>
    </row>
    <row r="725" spans="1:4">
      <c r="A725">
        <v>697</v>
      </c>
      <c r="B725" s="98">
        <v>0.85904663801193237</v>
      </c>
      <c r="C725" s="98">
        <f t="shared" si="10"/>
        <v>1.0760459112134824</v>
      </c>
      <c r="D725" s="98">
        <v>-1.0094050719627359</v>
      </c>
    </row>
    <row r="726" spans="1:4">
      <c r="A726">
        <v>698</v>
      </c>
      <c r="B726" s="98">
        <v>0.87435472011566162</v>
      </c>
      <c r="C726" s="98">
        <f t="shared" si="10"/>
        <v>1.14722035800722</v>
      </c>
      <c r="D726" s="98">
        <v>-2.5459805777049893</v>
      </c>
    </row>
    <row r="727" spans="1:4">
      <c r="A727">
        <v>699</v>
      </c>
      <c r="B727" s="98">
        <v>0.77523237466812134</v>
      </c>
      <c r="C727" s="98">
        <f t="shared" si="10"/>
        <v>0.75619006144947121</v>
      </c>
      <c r="D727" s="98">
        <v>0.75650162587492886</v>
      </c>
    </row>
    <row r="728" spans="1:4">
      <c r="A728">
        <v>700</v>
      </c>
      <c r="B728" s="98">
        <v>0.29149401187896729</v>
      </c>
      <c r="C728" s="98">
        <f t="shared" si="10"/>
        <v>-0.54902539281035689</v>
      </c>
      <c r="D728" s="98">
        <v>-0.64596833343596261</v>
      </c>
    </row>
    <row r="729" spans="1:4">
      <c r="A729">
        <v>701</v>
      </c>
      <c r="B729" s="98">
        <v>0.16273051500320435</v>
      </c>
      <c r="C729" s="98">
        <f t="shared" si="10"/>
        <v>-0.98329752069308485</v>
      </c>
      <c r="D729" s="98">
        <v>0.11400419064235871</v>
      </c>
    </row>
    <row r="730" spans="1:4">
      <c r="A730">
        <v>702</v>
      </c>
      <c r="B730" s="98">
        <v>0.27265405654907227</v>
      </c>
      <c r="C730" s="98">
        <f t="shared" si="10"/>
        <v>-0.60480568911086929</v>
      </c>
      <c r="D730" s="98">
        <v>-0.65442784933796694</v>
      </c>
    </row>
    <row r="731" spans="1:4">
      <c r="A731">
        <v>703</v>
      </c>
      <c r="B731" s="98">
        <v>0.3392454981803894</v>
      </c>
      <c r="C731" s="98">
        <f t="shared" si="10"/>
        <v>-0.41452317764990348</v>
      </c>
      <c r="D731" s="98">
        <v>0.83011451795148972</v>
      </c>
    </row>
    <row r="732" spans="1:4">
      <c r="A732">
        <v>704</v>
      </c>
      <c r="B732" s="98">
        <v>0.40961360931396484</v>
      </c>
      <c r="C732" s="98">
        <f t="shared" si="10"/>
        <v>-0.22853902827145223</v>
      </c>
      <c r="D732" s="98">
        <v>0.99525344106525993</v>
      </c>
    </row>
    <row r="733" spans="1:4">
      <c r="A733">
        <v>705</v>
      </c>
      <c r="B733" s="98">
        <v>0.77651137113571167</v>
      </c>
      <c r="C733" s="98">
        <f t="shared" si="10"/>
        <v>0.76046403758991077</v>
      </c>
      <c r="D733" s="98">
        <v>2.067832728149924</v>
      </c>
    </row>
    <row r="734" spans="1:4">
      <c r="A734">
        <v>706</v>
      </c>
      <c r="B734" s="98">
        <v>0.83545231819152832</v>
      </c>
      <c r="C734" s="98">
        <f t="shared" ref="C734:C797" si="11">NORMINV(B734,0,1)</f>
        <v>0.97593764886263734</v>
      </c>
      <c r="D734" s="98">
        <v>1.2801881386107488</v>
      </c>
    </row>
    <row r="735" spans="1:4">
      <c r="A735">
        <v>707</v>
      </c>
      <c r="B735" s="98">
        <v>0.20236438512802124</v>
      </c>
      <c r="C735" s="98">
        <f t="shared" si="11"/>
        <v>-0.8332056258764402</v>
      </c>
      <c r="D735" s="98">
        <v>-0.18666117633816262</v>
      </c>
    </row>
    <row r="736" spans="1:4">
      <c r="A736">
        <v>708</v>
      </c>
      <c r="B736" s="98">
        <v>0.86452054977416992</v>
      </c>
      <c r="C736" s="98">
        <f t="shared" si="11"/>
        <v>1.1008569972466833</v>
      </c>
      <c r="D736" s="98">
        <v>1.3887895109994559</v>
      </c>
    </row>
    <row r="737" spans="1:4">
      <c r="A737">
        <v>709</v>
      </c>
      <c r="B737" s="98">
        <v>8.8060081005096436E-2</v>
      </c>
      <c r="C737" s="98">
        <f t="shared" si="11"/>
        <v>-1.3527980308969625</v>
      </c>
      <c r="D737" s="98">
        <v>2.0575180585791957</v>
      </c>
    </row>
    <row r="738" spans="1:4">
      <c r="A738">
        <v>710</v>
      </c>
      <c r="B738" s="98">
        <v>0.58541619777679443</v>
      </c>
      <c r="C738" s="98">
        <f t="shared" si="11"/>
        <v>0.21576926822830414</v>
      </c>
      <c r="D738" s="98">
        <v>0.69340734868172504</v>
      </c>
    </row>
    <row r="739" spans="1:4">
      <c r="A739">
        <v>711</v>
      </c>
      <c r="B739" s="98">
        <v>0.4252510666847229</v>
      </c>
      <c r="C739" s="98">
        <f t="shared" si="11"/>
        <v>-0.18847777870371812</v>
      </c>
      <c r="D739" s="98">
        <v>-1.2673215946554744E-2</v>
      </c>
    </row>
    <row r="740" spans="1:4">
      <c r="A740">
        <v>712</v>
      </c>
      <c r="B740" s="98">
        <v>0.3015362024307251</v>
      </c>
      <c r="C740" s="98">
        <f t="shared" si="11"/>
        <v>-0.51998733152347432</v>
      </c>
      <c r="D740" s="98">
        <v>-1.4027526412321272</v>
      </c>
    </row>
    <row r="741" spans="1:4">
      <c r="A741">
        <v>713</v>
      </c>
      <c r="B741" s="98">
        <v>0.57205706834793091</v>
      </c>
      <c r="C741" s="98">
        <f t="shared" si="11"/>
        <v>0.18161374243781714</v>
      </c>
      <c r="D741" s="98">
        <v>-1.7355586934305964</v>
      </c>
    </row>
    <row r="742" spans="1:4">
      <c r="A742">
        <v>714</v>
      </c>
      <c r="B742" s="98">
        <v>0.92932689189910889</v>
      </c>
      <c r="C742" s="98">
        <f t="shared" si="11"/>
        <v>1.47079628956021</v>
      </c>
      <c r="D742" s="98">
        <v>1.732606919889804</v>
      </c>
    </row>
    <row r="743" spans="1:4">
      <c r="A743">
        <v>715</v>
      </c>
      <c r="B743" s="98">
        <v>0.59713226556777954</v>
      </c>
      <c r="C743" s="98">
        <f t="shared" si="11"/>
        <v>0.2459312289708209</v>
      </c>
      <c r="D743" s="98">
        <v>-1.2645673053933075</v>
      </c>
    </row>
    <row r="744" spans="1:4">
      <c r="A744">
        <v>716</v>
      </c>
      <c r="B744" s="98">
        <v>0.7640540599822998</v>
      </c>
      <c r="C744" s="98">
        <f t="shared" si="11"/>
        <v>0.71940424830853944</v>
      </c>
      <c r="D744" s="98">
        <v>-0.13281706427833609</v>
      </c>
    </row>
    <row r="745" spans="1:4">
      <c r="A745">
        <v>717</v>
      </c>
      <c r="B745" s="98">
        <v>0.98443025350570679</v>
      </c>
      <c r="C745" s="98">
        <f t="shared" si="11"/>
        <v>2.1552855866319178</v>
      </c>
      <c r="D745" s="98">
        <v>0.85678097653517737</v>
      </c>
    </row>
    <row r="746" spans="1:4">
      <c r="A746">
        <v>718</v>
      </c>
      <c r="B746" s="98">
        <v>0.75118350982666016</v>
      </c>
      <c r="C746" s="98">
        <f t="shared" si="11"/>
        <v>0.6782187902785114</v>
      </c>
      <c r="D746" s="98">
        <v>0.13306040320442039</v>
      </c>
    </row>
    <row r="747" spans="1:4">
      <c r="A747">
        <v>719</v>
      </c>
      <c r="B747" s="98">
        <v>0.42562979459762573</v>
      </c>
      <c r="C747" s="98">
        <f t="shared" si="11"/>
        <v>-0.1875115238679714</v>
      </c>
      <c r="D747" s="98">
        <v>2.2450338070728106</v>
      </c>
    </row>
    <row r="748" spans="1:4">
      <c r="A748">
        <v>720</v>
      </c>
      <c r="B748" s="98">
        <v>0.72917675971984863</v>
      </c>
      <c r="C748" s="98">
        <f t="shared" si="11"/>
        <v>0.61032508879166181</v>
      </c>
      <c r="D748" s="98">
        <v>0.54280332068375892</v>
      </c>
    </row>
    <row r="749" spans="1:4">
      <c r="A749">
        <v>721</v>
      </c>
      <c r="B749" s="98">
        <v>0.1012691855430603</v>
      </c>
      <c r="C749" s="98">
        <f t="shared" si="11"/>
        <v>-1.2743529154566138</v>
      </c>
      <c r="D749" s="98">
        <v>0.340462103618345</v>
      </c>
    </row>
    <row r="750" spans="1:4">
      <c r="A750">
        <v>722</v>
      </c>
      <c r="B750" s="98">
        <v>0.90465652942657471</v>
      </c>
      <c r="C750" s="98">
        <f t="shared" si="11"/>
        <v>1.3085496638010397</v>
      </c>
      <c r="D750" s="98">
        <v>1.0889113449561005</v>
      </c>
    </row>
    <row r="751" spans="1:4">
      <c r="A751">
        <v>723</v>
      </c>
      <c r="B751" s="98">
        <v>0.60009843111038208</v>
      </c>
      <c r="C751" s="98">
        <f t="shared" si="11"/>
        <v>0.25360188815107471</v>
      </c>
      <c r="D751" s="98">
        <v>-1.6812910607243012</v>
      </c>
    </row>
    <row r="752" spans="1:4">
      <c r="A752">
        <v>724</v>
      </c>
      <c r="B752" s="98">
        <v>0.34262025356292725</v>
      </c>
      <c r="C752" s="98">
        <f t="shared" si="11"/>
        <v>-0.40532244914124166</v>
      </c>
      <c r="D752" s="98">
        <v>-0.92073773977367146</v>
      </c>
    </row>
    <row r="753" spans="1:4">
      <c r="A753">
        <v>725</v>
      </c>
      <c r="B753" s="98">
        <v>0.18684202432632446</v>
      </c>
      <c r="C753" s="98">
        <f t="shared" si="11"/>
        <v>-0.88959377744983203</v>
      </c>
      <c r="D753" s="98">
        <v>-0.81355106985471348</v>
      </c>
    </row>
    <row r="754" spans="1:4">
      <c r="A754">
        <v>726</v>
      </c>
      <c r="B754" s="98">
        <v>4.912722110748291E-2</v>
      </c>
      <c r="C754" s="98">
        <f t="shared" si="11"/>
        <v>-1.6533756164184441</v>
      </c>
      <c r="D754" s="98">
        <v>0.30738820726020755</v>
      </c>
    </row>
    <row r="755" spans="1:4">
      <c r="A755">
        <v>727</v>
      </c>
      <c r="B755" s="98">
        <v>1.8737137317657471E-2</v>
      </c>
      <c r="C755" s="98">
        <f t="shared" si="11"/>
        <v>-2.0805591675512223</v>
      </c>
      <c r="D755" s="98">
        <v>0.56100523195817142</v>
      </c>
    </row>
    <row r="756" spans="1:4">
      <c r="A756">
        <v>728</v>
      </c>
      <c r="B756" s="98">
        <v>0.44086658954620361</v>
      </c>
      <c r="C756" s="98">
        <f t="shared" si="11"/>
        <v>-0.1487724643194428</v>
      </c>
      <c r="D756" s="98">
        <v>-1.1697801838894215</v>
      </c>
    </row>
    <row r="757" spans="1:4">
      <c r="A757">
        <v>729</v>
      </c>
      <c r="B757" s="98">
        <v>0.14869481325149536</v>
      </c>
      <c r="C757" s="98">
        <f t="shared" si="11"/>
        <v>-1.0420475661601183</v>
      </c>
      <c r="D757" s="98">
        <v>-0.47661041796719822</v>
      </c>
    </row>
    <row r="758" spans="1:4">
      <c r="A758">
        <v>730</v>
      </c>
      <c r="B758" s="98">
        <v>0.79516637325286865</v>
      </c>
      <c r="C758" s="98">
        <f t="shared" si="11"/>
        <v>0.82447933401611495</v>
      </c>
      <c r="D758" s="98">
        <v>-0.53514107376967068</v>
      </c>
    </row>
    <row r="759" spans="1:4">
      <c r="A759">
        <v>731</v>
      </c>
      <c r="B759" s="98">
        <v>0.56455522775650024</v>
      </c>
      <c r="C759" s="98">
        <f t="shared" si="11"/>
        <v>0.16252868083566124</v>
      </c>
      <c r="D759" s="98">
        <v>0.93480117170876798</v>
      </c>
    </row>
    <row r="760" spans="1:4">
      <c r="A760">
        <v>732</v>
      </c>
      <c r="B760" s="98">
        <v>0.28739416599273682</v>
      </c>
      <c r="C760" s="98">
        <f t="shared" si="11"/>
        <v>-0.56101350316453558</v>
      </c>
      <c r="D760" s="98">
        <v>-0.74458592649159228</v>
      </c>
    </row>
    <row r="761" spans="1:4">
      <c r="A761">
        <v>733</v>
      </c>
      <c r="B761" s="98">
        <v>0.86741286516189575</v>
      </c>
      <c r="C761" s="98">
        <f t="shared" si="11"/>
        <v>1.1142445928356077</v>
      </c>
      <c r="D761" s="98">
        <v>0.65145030192038755</v>
      </c>
    </row>
    <row r="762" spans="1:4">
      <c r="A762">
        <v>734</v>
      </c>
      <c r="B762" s="98">
        <v>0.46741569042205811</v>
      </c>
      <c r="C762" s="98">
        <f t="shared" si="11"/>
        <v>-8.1767776530440275E-2</v>
      </c>
      <c r="D762" s="98">
        <v>0.68211815321232538</v>
      </c>
    </row>
    <row r="763" spans="1:4">
      <c r="A763">
        <v>735</v>
      </c>
      <c r="B763" s="98">
        <v>0.47017055749893188</v>
      </c>
      <c r="C763" s="98">
        <f t="shared" si="11"/>
        <v>-7.4841131957712415E-2</v>
      </c>
      <c r="D763" s="98">
        <v>1.4568456170517052</v>
      </c>
    </row>
    <row r="764" spans="1:4">
      <c r="A764">
        <v>736</v>
      </c>
      <c r="B764" s="98">
        <v>0.12435448169708252</v>
      </c>
      <c r="C764" s="98">
        <f t="shared" si="11"/>
        <v>-1.1534908686836787</v>
      </c>
      <c r="D764" s="98">
        <v>0.17649865953350724</v>
      </c>
    </row>
    <row r="765" spans="1:4">
      <c r="A765">
        <v>737</v>
      </c>
      <c r="B765" s="98">
        <v>6.7957699298858643E-2</v>
      </c>
      <c r="C765" s="98">
        <f t="shared" si="11"/>
        <v>-1.4911755977164085</v>
      </c>
      <c r="D765" s="98">
        <v>9.4160536259923447E-2</v>
      </c>
    </row>
    <row r="766" spans="1:4">
      <c r="A766">
        <v>738</v>
      </c>
      <c r="B766" s="98">
        <v>0.42721688747406006</v>
      </c>
      <c r="C766" s="98">
        <f t="shared" si="11"/>
        <v>-0.18346423989371183</v>
      </c>
      <c r="D766" s="98">
        <v>0.92885857963644858</v>
      </c>
    </row>
    <row r="767" spans="1:4">
      <c r="A767">
        <v>739</v>
      </c>
      <c r="B767" s="98">
        <v>0.21625524759292603</v>
      </c>
      <c r="C767" s="98">
        <f t="shared" si="11"/>
        <v>-0.78490291097880638</v>
      </c>
      <c r="D767" s="98">
        <v>-0.48003568680101222</v>
      </c>
    </row>
    <row r="768" spans="1:4">
      <c r="A768">
        <v>740</v>
      </c>
      <c r="B768" s="98">
        <v>0.7737123966217041</v>
      </c>
      <c r="C768" s="98">
        <f t="shared" si="11"/>
        <v>0.75112869692485762</v>
      </c>
      <c r="D768" s="98">
        <v>-0.88724859306321102</v>
      </c>
    </row>
    <row r="769" spans="1:4">
      <c r="A769">
        <v>741</v>
      </c>
      <c r="B769" s="98">
        <v>0.1815294623374939</v>
      </c>
      <c r="C769" s="98">
        <f t="shared" si="11"/>
        <v>-0.90955180620055343</v>
      </c>
      <c r="D769" s="98">
        <v>-0.85354242485041221</v>
      </c>
    </row>
    <row r="770" spans="1:4">
      <c r="A770">
        <v>742</v>
      </c>
      <c r="B770" s="98">
        <v>0.55277645587921143</v>
      </c>
      <c r="C770" s="98">
        <f t="shared" si="11"/>
        <v>0.13267920653066176</v>
      </c>
      <c r="D770" s="98">
        <v>0.30952929848202582</v>
      </c>
    </row>
    <row r="771" spans="1:4">
      <c r="A771">
        <v>743</v>
      </c>
      <c r="B771" s="98">
        <v>0.56491833925247192</v>
      </c>
      <c r="C771" s="98">
        <f t="shared" si="11"/>
        <v>0.16345103691602622</v>
      </c>
      <c r="D771" s="98">
        <v>1.8222476943098993</v>
      </c>
    </row>
    <row r="772" spans="1:4">
      <c r="A772">
        <v>744</v>
      </c>
      <c r="B772" s="98">
        <v>0.64892804622650146</v>
      </c>
      <c r="C772" s="98">
        <f t="shared" si="11"/>
        <v>0.38242802336533804</v>
      </c>
      <c r="D772" s="98">
        <v>-0.42396193710485641</v>
      </c>
    </row>
    <row r="773" spans="1:4">
      <c r="A773">
        <v>745</v>
      </c>
      <c r="B773" s="98">
        <v>0.91147333383560181</v>
      </c>
      <c r="C773" s="98">
        <f t="shared" si="11"/>
        <v>1.3498835710684636</v>
      </c>
      <c r="D773" s="98">
        <v>-0.64239383219668544</v>
      </c>
    </row>
    <row r="774" spans="1:4">
      <c r="A774">
        <v>746</v>
      </c>
      <c r="B774" s="98">
        <v>8.5690021514892578E-3</v>
      </c>
      <c r="C774" s="98">
        <f t="shared" si="11"/>
        <v>-2.3837335853090846</v>
      </c>
      <c r="D774" s="98">
        <v>-1.225448047187454</v>
      </c>
    </row>
    <row r="775" spans="1:4">
      <c r="A775">
        <v>747</v>
      </c>
      <c r="B775" s="98">
        <v>0.17324870824813843</v>
      </c>
      <c r="C775" s="98">
        <f t="shared" si="11"/>
        <v>-0.94140487462541256</v>
      </c>
      <c r="D775" s="98">
        <v>-0.65115957447943473</v>
      </c>
    </row>
    <row r="776" spans="1:4">
      <c r="A776">
        <v>748</v>
      </c>
      <c r="B776" s="98">
        <v>0.94165945053100586</v>
      </c>
      <c r="C776" s="98">
        <f t="shared" si="11"/>
        <v>1.568857705023879</v>
      </c>
      <c r="D776" s="98">
        <v>-0.20651506007264875</v>
      </c>
    </row>
    <row r="777" spans="1:4">
      <c r="A777">
        <v>749</v>
      </c>
      <c r="B777" s="98">
        <v>0.56562775373458862</v>
      </c>
      <c r="C777" s="98">
        <f t="shared" si="11"/>
        <v>0.16525345505349515</v>
      </c>
      <c r="D777" s="98">
        <v>0.1602304643600824</v>
      </c>
    </row>
    <row r="778" spans="1:4">
      <c r="A778">
        <v>750</v>
      </c>
      <c r="B778" s="98">
        <v>0.32374358177185059</v>
      </c>
      <c r="C778" s="98">
        <f t="shared" si="11"/>
        <v>-0.4572558441192548</v>
      </c>
      <c r="D778" s="98">
        <v>-0.87595574653977382</v>
      </c>
    </row>
    <row r="779" spans="1:4">
      <c r="A779">
        <v>751</v>
      </c>
      <c r="B779" s="98">
        <v>0.94305700063705444</v>
      </c>
      <c r="C779" s="98">
        <f t="shared" si="11"/>
        <v>1.5809651832793692</v>
      </c>
      <c r="D779" s="98">
        <v>-0.78416045577821747</v>
      </c>
    </row>
    <row r="780" spans="1:4">
      <c r="A780">
        <v>752</v>
      </c>
      <c r="B780" s="98">
        <v>0.21494102478027344</v>
      </c>
      <c r="C780" s="98">
        <f t="shared" si="11"/>
        <v>-0.78939350718495083</v>
      </c>
      <c r="D780" s="98">
        <v>0.35069453919313359</v>
      </c>
    </row>
    <row r="781" spans="1:4">
      <c r="A781">
        <v>753</v>
      </c>
      <c r="B781" s="98">
        <v>0.68767756223678589</v>
      </c>
      <c r="C781" s="98">
        <f t="shared" si="11"/>
        <v>0.48927802643349283</v>
      </c>
      <c r="D781" s="98">
        <v>0.82968237890800545</v>
      </c>
    </row>
    <row r="782" spans="1:4">
      <c r="A782">
        <v>754</v>
      </c>
      <c r="B782" s="98">
        <v>0.73494172096252441</v>
      </c>
      <c r="C782" s="98">
        <f t="shared" si="11"/>
        <v>0.62782809676777762</v>
      </c>
      <c r="D782" s="98">
        <v>0.32399988485692993</v>
      </c>
    </row>
    <row r="783" spans="1:4">
      <c r="A783">
        <v>755</v>
      </c>
      <c r="B783" s="98">
        <v>2.919614315032959E-3</v>
      </c>
      <c r="C783" s="98">
        <f t="shared" si="11"/>
        <v>-2.7566753975785372</v>
      </c>
      <c r="D783" s="98">
        <v>2.5863296488833842E-2</v>
      </c>
    </row>
    <row r="784" spans="1:4">
      <c r="A784">
        <v>756</v>
      </c>
      <c r="B784" s="98">
        <v>0.82863092422485352</v>
      </c>
      <c r="C784" s="98">
        <f t="shared" si="11"/>
        <v>0.9487689217432439</v>
      </c>
      <c r="D784" s="98">
        <v>0.2097935796703447</v>
      </c>
    </row>
    <row r="785" spans="1:4">
      <c r="A785">
        <v>757</v>
      </c>
      <c r="B785" s="98">
        <v>0.61662739515304565</v>
      </c>
      <c r="C785" s="98">
        <f t="shared" si="11"/>
        <v>0.29663496997766275</v>
      </c>
      <c r="D785" s="98">
        <v>-1.4201397497510146</v>
      </c>
    </row>
    <row r="786" spans="1:4">
      <c r="A786">
        <v>758</v>
      </c>
      <c r="B786" s="98">
        <v>0.28171420097351074</v>
      </c>
      <c r="C786" s="98">
        <f t="shared" si="11"/>
        <v>-0.57775668622717635</v>
      </c>
      <c r="D786" s="98">
        <v>-0.85849709864022616</v>
      </c>
    </row>
    <row r="787" spans="1:4">
      <c r="A787">
        <v>759</v>
      </c>
      <c r="B787" s="98">
        <v>0.73418420553207397</v>
      </c>
      <c r="C787" s="98">
        <f t="shared" si="11"/>
        <v>0.6255173132866314</v>
      </c>
      <c r="D787" s="98">
        <v>0.78844047779886128</v>
      </c>
    </row>
    <row r="788" spans="1:4">
      <c r="A788">
        <v>760</v>
      </c>
      <c r="B788" s="98">
        <v>0.98634243011474609</v>
      </c>
      <c r="C788" s="98">
        <f t="shared" si="11"/>
        <v>2.2069845353575857</v>
      </c>
      <c r="D788" s="98">
        <v>0.81545041832854559</v>
      </c>
    </row>
    <row r="789" spans="1:4">
      <c r="A789">
        <v>761</v>
      </c>
      <c r="B789" s="98">
        <v>0.24163740873336792</v>
      </c>
      <c r="C789" s="98">
        <f t="shared" si="11"/>
        <v>-0.70104518429839735</v>
      </c>
      <c r="D789" s="98">
        <v>0.69597166809307565</v>
      </c>
    </row>
    <row r="790" spans="1:4">
      <c r="A790">
        <v>762</v>
      </c>
      <c r="B790" s="98">
        <v>0.45673680305480957</v>
      </c>
      <c r="C790" s="98">
        <f t="shared" si="11"/>
        <v>-0.10865818857962736</v>
      </c>
      <c r="D790" s="98">
        <v>-1.4345889527916529</v>
      </c>
    </row>
    <row r="791" spans="1:4">
      <c r="A791">
        <v>763</v>
      </c>
      <c r="B791" s="98">
        <v>0.15882343053817749</v>
      </c>
      <c r="C791" s="98">
        <f t="shared" si="11"/>
        <v>-0.99930521262910177</v>
      </c>
      <c r="D791" s="98">
        <v>-0.19255811059333172</v>
      </c>
    </row>
    <row r="792" spans="1:4">
      <c r="A792">
        <v>764</v>
      </c>
      <c r="B792" s="98">
        <v>0.59481382369995117</v>
      </c>
      <c r="C792" s="98">
        <f t="shared" si="11"/>
        <v>0.23994569928149764</v>
      </c>
      <c r="D792" s="98">
        <v>-0.16757268717982532</v>
      </c>
    </row>
    <row r="793" spans="1:4">
      <c r="A793">
        <v>765</v>
      </c>
      <c r="B793" s="98">
        <v>0.34249275922775269</v>
      </c>
      <c r="C793" s="98">
        <f t="shared" si="11"/>
        <v>-0.40566941415372848</v>
      </c>
      <c r="D793" s="98">
        <v>-0.2441615288649831</v>
      </c>
    </row>
    <row r="794" spans="1:4">
      <c r="A794">
        <v>766</v>
      </c>
      <c r="B794" s="98">
        <v>0.7058103084564209</v>
      </c>
      <c r="C794" s="98">
        <f t="shared" si="11"/>
        <v>0.54118600448519305</v>
      </c>
      <c r="D794" s="98">
        <v>-8.266471209646295E-2</v>
      </c>
    </row>
    <row r="795" spans="1:4">
      <c r="A795">
        <v>767</v>
      </c>
      <c r="B795" s="98">
        <v>0.43943494558334351</v>
      </c>
      <c r="C795" s="98">
        <f t="shared" si="11"/>
        <v>-0.15240198550271167</v>
      </c>
      <c r="D795" s="98">
        <v>1.050847570144847</v>
      </c>
    </row>
    <row r="796" spans="1:4">
      <c r="A796">
        <v>768</v>
      </c>
      <c r="B796" s="98">
        <v>0.76390838623046875</v>
      </c>
      <c r="C796" s="98">
        <f t="shared" si="11"/>
        <v>0.71893133634892137</v>
      </c>
      <c r="D796" s="98">
        <v>1.0506442083588892</v>
      </c>
    </row>
    <row r="797" spans="1:4">
      <c r="A797">
        <v>769</v>
      </c>
      <c r="B797" s="98">
        <v>8.9603602886199951E-2</v>
      </c>
      <c r="C797" s="98">
        <f t="shared" si="11"/>
        <v>-1.3432000491280538</v>
      </c>
      <c r="D797" s="98">
        <v>9.732973897216618E-2</v>
      </c>
    </row>
    <row r="798" spans="1:4">
      <c r="A798">
        <v>770</v>
      </c>
      <c r="B798" s="98">
        <v>0.92786049842834473</v>
      </c>
      <c r="C798" s="98">
        <f t="shared" ref="C798:C861" si="12">NORMINV(B798,0,1)</f>
        <v>1.4600402830477885</v>
      </c>
      <c r="D798" s="98">
        <v>-1.162327540791624</v>
      </c>
    </row>
    <row r="799" spans="1:4">
      <c r="A799">
        <v>771</v>
      </c>
      <c r="B799" s="98">
        <v>0.37924140691757202</v>
      </c>
      <c r="C799" s="98">
        <f t="shared" si="12"/>
        <v>-0.30747373235358549</v>
      </c>
      <c r="D799" s="98">
        <v>1.7812583491582465</v>
      </c>
    </row>
    <row r="800" spans="1:4">
      <c r="A800">
        <v>772</v>
      </c>
      <c r="B800" s="98">
        <v>0.30661439895629883</v>
      </c>
      <c r="C800" s="98">
        <f t="shared" si="12"/>
        <v>-0.50546995199285838</v>
      </c>
      <c r="D800" s="98">
        <v>1.8547628048180449</v>
      </c>
    </row>
    <row r="801" spans="1:4">
      <c r="A801">
        <v>773</v>
      </c>
      <c r="B801" s="98">
        <v>0.54400509595870972</v>
      </c>
      <c r="C801" s="98">
        <f t="shared" si="12"/>
        <v>0.11052905549178678</v>
      </c>
      <c r="D801" s="98">
        <v>-0.40952043598687132</v>
      </c>
    </row>
    <row r="802" spans="1:4">
      <c r="A802">
        <v>774</v>
      </c>
      <c r="B802" s="98">
        <v>0.97493815422058105</v>
      </c>
      <c r="C802" s="98">
        <f t="shared" si="12"/>
        <v>1.9589068937475216</v>
      </c>
      <c r="D802" s="98">
        <v>-1.4125710003355825</v>
      </c>
    </row>
    <row r="803" spans="1:4">
      <c r="A803">
        <v>775</v>
      </c>
      <c r="B803" s="98">
        <v>0.92209047079086304</v>
      </c>
      <c r="C803" s="98">
        <f t="shared" si="12"/>
        <v>1.4192743112863024</v>
      </c>
      <c r="D803" s="98">
        <v>-0.71912315216091161</v>
      </c>
    </row>
    <row r="804" spans="1:4">
      <c r="A804">
        <v>776</v>
      </c>
      <c r="B804" s="98">
        <v>0.23904514312744141</v>
      </c>
      <c r="C804" s="98">
        <f t="shared" si="12"/>
        <v>-0.70937743596664116</v>
      </c>
      <c r="D804" s="98">
        <v>-1.4561899229623638</v>
      </c>
    </row>
    <row r="805" spans="1:4">
      <c r="A805">
        <v>777</v>
      </c>
      <c r="B805" s="98">
        <v>0.15735739469528198</v>
      </c>
      <c r="C805" s="98">
        <f t="shared" si="12"/>
        <v>-1.0053781658227414</v>
      </c>
      <c r="D805" s="98">
        <v>1.019832355848338</v>
      </c>
    </row>
    <row r="806" spans="1:4">
      <c r="A806">
        <v>778</v>
      </c>
      <c r="B806" s="98">
        <v>0.15221905708312988</v>
      </c>
      <c r="C806" s="98">
        <f t="shared" si="12"/>
        <v>-1.0269625173876484</v>
      </c>
      <c r="D806" s="98">
        <v>0.38841406125212635</v>
      </c>
    </row>
    <row r="807" spans="1:4">
      <c r="A807">
        <v>779</v>
      </c>
      <c r="B807" s="98">
        <v>0.65245479345321655</v>
      </c>
      <c r="C807" s="98">
        <f t="shared" si="12"/>
        <v>0.39195642170277184</v>
      </c>
      <c r="D807" s="98">
        <v>-0.9377934681514376</v>
      </c>
    </row>
    <row r="808" spans="1:4">
      <c r="A808">
        <v>780</v>
      </c>
      <c r="B808" s="98">
        <v>0.28686630725860596</v>
      </c>
      <c r="C808" s="98">
        <f t="shared" si="12"/>
        <v>-0.56256282140797476</v>
      </c>
      <c r="D808" s="98">
        <v>-0.97406997320659605</v>
      </c>
    </row>
    <row r="809" spans="1:4">
      <c r="A809">
        <v>781</v>
      </c>
      <c r="B809" s="98">
        <v>0.46128159761428833</v>
      </c>
      <c r="C809" s="98">
        <f t="shared" si="12"/>
        <v>-9.720550646665238E-2</v>
      </c>
      <c r="D809" s="98">
        <v>1.0459349096516608</v>
      </c>
    </row>
    <row r="810" spans="1:4">
      <c r="A810">
        <v>782</v>
      </c>
      <c r="B810" s="98">
        <v>0.4578622579574585</v>
      </c>
      <c r="C810" s="98">
        <f t="shared" si="12"/>
        <v>-0.10582082208207949</v>
      </c>
      <c r="D810" s="98">
        <v>-0.98147186073880577</v>
      </c>
    </row>
    <row r="811" spans="1:4">
      <c r="A811">
        <v>783</v>
      </c>
      <c r="B811" s="98">
        <v>0.47392851114273071</v>
      </c>
      <c r="C811" s="98">
        <f t="shared" si="12"/>
        <v>-6.5398118259896262E-2</v>
      </c>
      <c r="D811" s="98">
        <v>-1.5196074109229327</v>
      </c>
    </row>
    <row r="812" spans="1:4">
      <c r="A812">
        <v>784</v>
      </c>
      <c r="B812" s="98">
        <v>3.997957706451416E-2</v>
      </c>
      <c r="C812" s="98">
        <f t="shared" si="12"/>
        <v>-1.7509231175449114</v>
      </c>
      <c r="D812" s="98">
        <v>1.2488760824515783</v>
      </c>
    </row>
    <row r="813" spans="1:4">
      <c r="A813">
        <v>785</v>
      </c>
      <c r="B813" s="98">
        <v>0.30399256944656372</v>
      </c>
      <c r="C813" s="98">
        <f t="shared" si="12"/>
        <v>-0.51295165501039941</v>
      </c>
      <c r="D813" s="98">
        <v>-0.53187954715399433</v>
      </c>
    </row>
    <row r="814" spans="1:4">
      <c r="A814">
        <v>786</v>
      </c>
      <c r="B814" s="98">
        <v>0.43855273723602295</v>
      </c>
      <c r="C814" s="98">
        <f t="shared" si="12"/>
        <v>-0.15463956795780909</v>
      </c>
      <c r="D814" s="98">
        <v>-1.2956310580530326</v>
      </c>
    </row>
    <row r="815" spans="1:4">
      <c r="A815">
        <v>787</v>
      </c>
      <c r="B815" s="98">
        <v>0.79797035455703735</v>
      </c>
      <c r="C815" s="98">
        <f t="shared" si="12"/>
        <v>0.8343934786544791</v>
      </c>
      <c r="D815" s="98">
        <v>0.75062979929760165</v>
      </c>
    </row>
    <row r="816" spans="1:4">
      <c r="A816">
        <v>788</v>
      </c>
      <c r="B816" s="98">
        <v>0.81391406059265137</v>
      </c>
      <c r="C816" s="98">
        <f t="shared" si="12"/>
        <v>0.89241249020591118</v>
      </c>
      <c r="D816" s="98">
        <v>0.86660003533118279</v>
      </c>
    </row>
    <row r="817" spans="1:4">
      <c r="A817">
        <v>789</v>
      </c>
      <c r="B817" s="98">
        <v>0.9227408766746521</v>
      </c>
      <c r="C817" s="98">
        <f t="shared" si="12"/>
        <v>1.4237520980644933</v>
      </c>
      <c r="D817" s="98">
        <v>1.1845993905932988</v>
      </c>
    </row>
    <row r="818" spans="1:4">
      <c r="A818">
        <v>790</v>
      </c>
      <c r="B818" s="98">
        <v>0.29765605926513672</v>
      </c>
      <c r="C818" s="98">
        <f t="shared" si="12"/>
        <v>-0.53115392490757718</v>
      </c>
      <c r="D818" s="98">
        <v>0.32374578728352721</v>
      </c>
    </row>
    <row r="819" spans="1:4">
      <c r="A819">
        <v>791</v>
      </c>
      <c r="B819" s="98">
        <v>0.90535277128219604</v>
      </c>
      <c r="C819" s="98">
        <f t="shared" si="12"/>
        <v>1.3126691495975182</v>
      </c>
      <c r="D819" s="98">
        <v>-1.0413369335410099</v>
      </c>
    </row>
    <row r="820" spans="1:4">
      <c r="A820">
        <v>792</v>
      </c>
      <c r="B820" s="98">
        <v>0.69374167919158936</v>
      </c>
      <c r="C820" s="98">
        <f t="shared" si="12"/>
        <v>0.50648439526285194</v>
      </c>
      <c r="D820" s="98">
        <v>0.16827264941472908</v>
      </c>
    </row>
    <row r="821" spans="1:4">
      <c r="A821">
        <v>793</v>
      </c>
      <c r="B821" s="98">
        <v>0.17400509119033813</v>
      </c>
      <c r="C821" s="98">
        <f t="shared" si="12"/>
        <v>-0.93845587607896175</v>
      </c>
      <c r="D821" s="98">
        <v>0.18285908129567172</v>
      </c>
    </row>
    <row r="822" spans="1:4">
      <c r="A822">
        <v>794</v>
      </c>
      <c r="B822" s="98">
        <v>0.11300957202911377</v>
      </c>
      <c r="C822" s="98">
        <f t="shared" si="12"/>
        <v>-1.2106771997164179</v>
      </c>
      <c r="D822" s="98">
        <v>1.5976870544910555</v>
      </c>
    </row>
    <row r="823" spans="1:4">
      <c r="A823">
        <v>795</v>
      </c>
      <c r="B823" s="98">
        <v>0.10980492830276489</v>
      </c>
      <c r="C823" s="98">
        <f t="shared" si="12"/>
        <v>-1.2275661999473273</v>
      </c>
      <c r="D823" s="98">
        <v>-1.812610734375028</v>
      </c>
    </row>
    <row r="824" spans="1:4">
      <c r="A824">
        <v>796</v>
      </c>
      <c r="B824" s="98">
        <v>0.66452920436859131</v>
      </c>
      <c r="C824" s="98">
        <f t="shared" si="12"/>
        <v>0.42485608277851689</v>
      </c>
      <c r="D824" s="98">
        <v>-1.3825736016521701</v>
      </c>
    </row>
    <row r="825" spans="1:4">
      <c r="A825">
        <v>797</v>
      </c>
      <c r="B825" s="98">
        <v>0.13713079690933228</v>
      </c>
      <c r="C825" s="98">
        <f t="shared" si="12"/>
        <v>-1.0933011598618538</v>
      </c>
      <c r="D825" s="98">
        <v>0.14708195773037475</v>
      </c>
    </row>
    <row r="826" spans="1:4">
      <c r="A826">
        <v>798</v>
      </c>
      <c r="B826" s="98">
        <v>0.19406473636627197</v>
      </c>
      <c r="C826" s="98">
        <f t="shared" si="12"/>
        <v>-0.86301453995490118</v>
      </c>
      <c r="D826" s="98">
        <v>1.9743206305429315</v>
      </c>
    </row>
    <row r="827" spans="1:4">
      <c r="A827">
        <v>799</v>
      </c>
      <c r="B827" s="98">
        <v>0.78119021654129028</v>
      </c>
      <c r="C827" s="98">
        <f t="shared" si="12"/>
        <v>0.77621920759842056</v>
      </c>
      <c r="D827" s="98">
        <v>-1.0513607229326722</v>
      </c>
    </row>
    <row r="828" spans="1:4">
      <c r="A828">
        <v>800</v>
      </c>
      <c r="B828" s="98">
        <v>0.45851314067840576</v>
      </c>
      <c r="C828" s="98">
        <f t="shared" si="12"/>
        <v>-0.10418028217888266</v>
      </c>
      <c r="D828" s="98">
        <v>-0.22483645712154371</v>
      </c>
    </row>
    <row r="829" spans="1:4">
      <c r="A829">
        <v>801</v>
      </c>
      <c r="B829" s="98">
        <v>0.83379226922988892</v>
      </c>
      <c r="C829" s="98">
        <f t="shared" si="12"/>
        <v>0.96926003988119191</v>
      </c>
      <c r="D829" s="98">
        <v>0.38442829802928891</v>
      </c>
    </row>
    <row r="830" spans="1:4">
      <c r="A830">
        <v>802</v>
      </c>
      <c r="B830" s="98">
        <v>1.6529202461242676E-2</v>
      </c>
      <c r="C830" s="98">
        <f t="shared" si="12"/>
        <v>-2.1313732487791577</v>
      </c>
      <c r="D830" s="98">
        <v>0.76050310799001397</v>
      </c>
    </row>
    <row r="831" spans="1:4">
      <c r="A831">
        <v>803</v>
      </c>
      <c r="B831" s="98">
        <v>0.68147259950637817</v>
      </c>
      <c r="C831" s="98">
        <f t="shared" si="12"/>
        <v>0.47182066274276602</v>
      </c>
      <c r="D831" s="98">
        <v>1.0555361055847914</v>
      </c>
    </row>
    <row r="832" spans="1:4">
      <c r="A832">
        <v>804</v>
      </c>
      <c r="B832" s="98">
        <v>0.36915051937103271</v>
      </c>
      <c r="C832" s="98">
        <f t="shared" si="12"/>
        <v>-0.33410405703503138</v>
      </c>
      <c r="D832" s="98">
        <v>0.45558240722663451</v>
      </c>
    </row>
    <row r="833" spans="1:4">
      <c r="A833">
        <v>805</v>
      </c>
      <c r="B833" s="98">
        <v>0.88361841440200806</v>
      </c>
      <c r="C833" s="98">
        <f t="shared" si="12"/>
        <v>1.1932712169895168</v>
      </c>
      <c r="D833" s="98">
        <v>0.32482972232965657</v>
      </c>
    </row>
    <row r="834" spans="1:4">
      <c r="A834">
        <v>806</v>
      </c>
      <c r="B834" s="98">
        <v>0.35042250156402588</v>
      </c>
      <c r="C834" s="98">
        <f t="shared" si="12"/>
        <v>-0.38418005072502792</v>
      </c>
      <c r="D834" s="98">
        <v>0.65809515424107856</v>
      </c>
    </row>
    <row r="835" spans="1:4">
      <c r="A835">
        <v>807</v>
      </c>
      <c r="B835" s="98">
        <v>5.9348344802856445E-4</v>
      </c>
      <c r="C835" s="98">
        <f t="shared" si="12"/>
        <v>-3.2419935960344413</v>
      </c>
      <c r="D835" s="98">
        <v>-0.42110134707405372</v>
      </c>
    </row>
    <row r="836" spans="1:4">
      <c r="A836">
        <v>808</v>
      </c>
      <c r="B836" s="98">
        <v>0.76802337169647217</v>
      </c>
      <c r="C836" s="98">
        <f t="shared" si="12"/>
        <v>0.7323528054478573</v>
      </c>
      <c r="D836" s="98">
        <v>1.3535854867293093</v>
      </c>
    </row>
    <row r="837" spans="1:4">
      <c r="A837">
        <v>809</v>
      </c>
      <c r="B837" s="98">
        <v>0.6718631386756897</v>
      </c>
      <c r="C837" s="98">
        <f t="shared" si="12"/>
        <v>0.44506369738189872</v>
      </c>
      <c r="D837" s="98">
        <v>0.38725813960689187</v>
      </c>
    </row>
    <row r="838" spans="1:4">
      <c r="A838">
        <v>810</v>
      </c>
      <c r="B838" s="98">
        <v>0.29388916492462158</v>
      </c>
      <c r="C838" s="98">
        <f t="shared" si="12"/>
        <v>-0.54205832085841077</v>
      </c>
      <c r="D838" s="98">
        <v>-0.29645691414168895</v>
      </c>
    </row>
    <row r="839" spans="1:4">
      <c r="A839">
        <v>811</v>
      </c>
      <c r="B839" s="98">
        <v>0.94411927461624146</v>
      </c>
      <c r="C839" s="98">
        <f t="shared" si="12"/>
        <v>1.5903255125047304</v>
      </c>
      <c r="D839" s="98">
        <v>0.98507226430402939</v>
      </c>
    </row>
    <row r="840" spans="1:4">
      <c r="A840">
        <v>812</v>
      </c>
      <c r="B840" s="98">
        <v>0.60483872890472412</v>
      </c>
      <c r="C840" s="98">
        <f t="shared" si="12"/>
        <v>0.26589179780984601</v>
      </c>
      <c r="D840" s="98">
        <v>0.80741690613544803</v>
      </c>
    </row>
    <row r="841" spans="1:4">
      <c r="A841">
        <v>813</v>
      </c>
      <c r="B841" s="98">
        <v>0.84940534830093384</v>
      </c>
      <c r="C841" s="98">
        <f t="shared" si="12"/>
        <v>1.0338863363520927</v>
      </c>
      <c r="D841" s="98">
        <v>1.0183239578035037</v>
      </c>
    </row>
    <row r="842" spans="1:4">
      <c r="A842">
        <v>814</v>
      </c>
      <c r="B842" s="98">
        <v>0.77319872379302979</v>
      </c>
      <c r="C842" s="98">
        <f t="shared" si="12"/>
        <v>0.74942256869117585</v>
      </c>
      <c r="D842" s="98">
        <v>0.7165964046021015</v>
      </c>
    </row>
    <row r="843" spans="1:4">
      <c r="A843">
        <v>815</v>
      </c>
      <c r="B843" s="98">
        <v>0.23324137926101685</v>
      </c>
      <c r="C843" s="98">
        <f t="shared" si="12"/>
        <v>-0.72821373627354069</v>
      </c>
      <c r="D843" s="98">
        <v>-0.12083269782218224</v>
      </c>
    </row>
    <row r="844" spans="1:4">
      <c r="A844">
        <v>816</v>
      </c>
      <c r="B844" s="98">
        <v>0.90742862224578857</v>
      </c>
      <c r="C844" s="98">
        <f t="shared" si="12"/>
        <v>1.3250856185533582</v>
      </c>
      <c r="D844" s="98">
        <v>0.16636117647252932</v>
      </c>
    </row>
    <row r="845" spans="1:4">
      <c r="A845">
        <v>817</v>
      </c>
      <c r="B845" s="98">
        <v>0.83274894952774048</v>
      </c>
      <c r="C845" s="98">
        <f t="shared" si="12"/>
        <v>0.96508527639705854</v>
      </c>
      <c r="D845" s="98">
        <v>0.24403407424432677</v>
      </c>
    </row>
    <row r="846" spans="1:4">
      <c r="A846">
        <v>818</v>
      </c>
      <c r="B846" s="98">
        <v>4.2745709419250488E-2</v>
      </c>
      <c r="C846" s="98">
        <f t="shared" si="12"/>
        <v>-1.7196756366687824</v>
      </c>
      <c r="D846" s="98">
        <v>-0.65637318829749247</v>
      </c>
    </row>
    <row r="847" spans="1:4">
      <c r="A847">
        <v>819</v>
      </c>
      <c r="B847" s="98">
        <v>0.60477620363235474</v>
      </c>
      <c r="C847" s="98">
        <f t="shared" si="12"/>
        <v>0.26572943441372709</v>
      </c>
      <c r="D847" s="98">
        <v>-1.0867489463421036</v>
      </c>
    </row>
    <row r="848" spans="1:4">
      <c r="A848">
        <v>820</v>
      </c>
      <c r="B848" s="98">
        <v>0.95760250091552734</v>
      </c>
      <c r="C848" s="98">
        <f t="shared" si="12"/>
        <v>1.723517417645581</v>
      </c>
      <c r="D848" s="98">
        <v>-0.97584441580720316</v>
      </c>
    </row>
    <row r="849" spans="1:4">
      <c r="A849">
        <v>821</v>
      </c>
      <c r="B849" s="98">
        <v>0.52316969633102417</v>
      </c>
      <c r="C849" s="98">
        <f t="shared" si="12"/>
        <v>5.8110504267980485E-2</v>
      </c>
      <c r="D849" s="98">
        <v>-0.95294802395806588</v>
      </c>
    </row>
    <row r="850" spans="1:4">
      <c r="A850">
        <v>822</v>
      </c>
      <c r="B850" s="98">
        <v>3.505253791809082E-2</v>
      </c>
      <c r="C850" s="98">
        <f t="shared" si="12"/>
        <v>-1.8112311654701536</v>
      </c>
      <c r="D850" s="98">
        <v>-0.57135924793689985</v>
      </c>
    </row>
    <row r="851" spans="1:4">
      <c r="A851">
        <v>823</v>
      </c>
      <c r="B851" s="98">
        <v>0.24418872594833374</v>
      </c>
      <c r="C851" s="98">
        <f t="shared" si="12"/>
        <v>-0.6928918066229155</v>
      </c>
      <c r="D851" s="98">
        <v>-0.68179125521877648</v>
      </c>
    </row>
    <row r="852" spans="1:4">
      <c r="A852">
        <v>824</v>
      </c>
      <c r="B852" s="98">
        <v>0.84463834762573242</v>
      </c>
      <c r="C852" s="98">
        <f t="shared" si="12"/>
        <v>1.0137054876875407</v>
      </c>
      <c r="D852" s="98">
        <v>1.6324712056872672</v>
      </c>
    </row>
    <row r="853" spans="1:4">
      <c r="A853">
        <v>825</v>
      </c>
      <c r="B853" s="98">
        <v>3.8331687450408936E-2</v>
      </c>
      <c r="C853" s="98">
        <f t="shared" si="12"/>
        <v>-1.7703829090983292</v>
      </c>
      <c r="D853" s="98">
        <v>1.4304950734838509</v>
      </c>
    </row>
    <row r="854" spans="1:4">
      <c r="A854">
        <v>826</v>
      </c>
      <c r="B854" s="98">
        <v>0.84784674644470215</v>
      </c>
      <c r="C854" s="98">
        <f t="shared" si="12"/>
        <v>1.0272420395352679</v>
      </c>
      <c r="D854" s="98">
        <v>1.5560312431761549</v>
      </c>
    </row>
    <row r="855" spans="1:4">
      <c r="A855">
        <v>827</v>
      </c>
      <c r="B855" s="98">
        <v>8.3638131618499756E-2</v>
      </c>
      <c r="C855" s="98">
        <f t="shared" si="12"/>
        <v>-1.3810087729603631</v>
      </c>
      <c r="D855" s="98">
        <v>0.34064016042561224</v>
      </c>
    </row>
    <row r="856" spans="1:4">
      <c r="A856">
        <v>828</v>
      </c>
      <c r="B856" s="98">
        <v>0.67510986328125</v>
      </c>
      <c r="C856" s="98">
        <f t="shared" si="12"/>
        <v>0.4540674595393499</v>
      </c>
      <c r="D856" s="98">
        <v>1.5148301256951953</v>
      </c>
    </row>
    <row r="857" spans="1:4">
      <c r="A857">
        <v>829</v>
      </c>
      <c r="B857" s="98">
        <v>5.1311671733856201E-2</v>
      </c>
      <c r="C857" s="98">
        <f t="shared" si="12"/>
        <v>-1.6322665649500341</v>
      </c>
      <c r="D857" s="98">
        <v>0.59402155975277793</v>
      </c>
    </row>
    <row r="858" spans="1:4">
      <c r="A858">
        <v>830</v>
      </c>
      <c r="B858" s="98">
        <v>0.64143013954162598</v>
      </c>
      <c r="C858" s="98">
        <f t="shared" si="12"/>
        <v>0.36228412378978497</v>
      </c>
      <c r="D858" s="98">
        <v>-1.8601711886913208</v>
      </c>
    </row>
    <row r="859" spans="1:4">
      <c r="A859">
        <v>831</v>
      </c>
      <c r="B859" s="98">
        <v>0.55884498357772827</v>
      </c>
      <c r="C859" s="98">
        <f t="shared" si="12"/>
        <v>0.14804147966939288</v>
      </c>
      <c r="D859" s="98">
        <v>3.4760483282577824E-2</v>
      </c>
    </row>
    <row r="860" spans="1:4">
      <c r="A860">
        <v>832</v>
      </c>
      <c r="B860" s="98">
        <v>0.5955735445022583</v>
      </c>
      <c r="C860" s="98">
        <f t="shared" si="12"/>
        <v>0.24190611598004547</v>
      </c>
      <c r="D860" s="98">
        <v>1.0804113430358249</v>
      </c>
    </row>
    <row r="861" spans="1:4">
      <c r="A861">
        <v>833</v>
      </c>
      <c r="B861" s="98">
        <v>0.1982458233833313</v>
      </c>
      <c r="C861" s="98">
        <f t="shared" si="12"/>
        <v>-0.84790362285309184</v>
      </c>
      <c r="D861" s="98">
        <v>5.5233278287141488E-2</v>
      </c>
    </row>
    <row r="862" spans="1:4">
      <c r="A862">
        <v>834</v>
      </c>
      <c r="B862" s="98">
        <v>0.84986722469329834</v>
      </c>
      <c r="C862" s="98">
        <f t="shared" ref="C862:C925" si="13">NORMINV(B862,0,1)</f>
        <v>1.0358640944010111</v>
      </c>
      <c r="D862" s="98">
        <v>1.1250436382585887</v>
      </c>
    </row>
    <row r="863" spans="1:4">
      <c r="A863">
        <v>835</v>
      </c>
      <c r="B863" s="98">
        <v>7.8745484352111816E-3</v>
      </c>
      <c r="C863" s="98">
        <f t="shared" si="13"/>
        <v>-2.4146786656968198</v>
      </c>
      <c r="D863" s="98">
        <v>0.51188745301745153</v>
      </c>
    </row>
    <row r="864" spans="1:4">
      <c r="A864">
        <v>836</v>
      </c>
      <c r="B864" s="98">
        <v>0.1166006326675415</v>
      </c>
      <c r="C864" s="98">
        <f t="shared" si="13"/>
        <v>-1.1921529826655</v>
      </c>
      <c r="D864" s="98">
        <v>-1.2414178740247284</v>
      </c>
    </row>
    <row r="865" spans="1:4">
      <c r="A865">
        <v>837</v>
      </c>
      <c r="B865" s="98">
        <v>0.58096534013748169</v>
      </c>
      <c r="C865" s="98">
        <f t="shared" si="13"/>
        <v>0.20436366802836123</v>
      </c>
      <c r="D865" s="98">
        <v>0.88398338237993135</v>
      </c>
    </row>
    <row r="866" spans="1:4">
      <c r="A866">
        <v>838</v>
      </c>
      <c r="B866" s="98">
        <v>0.97264623641967773</v>
      </c>
      <c r="C866" s="98">
        <f t="shared" si="13"/>
        <v>1.921191834981149</v>
      </c>
      <c r="D866" s="98">
        <v>-0.1139100082235109</v>
      </c>
    </row>
    <row r="867" spans="1:4">
      <c r="A867">
        <v>839</v>
      </c>
      <c r="B867" s="98">
        <v>0.640636146068573</v>
      </c>
      <c r="C867" s="98">
        <f t="shared" si="13"/>
        <v>0.36015970279133452</v>
      </c>
      <c r="D867" s="98">
        <v>0.47261439825870061</v>
      </c>
    </row>
    <row r="868" spans="1:4">
      <c r="A868">
        <v>840</v>
      </c>
      <c r="B868" s="98">
        <v>0.69304823875427246</v>
      </c>
      <c r="C868" s="98">
        <f t="shared" si="13"/>
        <v>0.50450930863836352</v>
      </c>
      <c r="D868" s="98">
        <v>0.40445258461534411</v>
      </c>
    </row>
    <row r="869" spans="1:4">
      <c r="A869">
        <v>841</v>
      </c>
      <c r="B869" s="98">
        <v>0.44061177968978882</v>
      </c>
      <c r="C869" s="98">
        <f t="shared" si="13"/>
        <v>-0.14941831664137342</v>
      </c>
      <c r="D869" s="98">
        <v>0.50037507595892283</v>
      </c>
    </row>
    <row r="870" spans="1:4">
      <c r="A870">
        <v>842</v>
      </c>
      <c r="B870" s="98">
        <v>0.33161318302154541</v>
      </c>
      <c r="C870" s="98">
        <f t="shared" si="13"/>
        <v>-0.43546303306337142</v>
      </c>
      <c r="D870" s="98">
        <v>-0.71170985394582631</v>
      </c>
    </row>
    <row r="871" spans="1:4">
      <c r="A871">
        <v>843</v>
      </c>
      <c r="B871" s="98">
        <v>0.68690425157546997</v>
      </c>
      <c r="C871" s="98">
        <f t="shared" si="13"/>
        <v>0.48709431235722134</v>
      </c>
      <c r="D871" s="98">
        <v>-0.36765502586764903</v>
      </c>
    </row>
    <row r="872" spans="1:4">
      <c r="A872">
        <v>844</v>
      </c>
      <c r="B872" s="98">
        <v>0.2171248197555542</v>
      </c>
      <c r="C872" s="98">
        <f t="shared" si="13"/>
        <v>-0.78194033415436714</v>
      </c>
      <c r="D872" s="98">
        <v>-1.8780098052244321</v>
      </c>
    </row>
    <row r="873" spans="1:4">
      <c r="A873">
        <v>845</v>
      </c>
      <c r="B873" s="98">
        <v>0.3450666069984436</v>
      </c>
      <c r="C873" s="98">
        <f t="shared" si="13"/>
        <v>-0.39867429034256502</v>
      </c>
      <c r="D873" s="98">
        <v>1.1802592756067087</v>
      </c>
    </row>
    <row r="874" spans="1:4">
      <c r="A874">
        <v>846</v>
      </c>
      <c r="B874" s="98">
        <v>0.45626270771026611</v>
      </c>
      <c r="C874" s="98">
        <f t="shared" si="13"/>
        <v>-0.10985368342131263</v>
      </c>
      <c r="D874" s="98">
        <v>0.57040260457628011</v>
      </c>
    </row>
    <row r="875" spans="1:4">
      <c r="A875">
        <v>847</v>
      </c>
      <c r="B875" s="98">
        <v>0.11813145875930786</v>
      </c>
      <c r="C875" s="98">
        <f t="shared" si="13"/>
        <v>-1.1843793834566705</v>
      </c>
      <c r="D875" s="98">
        <v>-0.55489331922578311</v>
      </c>
    </row>
    <row r="876" spans="1:4">
      <c r="A876">
        <v>848</v>
      </c>
      <c r="B876" s="98">
        <v>0.35475194454193115</v>
      </c>
      <c r="C876" s="98">
        <f t="shared" si="13"/>
        <v>-0.37252246488180307</v>
      </c>
      <c r="D876" s="98">
        <v>-0.72193147361746735</v>
      </c>
    </row>
    <row r="877" spans="1:4">
      <c r="A877">
        <v>849</v>
      </c>
      <c r="B877" s="98">
        <v>0.15142351388931274</v>
      </c>
      <c r="C877" s="98">
        <f t="shared" si="13"/>
        <v>-1.0303472462500365</v>
      </c>
      <c r="D877" s="98">
        <v>-1.1590402465182539</v>
      </c>
    </row>
    <row r="878" spans="1:4">
      <c r="A878">
        <v>850</v>
      </c>
      <c r="B878" s="98">
        <v>0.92632544040679932</v>
      </c>
      <c r="C878" s="98">
        <f t="shared" si="13"/>
        <v>1.4489586907161298</v>
      </c>
      <c r="D878" s="98">
        <v>-0.63261975841682561</v>
      </c>
    </row>
    <row r="879" spans="1:4">
      <c r="A879">
        <v>851</v>
      </c>
      <c r="B879" s="98">
        <v>0.46624404191970825</v>
      </c>
      <c r="C879" s="98">
        <f t="shared" si="13"/>
        <v>-8.4714857517351666E-2</v>
      </c>
      <c r="D879" s="98">
        <v>-2.3443336718522758</v>
      </c>
    </row>
    <row r="880" spans="1:4">
      <c r="A880">
        <v>852</v>
      </c>
      <c r="B880" s="98">
        <v>0.53334891796112061</v>
      </c>
      <c r="C880" s="98">
        <f t="shared" si="13"/>
        <v>8.3690935759874158E-2</v>
      </c>
      <c r="D880" s="98">
        <v>-1.3942327821937019</v>
      </c>
    </row>
    <row r="881" spans="1:4">
      <c r="A881">
        <v>853</v>
      </c>
      <c r="B881" s="98">
        <v>3.7995874881744385E-2</v>
      </c>
      <c r="C881" s="98">
        <f t="shared" si="13"/>
        <v>-1.7744318239237309</v>
      </c>
      <c r="D881" s="98">
        <v>1.3925727109813446</v>
      </c>
    </row>
    <row r="882" spans="1:4">
      <c r="A882">
        <v>854</v>
      </c>
      <c r="B882" s="98">
        <v>0.77744591236114502</v>
      </c>
      <c r="C882" s="98">
        <f t="shared" si="13"/>
        <v>0.76359576252664929</v>
      </c>
      <c r="D882" s="98">
        <v>-0.35236744630237088</v>
      </c>
    </row>
    <row r="883" spans="1:4">
      <c r="A883">
        <v>855</v>
      </c>
      <c r="B883" s="98">
        <v>0.12430840730667114</v>
      </c>
      <c r="C883" s="98">
        <f t="shared" si="13"/>
        <v>-1.1537155304424211</v>
      </c>
      <c r="D883" s="98">
        <v>-1.1101164949956965</v>
      </c>
    </row>
    <row r="884" spans="1:4">
      <c r="A884">
        <v>856</v>
      </c>
      <c r="B884" s="98">
        <v>0.64012277126312256</v>
      </c>
      <c r="C884" s="98">
        <f t="shared" si="13"/>
        <v>0.358786974714845</v>
      </c>
      <c r="D884" s="98">
        <v>1.1929210778448991</v>
      </c>
    </row>
    <row r="885" spans="1:4">
      <c r="A885">
        <v>857</v>
      </c>
      <c r="B885" s="98">
        <v>0.84316259622573853</v>
      </c>
      <c r="C885" s="98">
        <f t="shared" si="13"/>
        <v>1.0075411203204865</v>
      </c>
      <c r="D885" s="98">
        <v>-0.10764220653003199</v>
      </c>
    </row>
    <row r="886" spans="1:4">
      <c r="A886">
        <v>858</v>
      </c>
      <c r="B886" s="98">
        <v>0.87339365482330322</v>
      </c>
      <c r="C886" s="98">
        <f t="shared" si="13"/>
        <v>1.1425807773841914</v>
      </c>
      <c r="D886" s="98">
        <v>-2.8231036349902481</v>
      </c>
    </row>
    <row r="887" spans="1:4">
      <c r="A887">
        <v>859</v>
      </c>
      <c r="B887" s="98">
        <v>1.0159611701965332E-3</v>
      </c>
      <c r="C887" s="98">
        <f t="shared" si="13"/>
        <v>-3.085526328113168</v>
      </c>
      <c r="D887" s="98">
        <v>0.4540848555791519</v>
      </c>
    </row>
    <row r="888" spans="1:4">
      <c r="A888">
        <v>860</v>
      </c>
      <c r="B888" s="98">
        <v>2.8275012969970703E-2</v>
      </c>
      <c r="C888" s="98">
        <f t="shared" si="13"/>
        <v>-1.9067727159181478</v>
      </c>
      <c r="D888" s="98">
        <v>-1.0642514889023396</v>
      </c>
    </row>
    <row r="889" spans="1:4">
      <c r="A889">
        <v>861</v>
      </c>
      <c r="B889" s="98">
        <v>0.79699200391769409</v>
      </c>
      <c r="C889" s="98">
        <f t="shared" si="13"/>
        <v>0.83092501324651002</v>
      </c>
      <c r="D889" s="98">
        <v>-5.8841202749265784E-2</v>
      </c>
    </row>
    <row r="890" spans="1:4">
      <c r="A890">
        <v>862</v>
      </c>
      <c r="B890" s="98">
        <v>0.28882288932800293</v>
      </c>
      <c r="C890" s="98">
        <f t="shared" si="13"/>
        <v>-0.55682678918448292</v>
      </c>
      <c r="D890" s="98">
        <v>-0.3002399701979977</v>
      </c>
    </row>
    <row r="891" spans="1:4">
      <c r="A891">
        <v>863</v>
      </c>
      <c r="B891" s="98">
        <v>0.83590501546859741</v>
      </c>
      <c r="C891" s="98">
        <f t="shared" si="13"/>
        <v>0.9777662051542354</v>
      </c>
      <c r="D891" s="98">
        <v>-1.2931494007064586</v>
      </c>
    </row>
    <row r="892" spans="1:4">
      <c r="A892">
        <v>864</v>
      </c>
      <c r="B892" s="98">
        <v>0.39547407627105713</v>
      </c>
      <c r="C892" s="98">
        <f t="shared" si="13"/>
        <v>-0.26507958658107755</v>
      </c>
      <c r="D892" s="98">
        <v>-0.8650170657148657</v>
      </c>
    </row>
    <row r="893" spans="1:4">
      <c r="A893">
        <v>865</v>
      </c>
      <c r="B893" s="98">
        <v>0.62325125932693481</v>
      </c>
      <c r="C893" s="98">
        <f t="shared" si="13"/>
        <v>0.31403101698736102</v>
      </c>
      <c r="D893" s="98">
        <v>1.0100206717915614</v>
      </c>
    </row>
    <row r="894" spans="1:4">
      <c r="A894">
        <v>866</v>
      </c>
      <c r="B894" s="98">
        <v>0.82607412338256836</v>
      </c>
      <c r="C894" s="98">
        <f t="shared" si="13"/>
        <v>0.93876433642055113</v>
      </c>
      <c r="D894" s="98">
        <v>1.9030363391267442</v>
      </c>
    </row>
    <row r="895" spans="1:4">
      <c r="A895">
        <v>867</v>
      </c>
      <c r="B895" s="98">
        <v>0.80300873517990112</v>
      </c>
      <c r="C895" s="98">
        <f t="shared" si="13"/>
        <v>0.85241728547723938</v>
      </c>
      <c r="D895" s="98">
        <v>-0.79534394333856206</v>
      </c>
    </row>
    <row r="896" spans="1:4">
      <c r="A896">
        <v>868</v>
      </c>
      <c r="B896" s="98">
        <v>0.77383208274841309</v>
      </c>
      <c r="C896" s="98">
        <f t="shared" si="13"/>
        <v>0.75152654007662534</v>
      </c>
      <c r="D896" s="98">
        <v>-0.60430502317100965</v>
      </c>
    </row>
    <row r="897" spans="1:4">
      <c r="A897">
        <v>869</v>
      </c>
      <c r="B897" s="98">
        <v>0.73341649770736694</v>
      </c>
      <c r="C897" s="98">
        <f t="shared" si="13"/>
        <v>0.62317884092765619</v>
      </c>
      <c r="D897" s="98">
        <v>-1.1215489155049247</v>
      </c>
    </row>
    <row r="898" spans="1:4">
      <c r="A898">
        <v>870</v>
      </c>
      <c r="B898" s="98">
        <v>0.48460960388183594</v>
      </c>
      <c r="C898" s="98">
        <f t="shared" si="13"/>
        <v>-3.8587576085848702E-2</v>
      </c>
      <c r="D898" s="98">
        <v>-1.2078698148294238</v>
      </c>
    </row>
    <row r="899" spans="1:4">
      <c r="A899">
        <v>871</v>
      </c>
      <c r="B899" s="98">
        <v>0.26929682493209839</v>
      </c>
      <c r="C899" s="98">
        <f t="shared" si="13"/>
        <v>-0.61494105313382064</v>
      </c>
      <c r="D899" s="98">
        <v>-0.98722765621298048</v>
      </c>
    </row>
    <row r="900" spans="1:4">
      <c r="A900">
        <v>872</v>
      </c>
      <c r="B900" s="98">
        <v>0.61764132976531982</v>
      </c>
      <c r="C900" s="98">
        <f t="shared" si="13"/>
        <v>0.29929189201101702</v>
      </c>
      <c r="D900" s="98">
        <v>1.5934111595941032</v>
      </c>
    </row>
    <row r="901" spans="1:4">
      <c r="A901">
        <v>873</v>
      </c>
      <c r="B901" s="98">
        <v>0.58492332696914673</v>
      </c>
      <c r="C901" s="98">
        <f t="shared" si="13"/>
        <v>0.21450490023600369</v>
      </c>
      <c r="D901" s="98">
        <v>0.85108770494686758</v>
      </c>
    </row>
    <row r="902" spans="1:4">
      <c r="A902">
        <v>874</v>
      </c>
      <c r="B902" s="98">
        <v>0.22622501850128174</v>
      </c>
      <c r="C902" s="98">
        <f t="shared" si="13"/>
        <v>-0.75133671760362175</v>
      </c>
      <c r="D902" s="98">
        <v>0.83889932412164392</v>
      </c>
    </row>
    <row r="903" spans="1:4">
      <c r="A903">
        <v>875</v>
      </c>
      <c r="B903" s="98">
        <v>0.56215077638626099</v>
      </c>
      <c r="C903" s="98">
        <f t="shared" si="13"/>
        <v>0.15642447391443434</v>
      </c>
      <c r="D903" s="98">
        <v>0.80059312025852625</v>
      </c>
    </row>
    <row r="904" spans="1:4">
      <c r="A904">
        <v>876</v>
      </c>
      <c r="B904" s="98">
        <v>0.29982411861419678</v>
      </c>
      <c r="C904" s="98">
        <f t="shared" si="13"/>
        <v>-0.52490643293252748</v>
      </c>
      <c r="D904" s="98">
        <v>1.2333530475916457</v>
      </c>
    </row>
    <row r="905" spans="1:4">
      <c r="A905">
        <v>877</v>
      </c>
      <c r="B905" s="98">
        <v>0.38261324167251587</v>
      </c>
      <c r="C905" s="98">
        <f t="shared" si="13"/>
        <v>-0.29862461313476668</v>
      </c>
      <c r="D905" s="98">
        <v>-1.5188777710134758</v>
      </c>
    </row>
    <row r="906" spans="1:4">
      <c r="A906">
        <v>878</v>
      </c>
      <c r="B906" s="98">
        <v>0.30529654026031494</v>
      </c>
      <c r="C906" s="98">
        <f t="shared" si="13"/>
        <v>-0.50922705596934548</v>
      </c>
      <c r="D906" s="98">
        <v>1.0415751373402509</v>
      </c>
    </row>
    <row r="907" spans="1:4">
      <c r="A907">
        <v>879</v>
      </c>
      <c r="B907" s="98">
        <v>0.70823699235916138</v>
      </c>
      <c r="C907" s="98">
        <f t="shared" si="13"/>
        <v>0.54824160876148409</v>
      </c>
      <c r="D907" s="98">
        <v>2.3180519503444512</v>
      </c>
    </row>
    <row r="908" spans="1:4">
      <c r="A908">
        <v>880</v>
      </c>
      <c r="B908" s="98">
        <v>0.30813300609588623</v>
      </c>
      <c r="C908" s="98">
        <f t="shared" si="13"/>
        <v>-0.5011493576268865</v>
      </c>
      <c r="D908" s="98">
        <v>-1.3677826949660872</v>
      </c>
    </row>
    <row r="909" spans="1:4">
      <c r="A909">
        <v>881</v>
      </c>
      <c r="B909" s="98">
        <v>0.40504986047744751</v>
      </c>
      <c r="C909" s="98">
        <f t="shared" si="13"/>
        <v>-0.24029738647802429</v>
      </c>
      <c r="D909" s="98">
        <v>0.40565840671305886</v>
      </c>
    </row>
    <row r="910" spans="1:4">
      <c r="A910">
        <v>882</v>
      </c>
      <c r="B910" s="98">
        <v>0.86308205127716064</v>
      </c>
      <c r="C910" s="98">
        <f t="shared" si="13"/>
        <v>1.0942715536873375</v>
      </c>
      <c r="D910" s="98">
        <v>-1.1544891085673139</v>
      </c>
    </row>
    <row r="911" spans="1:4">
      <c r="A911">
        <v>883</v>
      </c>
      <c r="B911" s="98">
        <v>0.87130624055862427</v>
      </c>
      <c r="C911" s="98">
        <f t="shared" si="13"/>
        <v>1.1325875035125847</v>
      </c>
      <c r="D911" s="98">
        <v>-0.78510309584754823</v>
      </c>
    </row>
    <row r="912" spans="1:4">
      <c r="A912">
        <v>884</v>
      </c>
      <c r="B912" s="98">
        <v>0.15477502346038818</v>
      </c>
      <c r="C912" s="98">
        <f t="shared" si="13"/>
        <v>-1.0161666243262049</v>
      </c>
      <c r="D912" s="98">
        <v>-3.34747122876752E-2</v>
      </c>
    </row>
    <row r="913" spans="1:4">
      <c r="A913">
        <v>885</v>
      </c>
      <c r="B913" s="98">
        <v>0.61561208963394165</v>
      </c>
      <c r="C913" s="98">
        <f t="shared" si="13"/>
        <v>0.29397655221564656</v>
      </c>
      <c r="D913" s="98">
        <v>-3.9543484413067945E-2</v>
      </c>
    </row>
    <row r="914" spans="1:4">
      <c r="A914">
        <v>886</v>
      </c>
      <c r="B914" s="98">
        <v>0.38835108280181885</v>
      </c>
      <c r="C914" s="98">
        <f t="shared" si="13"/>
        <v>-0.28361927306617607</v>
      </c>
      <c r="D914" s="98">
        <v>-6.1788979937417755E-2</v>
      </c>
    </row>
    <row r="915" spans="1:4">
      <c r="A915">
        <v>887</v>
      </c>
      <c r="B915" s="98">
        <v>8.5049927234649658E-2</v>
      </c>
      <c r="C915" s="98">
        <f t="shared" si="13"/>
        <v>-1.3718830286107462</v>
      </c>
      <c r="D915" s="98">
        <v>0.16146521295539668</v>
      </c>
    </row>
    <row r="916" spans="1:4">
      <c r="A916">
        <v>888</v>
      </c>
      <c r="B916" s="98">
        <v>0.43008220195770264</v>
      </c>
      <c r="C916" s="98">
        <f t="shared" si="13"/>
        <v>-0.17616488895430926</v>
      </c>
      <c r="D916" s="98">
        <v>-0.99601580691147962</v>
      </c>
    </row>
    <row r="917" spans="1:4">
      <c r="A917">
        <v>889</v>
      </c>
      <c r="B917" s="98">
        <v>0.74330383539199829</v>
      </c>
      <c r="C917" s="98">
        <f t="shared" si="13"/>
        <v>0.65356464365399902</v>
      </c>
      <c r="D917" s="98">
        <v>-3.241381593300309E-2</v>
      </c>
    </row>
    <row r="918" spans="1:4">
      <c r="A918">
        <v>890</v>
      </c>
      <c r="B918" s="98">
        <v>0.69799816608428955</v>
      </c>
      <c r="C918" s="98">
        <f t="shared" si="13"/>
        <v>0.51865167333179252</v>
      </c>
      <c r="D918" s="98">
        <v>0.97617357614920242</v>
      </c>
    </row>
    <row r="919" spans="1:4">
      <c r="A919">
        <v>891</v>
      </c>
      <c r="B919" s="98">
        <v>0.39878445863723755</v>
      </c>
      <c r="C919" s="98">
        <f t="shared" si="13"/>
        <v>-0.25649464185491089</v>
      </c>
      <c r="D919" s="98">
        <v>-0.42672011927174774</v>
      </c>
    </row>
    <row r="920" spans="1:4">
      <c r="A920">
        <v>892</v>
      </c>
      <c r="B920" s="98">
        <v>0.30251157283782959</v>
      </c>
      <c r="C920" s="98">
        <f t="shared" si="13"/>
        <v>-0.51719055351955834</v>
      </c>
      <c r="D920" s="98">
        <v>1.2305219913435521</v>
      </c>
    </row>
    <row r="921" spans="1:4">
      <c r="A921">
        <v>893</v>
      </c>
      <c r="B921" s="98">
        <v>0.78275400400161743</v>
      </c>
      <c r="C921" s="98">
        <f t="shared" si="13"/>
        <v>0.78152803930653814</v>
      </c>
      <c r="D921" s="98">
        <v>0.90702093156987218</v>
      </c>
    </row>
    <row r="922" spans="1:4">
      <c r="A922">
        <v>894</v>
      </c>
      <c r="B922" s="98">
        <v>0.43704283237457275</v>
      </c>
      <c r="C922" s="98">
        <f t="shared" si="13"/>
        <v>-0.15847100734654079</v>
      </c>
      <c r="D922" s="98">
        <v>0.15945263406787696</v>
      </c>
    </row>
    <row r="923" spans="1:4">
      <c r="A923">
        <v>895</v>
      </c>
      <c r="B923" s="98">
        <v>0.37745124101638794</v>
      </c>
      <c r="C923" s="98">
        <f t="shared" si="13"/>
        <v>-0.31218164325327408</v>
      </c>
      <c r="D923" s="98">
        <v>-1.3247167774612727</v>
      </c>
    </row>
    <row r="924" spans="1:4">
      <c r="A924">
        <v>896</v>
      </c>
      <c r="B924" s="98">
        <v>1.8645167350769043E-2</v>
      </c>
      <c r="C924" s="98">
        <f t="shared" si="13"/>
        <v>-2.0825711116827175</v>
      </c>
      <c r="D924" s="98">
        <v>1.4357043425593687</v>
      </c>
    </row>
    <row r="925" spans="1:4">
      <c r="A925">
        <v>897</v>
      </c>
      <c r="B925" s="98">
        <v>0.49421650171279907</v>
      </c>
      <c r="C925" s="98">
        <f t="shared" si="13"/>
        <v>-1.4497588167632157E-2</v>
      </c>
      <c r="D925" s="98">
        <v>0.12296170199861155</v>
      </c>
    </row>
    <row r="926" spans="1:4">
      <c r="A926">
        <v>898</v>
      </c>
      <c r="B926" s="98">
        <v>0.57862961292266846</v>
      </c>
      <c r="C926" s="98">
        <f t="shared" ref="C926:C989" si="14">NORMINV(B926,0,1)</f>
        <v>0.19838893478516659</v>
      </c>
      <c r="D926" s="98">
        <v>0.30058267297330321</v>
      </c>
    </row>
    <row r="927" spans="1:4">
      <c r="A927">
        <v>899</v>
      </c>
      <c r="B927" s="98">
        <v>0.60161668062210083</v>
      </c>
      <c r="C927" s="98">
        <f t="shared" si="14"/>
        <v>0.25753391348580523</v>
      </c>
      <c r="D927" s="98">
        <v>-0.48906621582607096</v>
      </c>
    </row>
    <row r="928" spans="1:4">
      <c r="A928">
        <v>900</v>
      </c>
      <c r="B928" s="98">
        <v>0.403190016746521</v>
      </c>
      <c r="C928" s="98">
        <f t="shared" si="14"/>
        <v>-0.24509866898912924</v>
      </c>
      <c r="D928" s="98">
        <v>0.66486790868966927</v>
      </c>
    </row>
    <row r="929" spans="1:4">
      <c r="A929">
        <v>901</v>
      </c>
      <c r="B929" s="98">
        <v>0.90357023477554321</v>
      </c>
      <c r="C929" s="98">
        <f t="shared" si="14"/>
        <v>1.3021663357830531</v>
      </c>
      <c r="D929" s="98">
        <v>-0.92073699759285921</v>
      </c>
    </row>
    <row r="930" spans="1:4">
      <c r="A930">
        <v>902</v>
      </c>
      <c r="B930" s="98">
        <v>0.92402803897857666</v>
      </c>
      <c r="C930" s="98">
        <f t="shared" si="14"/>
        <v>1.4326988368925986</v>
      </c>
      <c r="D930" s="98">
        <v>-0.91540682370403248</v>
      </c>
    </row>
    <row r="931" spans="1:4">
      <c r="A931">
        <v>903</v>
      </c>
      <c r="B931" s="98">
        <v>0.16747218370437622</v>
      </c>
      <c r="C931" s="98">
        <f t="shared" si="14"/>
        <v>-0.96420258744728227</v>
      </c>
      <c r="D931" s="98">
        <v>-0.90886172568560641</v>
      </c>
    </row>
    <row r="932" spans="1:4">
      <c r="A932">
        <v>904</v>
      </c>
      <c r="B932" s="98">
        <v>0.35897815227508545</v>
      </c>
      <c r="C932" s="98">
        <f t="shared" si="14"/>
        <v>-0.36119148839286408</v>
      </c>
      <c r="D932" s="98">
        <v>-0.82676698556473593</v>
      </c>
    </row>
    <row r="933" spans="1:4">
      <c r="A933">
        <v>905</v>
      </c>
      <c r="B933" s="98">
        <v>0.80231910943984985</v>
      </c>
      <c r="C933" s="98">
        <f t="shared" si="14"/>
        <v>0.84993400028653476</v>
      </c>
      <c r="D933" s="98">
        <v>1.2160125740797554</v>
      </c>
    </row>
    <row r="934" spans="1:4">
      <c r="A934">
        <v>906</v>
      </c>
      <c r="B934" s="98">
        <v>0.60263264179229736</v>
      </c>
      <c r="C934" s="98">
        <f t="shared" si="14"/>
        <v>0.26016731339629195</v>
      </c>
      <c r="D934" s="98">
        <v>0.65748236088045764</v>
      </c>
    </row>
    <row r="935" spans="1:4">
      <c r="A935">
        <v>907</v>
      </c>
      <c r="B935" s="98">
        <v>0.18683415651321411</v>
      </c>
      <c r="C935" s="98">
        <f t="shared" si="14"/>
        <v>-0.88962307254950179</v>
      </c>
      <c r="D935" s="98">
        <v>3.8144381595597972E-2</v>
      </c>
    </row>
    <row r="936" spans="1:4">
      <c r="A936">
        <v>908</v>
      </c>
      <c r="B936" s="98">
        <v>0.3669666051864624</v>
      </c>
      <c r="C936" s="98">
        <f t="shared" si="14"/>
        <v>-0.33989817589668025</v>
      </c>
      <c r="D936" s="98">
        <v>0.73092278378229203</v>
      </c>
    </row>
    <row r="937" spans="1:4">
      <c r="A937">
        <v>909</v>
      </c>
      <c r="B937" s="98">
        <v>0.24759203195571899</v>
      </c>
      <c r="C937" s="98">
        <f t="shared" si="14"/>
        <v>-0.68208680451030224</v>
      </c>
      <c r="D937" s="98">
        <v>0.69254063176556935</v>
      </c>
    </row>
    <row r="938" spans="1:4">
      <c r="A938">
        <v>910</v>
      </c>
      <c r="B938" s="98">
        <v>0.57196295261383057</v>
      </c>
      <c r="C938" s="98">
        <f t="shared" si="14"/>
        <v>0.18137391161282312</v>
      </c>
      <c r="D938" s="98">
        <v>2.3977050879476938</v>
      </c>
    </row>
    <row r="939" spans="1:4">
      <c r="A939">
        <v>911</v>
      </c>
      <c r="B939" s="98">
        <v>0.2871440052986145</v>
      </c>
      <c r="C939" s="98">
        <f t="shared" si="14"/>
        <v>-0.56174758175412376</v>
      </c>
      <c r="D939" s="98">
        <v>1.9257288776143866</v>
      </c>
    </row>
    <row r="940" spans="1:4">
      <c r="A940">
        <v>912</v>
      </c>
      <c r="B940" s="98">
        <v>0.98623740673065186</v>
      </c>
      <c r="C940" s="98">
        <f t="shared" si="14"/>
        <v>2.2039880210931591</v>
      </c>
      <c r="D940" s="98">
        <v>-0.10817683347692936</v>
      </c>
    </row>
    <row r="941" spans="1:4">
      <c r="A941">
        <v>913</v>
      </c>
      <c r="B941" s="98">
        <v>6.2142908573150635E-2</v>
      </c>
      <c r="C941" s="98">
        <f t="shared" si="14"/>
        <v>-1.5370305958781869</v>
      </c>
      <c r="D941" s="98">
        <v>2.4416141565207736</v>
      </c>
    </row>
    <row r="942" spans="1:4">
      <c r="A942">
        <v>914</v>
      </c>
      <c r="B942" s="98">
        <v>0.11766350269317627</v>
      </c>
      <c r="C942" s="98">
        <f t="shared" si="14"/>
        <v>-1.1867480762853966</v>
      </c>
      <c r="D942" s="98">
        <v>1.2378702637872498</v>
      </c>
    </row>
    <row r="943" spans="1:4">
      <c r="A943">
        <v>915</v>
      </c>
      <c r="B943" s="98">
        <v>0.11146813631057739</v>
      </c>
      <c r="C943" s="98">
        <f t="shared" si="14"/>
        <v>-1.2187574317163308</v>
      </c>
      <c r="D943" s="98">
        <v>-0.95108480984395838</v>
      </c>
    </row>
    <row r="944" spans="1:4">
      <c r="A944">
        <v>916</v>
      </c>
      <c r="B944" s="98">
        <v>0.35399758815765381</v>
      </c>
      <c r="C944" s="98">
        <f t="shared" si="14"/>
        <v>-0.3745499840714348</v>
      </c>
      <c r="D944" s="98">
        <v>1.2669093197186003</v>
      </c>
    </row>
    <row r="945" spans="1:4">
      <c r="A945">
        <v>917</v>
      </c>
      <c r="B945" s="98">
        <v>0.33435064554214478</v>
      </c>
      <c r="C945" s="98">
        <f t="shared" si="14"/>
        <v>-0.42793109010988406</v>
      </c>
      <c r="D945" s="98">
        <v>-0.51223420188835223</v>
      </c>
    </row>
    <row r="946" spans="1:4">
      <c r="A946">
        <v>918</v>
      </c>
      <c r="B946" s="98">
        <v>0.35350382328033447</v>
      </c>
      <c r="C946" s="98">
        <f t="shared" si="14"/>
        <v>-0.37587793290546251</v>
      </c>
      <c r="D946" s="98">
        <v>-0.35090655264469628</v>
      </c>
    </row>
    <row r="947" spans="1:4">
      <c r="A947">
        <v>919</v>
      </c>
      <c r="B947" s="98">
        <v>0.81849795579910278</v>
      </c>
      <c r="C947" s="98">
        <f t="shared" si="14"/>
        <v>0.90965574817059336</v>
      </c>
      <c r="D947" s="98">
        <v>-3.0475891563542683E-2</v>
      </c>
    </row>
    <row r="948" spans="1:4">
      <c r="A948">
        <v>920</v>
      </c>
      <c r="B948" s="98">
        <v>0.68557918071746826</v>
      </c>
      <c r="C948" s="98">
        <f t="shared" si="14"/>
        <v>0.48335789547375024</v>
      </c>
      <c r="D948" s="98">
        <v>-0.56162717562865805</v>
      </c>
    </row>
    <row r="949" spans="1:4">
      <c r="A949">
        <v>921</v>
      </c>
      <c r="B949" s="98">
        <v>0.91821914911270142</v>
      </c>
      <c r="C949" s="98">
        <f t="shared" si="14"/>
        <v>1.3931921208058358</v>
      </c>
      <c r="D949" s="98">
        <v>-1.056264301720369</v>
      </c>
    </row>
    <row r="950" spans="1:4">
      <c r="A950">
        <v>922</v>
      </c>
      <c r="B950" s="98">
        <v>0.72137844562530518</v>
      </c>
      <c r="C950" s="98">
        <f t="shared" si="14"/>
        <v>0.58694133307753493</v>
      </c>
      <c r="D950" s="98">
        <v>-0.25312411482166258</v>
      </c>
    </row>
    <row r="951" spans="1:4">
      <c r="A951">
        <v>923</v>
      </c>
      <c r="B951" s="98">
        <v>0.58254987001419067</v>
      </c>
      <c r="C951" s="98">
        <f t="shared" si="14"/>
        <v>0.20842100095588204</v>
      </c>
      <c r="D951" s="98">
        <v>0.34497729512055852</v>
      </c>
    </row>
    <row r="952" spans="1:4">
      <c r="A952">
        <v>924</v>
      </c>
      <c r="B952" s="98">
        <v>0.49130690097808838</v>
      </c>
      <c r="C952" s="98">
        <f t="shared" si="14"/>
        <v>-2.179209250666712E-2</v>
      </c>
      <c r="D952" s="98">
        <v>-0.5288168079837986</v>
      </c>
    </row>
    <row r="953" spans="1:4">
      <c r="A953">
        <v>925</v>
      </c>
      <c r="B953" s="98">
        <v>9.3565285205841064E-2</v>
      </c>
      <c r="C953" s="98">
        <f t="shared" si="14"/>
        <v>-1.3191152954453698</v>
      </c>
      <c r="D953" s="98">
        <v>0.17461574697904311</v>
      </c>
    </row>
    <row r="954" spans="1:4">
      <c r="A954">
        <v>926</v>
      </c>
      <c r="B954" s="98">
        <v>0.49215972423553467</v>
      </c>
      <c r="C954" s="98">
        <f t="shared" si="14"/>
        <v>-1.9653922147355805E-2</v>
      </c>
      <c r="D954" s="98">
        <v>0.84243806047503722</v>
      </c>
    </row>
    <row r="955" spans="1:4">
      <c r="A955">
        <v>927</v>
      </c>
      <c r="B955" s="98">
        <v>0.2650790810585022</v>
      </c>
      <c r="C955" s="98">
        <f t="shared" si="14"/>
        <v>-0.62776459594859801</v>
      </c>
      <c r="D955" s="98">
        <v>1.0809069283929575</v>
      </c>
    </row>
    <row r="956" spans="1:4">
      <c r="A956">
        <v>928</v>
      </c>
      <c r="B956" s="98">
        <v>0.26143372058868408</v>
      </c>
      <c r="C956" s="98">
        <f t="shared" si="14"/>
        <v>-0.63893158255250149</v>
      </c>
      <c r="D956" s="98">
        <v>-0.60366435896429549</v>
      </c>
    </row>
    <row r="957" spans="1:4">
      <c r="A957">
        <v>929</v>
      </c>
      <c r="B957" s="98">
        <v>5.7110607624053955E-2</v>
      </c>
      <c r="C957" s="98">
        <f t="shared" si="14"/>
        <v>-1.5795008781528066</v>
      </c>
      <c r="D957" s="98">
        <v>-0.15534277781916911</v>
      </c>
    </row>
    <row r="958" spans="1:4">
      <c r="A958">
        <v>930</v>
      </c>
      <c r="B958" s="98">
        <v>0.33624076843261719</v>
      </c>
      <c r="C958" s="98">
        <f t="shared" si="14"/>
        <v>-0.42274470230990496</v>
      </c>
      <c r="D958" s="98">
        <v>-0.32000540101617098</v>
      </c>
    </row>
    <row r="959" spans="1:4">
      <c r="A959">
        <v>931</v>
      </c>
      <c r="B959" s="98">
        <v>0.40971583127975464</v>
      </c>
      <c r="C959" s="98">
        <f t="shared" si="14"/>
        <v>-0.22827602404056699</v>
      </c>
      <c r="D959" s="98">
        <v>-0.40533563124806277</v>
      </c>
    </row>
    <row r="960" spans="1:4">
      <c r="A960">
        <v>932</v>
      </c>
      <c r="B960" s="98">
        <v>0.27897095680236816</v>
      </c>
      <c r="C960" s="98">
        <f t="shared" si="14"/>
        <v>-0.58590119592767309</v>
      </c>
      <c r="D960" s="98">
        <v>1.8771762270313233</v>
      </c>
    </row>
    <row r="961" spans="1:4">
      <c r="A961">
        <v>933</v>
      </c>
      <c r="B961" s="98">
        <v>0.33176940679550171</v>
      </c>
      <c r="C961" s="98">
        <f t="shared" si="14"/>
        <v>-0.4350325326502264</v>
      </c>
      <c r="D961" s="98">
        <v>0.81469945357022255</v>
      </c>
    </row>
    <row r="962" spans="1:4">
      <c r="A962">
        <v>934</v>
      </c>
      <c r="B962" s="98">
        <v>0.11374902725219727</v>
      </c>
      <c r="C962" s="98">
        <f t="shared" si="14"/>
        <v>-1.2068288721687666</v>
      </c>
      <c r="D962" s="98">
        <v>-1.0773105696955056</v>
      </c>
    </row>
    <row r="963" spans="1:4">
      <c r="A963">
        <v>935</v>
      </c>
      <c r="B963" s="98">
        <v>0.5972105860710144</v>
      </c>
      <c r="C963" s="98">
        <f t="shared" si="14"/>
        <v>0.24613358201809982</v>
      </c>
      <c r="D963" s="98">
        <v>0.64801213811850766</v>
      </c>
    </row>
    <row r="964" spans="1:4">
      <c r="A964">
        <v>936</v>
      </c>
      <c r="B964" s="98">
        <v>9.5030546188354492E-2</v>
      </c>
      <c r="C964" s="98">
        <f t="shared" si="14"/>
        <v>-1.3103984066315273</v>
      </c>
      <c r="D964" s="98">
        <v>-0.49799295215898048</v>
      </c>
    </row>
    <row r="965" spans="1:4">
      <c r="A965">
        <v>937</v>
      </c>
      <c r="B965" s="98">
        <v>5.1726698875427246E-3</v>
      </c>
      <c r="C965" s="98">
        <f t="shared" si="14"/>
        <v>-2.5640675850876389</v>
      </c>
      <c r="D965" s="98">
        <v>-0.84459300476840848</v>
      </c>
    </row>
    <row r="966" spans="1:4">
      <c r="A966">
        <v>938</v>
      </c>
      <c r="B966" s="98">
        <v>0.97632467746734619</v>
      </c>
      <c r="C966" s="98">
        <f t="shared" si="14"/>
        <v>1.9831502858497978</v>
      </c>
      <c r="D966" s="98">
        <v>7.1930226030524236E-2</v>
      </c>
    </row>
    <row r="967" spans="1:4">
      <c r="A967">
        <v>939</v>
      </c>
      <c r="B967" s="98">
        <v>0.45296508073806763</v>
      </c>
      <c r="C967" s="98">
        <f t="shared" si="14"/>
        <v>-0.11817353188942104</v>
      </c>
      <c r="D967" s="98">
        <v>0.75900008401828101</v>
      </c>
    </row>
    <row r="968" spans="1:4">
      <c r="A968">
        <v>940</v>
      </c>
      <c r="B968" s="98">
        <v>0.90288114547729492</v>
      </c>
      <c r="C968" s="98">
        <f t="shared" si="14"/>
        <v>1.2981444307972612</v>
      </c>
      <c r="D968" s="98">
        <v>-0.57517176033940454</v>
      </c>
    </row>
    <row r="969" spans="1:4">
      <c r="A969">
        <v>941</v>
      </c>
      <c r="B969" s="98">
        <v>0.75422829389572144</v>
      </c>
      <c r="C969" s="98">
        <f t="shared" si="14"/>
        <v>0.68785608707815338</v>
      </c>
      <c r="D969" s="98">
        <v>5.2675853322547428E-2</v>
      </c>
    </row>
    <row r="970" spans="1:4">
      <c r="A970">
        <v>942</v>
      </c>
      <c r="B970" s="98">
        <v>0.37801337242126465</v>
      </c>
      <c r="C970" s="98">
        <f t="shared" si="14"/>
        <v>-0.3107025679932548</v>
      </c>
      <c r="D970" s="98">
        <v>-7.3301099960531399E-2</v>
      </c>
    </row>
    <row r="971" spans="1:4">
      <c r="A971">
        <v>943</v>
      </c>
      <c r="B971" s="98">
        <v>0.63376325368881226</v>
      </c>
      <c r="C971" s="98">
        <f t="shared" si="14"/>
        <v>0.34183709365095699</v>
      </c>
      <c r="D971" s="98">
        <v>-8.0808276350058397E-2</v>
      </c>
    </row>
    <row r="972" spans="1:4">
      <c r="A972">
        <v>944</v>
      </c>
      <c r="B972" s="98">
        <v>0.4311065673828125</v>
      </c>
      <c r="C972" s="98">
        <f t="shared" si="14"/>
        <v>-0.17355762765182642</v>
      </c>
      <c r="D972" s="98">
        <v>-1.658729107598846</v>
      </c>
    </row>
    <row r="973" spans="1:4">
      <c r="A973">
        <v>945</v>
      </c>
      <c r="B973" s="98">
        <v>0.1739465594291687</v>
      </c>
      <c r="C973" s="98">
        <f t="shared" si="14"/>
        <v>-0.93868378925093277</v>
      </c>
      <c r="D973" s="98">
        <v>-0.36338275833288741</v>
      </c>
    </row>
    <row r="974" spans="1:4">
      <c r="A974">
        <v>946</v>
      </c>
      <c r="B974" s="98">
        <v>0.68966317176818848</v>
      </c>
      <c r="C974" s="98">
        <f t="shared" si="14"/>
        <v>0.49489582704600665</v>
      </c>
      <c r="D974" s="98">
        <v>-3.6734883633074839E-2</v>
      </c>
    </row>
    <row r="975" spans="1:4">
      <c r="A975">
        <v>947</v>
      </c>
      <c r="B975" s="98">
        <v>5.4770886898040771E-2</v>
      </c>
      <c r="C975" s="98">
        <f t="shared" si="14"/>
        <v>-1.6002561342299757</v>
      </c>
      <c r="D975" s="98">
        <v>0.15800758222138991</v>
      </c>
    </row>
    <row r="976" spans="1:4">
      <c r="A976">
        <v>948</v>
      </c>
      <c r="B976" s="98">
        <v>0.23138093948364258</v>
      </c>
      <c r="C976" s="98">
        <f t="shared" si="14"/>
        <v>-0.73430662847709627</v>
      </c>
      <c r="D976" s="98">
        <v>0.44882969840285974</v>
      </c>
    </row>
    <row r="977" spans="1:4">
      <c r="A977">
        <v>949</v>
      </c>
      <c r="B977" s="98">
        <v>0.60564297437667847</v>
      </c>
      <c r="C977" s="98">
        <f t="shared" si="14"/>
        <v>0.26798086043564373</v>
      </c>
      <c r="D977" s="98">
        <v>0.5627002421899111</v>
      </c>
    </row>
    <row r="978" spans="1:4">
      <c r="A978">
        <v>950</v>
      </c>
      <c r="B978" s="98">
        <v>0.5997779369354248</v>
      </c>
      <c r="C978" s="98">
        <f t="shared" si="14"/>
        <v>0.25277236209448872</v>
      </c>
      <c r="D978" s="98">
        <v>0.80094881000734064</v>
      </c>
    </row>
    <row r="979" spans="1:4">
      <c r="A979">
        <v>951</v>
      </c>
      <c r="B979" s="98">
        <v>0.75850862264633179</v>
      </c>
      <c r="C979" s="98">
        <f t="shared" si="14"/>
        <v>0.70151327231314486</v>
      </c>
      <c r="D979" s="98">
        <v>1.5089352772573672</v>
      </c>
    </row>
    <row r="980" spans="1:4">
      <c r="A980">
        <v>952</v>
      </c>
      <c r="B980" s="98">
        <v>6.9817543029785156E-2</v>
      </c>
      <c r="C980" s="98">
        <f t="shared" si="14"/>
        <v>-1.4771512952751042</v>
      </c>
      <c r="D980" s="98">
        <v>0.57515319278747945</v>
      </c>
    </row>
    <row r="981" spans="1:4">
      <c r="A981">
        <v>953</v>
      </c>
      <c r="B981" s="98">
        <v>0.25097769498825073</v>
      </c>
      <c r="C981" s="98">
        <f t="shared" si="14"/>
        <v>-0.67141625906659663</v>
      </c>
      <c r="D981" s="98">
        <v>-0.63612058301442553</v>
      </c>
    </row>
    <row r="982" spans="1:4">
      <c r="A982">
        <v>954</v>
      </c>
      <c r="B982" s="98">
        <v>0.41565465927124023</v>
      </c>
      <c r="C982" s="98">
        <f t="shared" si="14"/>
        <v>-0.21302262107467623</v>
      </c>
      <c r="D982" s="98">
        <v>-0.74300117161046064</v>
      </c>
    </row>
    <row r="983" spans="1:4">
      <c r="A983">
        <v>955</v>
      </c>
      <c r="B983" s="98">
        <v>0.2022358775138855</v>
      </c>
      <c r="C983" s="98">
        <f t="shared" si="14"/>
        <v>-0.83366150716672782</v>
      </c>
      <c r="D983" s="98">
        <v>-3.235149815846064E-2</v>
      </c>
    </row>
    <row r="984" spans="1:4">
      <c r="A984">
        <v>956</v>
      </c>
      <c r="B984" s="98">
        <v>0.38923048973083496</v>
      </c>
      <c r="C984" s="98">
        <f t="shared" si="14"/>
        <v>-0.28132520549254003</v>
      </c>
      <c r="D984" s="98">
        <v>1.0424457390080912</v>
      </c>
    </row>
    <row r="985" spans="1:4">
      <c r="A985">
        <v>957</v>
      </c>
      <c r="B985" s="98">
        <v>0.49269002676010132</v>
      </c>
      <c r="C985" s="98">
        <f t="shared" si="14"/>
        <v>-1.8324411065741543E-2</v>
      </c>
      <c r="D985" s="98">
        <v>0.74170631465172321</v>
      </c>
    </row>
    <row r="986" spans="1:4">
      <c r="A986">
        <v>958</v>
      </c>
      <c r="B986" s="98">
        <v>0.73829483985900879</v>
      </c>
      <c r="C986" s="98">
        <f t="shared" si="14"/>
        <v>0.63809733650565881</v>
      </c>
      <c r="D986" s="98">
        <v>0.57446619034158508</v>
      </c>
    </row>
    <row r="987" spans="1:4">
      <c r="A987">
        <v>959</v>
      </c>
      <c r="B987" s="98">
        <v>0.11395400762557983</v>
      </c>
      <c r="C987" s="98">
        <f t="shared" si="14"/>
        <v>-1.2057652568621025</v>
      </c>
      <c r="D987" s="98">
        <v>0.19297274797066427</v>
      </c>
    </row>
    <row r="988" spans="1:4">
      <c r="A988">
        <v>960</v>
      </c>
      <c r="B988" s="98">
        <v>2.2108554840087891E-2</v>
      </c>
      <c r="C988" s="98">
        <f t="shared" si="14"/>
        <v>-2.0120268218244393</v>
      </c>
      <c r="D988" s="98">
        <v>-0.17503788244833193</v>
      </c>
    </row>
    <row r="989" spans="1:4">
      <c r="A989">
        <v>961</v>
      </c>
      <c r="B989" s="98">
        <v>0.84478825330734253</v>
      </c>
      <c r="C989" s="98">
        <f t="shared" si="14"/>
        <v>1.0143338159664095</v>
      </c>
      <c r="D989" s="98">
        <v>0.50436369047679508</v>
      </c>
    </row>
    <row r="990" spans="1:4">
      <c r="A990">
        <v>962</v>
      </c>
      <c r="B990" s="98">
        <v>0.86746251583099365</v>
      </c>
      <c r="C990" s="98">
        <f t="shared" ref="C990:C1028" si="15">NORMINV(B990,0,1)</f>
        <v>1.114476155360048</v>
      </c>
      <c r="D990" s="98">
        <v>-1.2094494936934785</v>
      </c>
    </row>
    <row r="991" spans="1:4">
      <c r="A991">
        <v>963</v>
      </c>
      <c r="B991" s="98">
        <v>0.87891680002212524</v>
      </c>
      <c r="C991" s="98">
        <f t="shared" si="15"/>
        <v>1.1695890153680348</v>
      </c>
      <c r="D991" s="98">
        <v>-1.133010224654283</v>
      </c>
    </row>
    <row r="992" spans="1:4">
      <c r="A992">
        <v>964</v>
      </c>
      <c r="B992" s="98">
        <v>0.76838171482086182</v>
      </c>
      <c r="C992" s="98">
        <f t="shared" si="15"/>
        <v>0.73352781350518448</v>
      </c>
      <c r="D992" s="98">
        <v>0.74814627846257187</v>
      </c>
    </row>
    <row r="993" spans="1:4">
      <c r="A993">
        <v>965</v>
      </c>
      <c r="B993" s="98">
        <v>0.45570021867752075</v>
      </c>
      <c r="C993" s="98">
        <f t="shared" si="15"/>
        <v>-0.11127227858416897</v>
      </c>
      <c r="D993" s="98">
        <v>0.65773476724346802</v>
      </c>
    </row>
    <row r="994" spans="1:4">
      <c r="A994">
        <v>966</v>
      </c>
      <c r="B994" s="98">
        <v>5.2407145500183105E-2</v>
      </c>
      <c r="C994" s="98">
        <f t="shared" si="15"/>
        <v>-1.6219488951364185</v>
      </c>
      <c r="D994" s="98">
        <v>0.23070780511875816</v>
      </c>
    </row>
    <row r="995" spans="1:4">
      <c r="A995">
        <v>967</v>
      </c>
      <c r="B995" s="98">
        <v>0.24644619226455688</v>
      </c>
      <c r="C995" s="98">
        <f t="shared" si="15"/>
        <v>-0.68571573153984822</v>
      </c>
      <c r="D995" s="98">
        <v>-2.8516030096873646</v>
      </c>
    </row>
    <row r="996" spans="1:4">
      <c r="A996">
        <v>968</v>
      </c>
      <c r="B996" s="98">
        <v>0.80615365505218506</v>
      </c>
      <c r="C996" s="98">
        <f t="shared" si="15"/>
        <v>0.86380924222147759</v>
      </c>
      <c r="D996" s="98">
        <v>-0.33916843104895672</v>
      </c>
    </row>
    <row r="997" spans="1:4">
      <c r="A997">
        <v>969</v>
      </c>
      <c r="B997" s="98">
        <v>0.61069494485855103</v>
      </c>
      <c r="C997" s="98">
        <f t="shared" si="15"/>
        <v>0.28113075844855273</v>
      </c>
      <c r="D997" s="98">
        <v>-0.25608169035294681</v>
      </c>
    </row>
    <row r="998" spans="1:4">
      <c r="A998">
        <v>970</v>
      </c>
      <c r="B998" s="98">
        <v>0.63439524173736572</v>
      </c>
      <c r="C998" s="98">
        <f t="shared" si="15"/>
        <v>0.34351704969562419</v>
      </c>
      <c r="D998" s="98">
        <v>-0.95066513955473209</v>
      </c>
    </row>
    <row r="999" spans="1:4">
      <c r="A999">
        <v>971</v>
      </c>
      <c r="B999" s="98">
        <v>0.23363620042800903</v>
      </c>
      <c r="C999" s="98">
        <f t="shared" si="15"/>
        <v>-0.72692418474765819</v>
      </c>
      <c r="D999" s="98">
        <v>-1.188070989250303</v>
      </c>
    </row>
    <row r="1000" spans="1:4">
      <c r="A1000">
        <v>972</v>
      </c>
      <c r="B1000" s="98">
        <v>0.59403407573699951</v>
      </c>
      <c r="C1000" s="98">
        <f t="shared" si="15"/>
        <v>0.23793456204938027</v>
      </c>
      <c r="D1000" s="98">
        <v>-2.2858036457134627</v>
      </c>
    </row>
    <row r="1001" spans="1:4">
      <c r="A1001">
        <v>973</v>
      </c>
      <c r="B1001" s="98">
        <v>7.5666964054107666E-2</v>
      </c>
      <c r="C1001" s="98">
        <f t="shared" si="15"/>
        <v>-1.4348356791567458</v>
      </c>
      <c r="D1001" s="98">
        <v>0.37630862708798951</v>
      </c>
    </row>
    <row r="1002" spans="1:4">
      <c r="A1002">
        <v>974</v>
      </c>
      <c r="B1002" s="98">
        <v>0.20277857780456543</v>
      </c>
      <c r="C1002" s="98">
        <f t="shared" si="15"/>
        <v>-0.83173745256697684</v>
      </c>
      <c r="D1002" s="98">
        <v>-0.10816071826578572</v>
      </c>
    </row>
    <row r="1003" spans="1:4">
      <c r="A1003">
        <v>975</v>
      </c>
      <c r="B1003" s="98">
        <v>0.23466295003890991</v>
      </c>
      <c r="C1003" s="98">
        <f t="shared" si="15"/>
        <v>-0.72357629304917903</v>
      </c>
      <c r="D1003" s="98">
        <v>-2.2637393493743833E-2</v>
      </c>
    </row>
    <row r="1004" spans="1:4">
      <c r="A1004">
        <v>976</v>
      </c>
      <c r="B1004" s="98">
        <v>0.11599445343017578</v>
      </c>
      <c r="C1004" s="98">
        <f t="shared" si="15"/>
        <v>-1.1952511821416523</v>
      </c>
      <c r="D1004" s="98">
        <v>-0.27336722005329461</v>
      </c>
    </row>
    <row r="1005" spans="1:4">
      <c r="A1005">
        <v>977</v>
      </c>
      <c r="B1005" s="98">
        <v>0.21010321378707886</v>
      </c>
      <c r="C1005" s="98">
        <f t="shared" si="15"/>
        <v>-0.8060631678066208</v>
      </c>
      <c r="D1005" s="98">
        <v>1.778130314074948</v>
      </c>
    </row>
    <row r="1006" spans="1:4">
      <c r="A1006">
        <v>978</v>
      </c>
      <c r="B1006" s="98">
        <v>0.35698819160461426</v>
      </c>
      <c r="C1006" s="98">
        <f t="shared" si="15"/>
        <v>-0.36652094940140056</v>
      </c>
      <c r="D1006" s="98">
        <v>-1.1405176027174353</v>
      </c>
    </row>
    <row r="1007" spans="1:4">
      <c r="A1007">
        <v>979</v>
      </c>
      <c r="B1007" s="98">
        <v>0.40924113988876343</v>
      </c>
      <c r="C1007" s="98">
        <f t="shared" si="15"/>
        <v>-0.22949747904578255</v>
      </c>
      <c r="D1007" s="98">
        <v>1.2416356772901211</v>
      </c>
    </row>
    <row r="1008" spans="1:4">
      <c r="A1008">
        <v>980</v>
      </c>
      <c r="B1008" s="98">
        <v>0.78861379623413086</v>
      </c>
      <c r="C1008" s="98">
        <f t="shared" si="15"/>
        <v>0.80162068673170672</v>
      </c>
      <c r="D1008" s="98">
        <v>2.6694863675145313</v>
      </c>
    </row>
    <row r="1009" spans="1:4">
      <c r="A1009">
        <v>981</v>
      </c>
      <c r="B1009" s="98">
        <v>0.80601471662521362</v>
      </c>
      <c r="C1009" s="98">
        <f t="shared" si="15"/>
        <v>0.86330359752355545</v>
      </c>
      <c r="D1009" s="98">
        <v>0.10168761777890623</v>
      </c>
    </row>
    <row r="1010" spans="1:4">
      <c r="A1010">
        <v>982</v>
      </c>
      <c r="B1010" s="98">
        <v>0.55204558372497559</v>
      </c>
      <c r="C1010" s="98">
        <f t="shared" si="15"/>
        <v>0.13083121079735346</v>
      </c>
      <c r="D1010" s="98">
        <v>-2.032055809647515</v>
      </c>
    </row>
    <row r="1011" spans="1:4">
      <c r="A1011">
        <v>983</v>
      </c>
      <c r="B1011" s="98">
        <v>0.53940099477767944</v>
      </c>
      <c r="C1011" s="98">
        <f t="shared" si="15"/>
        <v>9.8924759050437724E-2</v>
      </c>
      <c r="D1011" s="98">
        <v>-2.8911631119985005E-2</v>
      </c>
    </row>
    <row r="1012" spans="1:4">
      <c r="A1012">
        <v>984</v>
      </c>
      <c r="B1012" s="98">
        <v>0.33240318298339844</v>
      </c>
      <c r="C1012" s="98">
        <f t="shared" si="15"/>
        <v>-0.43328688338281263</v>
      </c>
      <c r="D1012" s="98">
        <v>-0.93979718010680191</v>
      </c>
    </row>
    <row r="1013" spans="1:4">
      <c r="A1013">
        <v>985</v>
      </c>
      <c r="B1013" s="98">
        <v>0.11654108762741089</v>
      </c>
      <c r="C1013" s="98">
        <f t="shared" si="15"/>
        <v>-1.1924568122658281</v>
      </c>
      <c r="D1013" s="98">
        <v>-1.5614027110451225</v>
      </c>
    </row>
    <row r="1014" spans="1:4">
      <c r="A1014">
        <v>986</v>
      </c>
      <c r="B1014" s="98">
        <v>0.87437653541564941</v>
      </c>
      <c r="C1014" s="98">
        <f t="shared" si="15"/>
        <v>1.1473259590177993</v>
      </c>
      <c r="D1014" s="98">
        <v>0.44902215860858652</v>
      </c>
    </row>
    <row r="1015" spans="1:4">
      <c r="A1015">
        <v>987</v>
      </c>
      <c r="B1015" s="98">
        <v>0.86586517095565796</v>
      </c>
      <c r="C1015" s="98">
        <f t="shared" si="15"/>
        <v>1.1070561371555556</v>
      </c>
      <c r="D1015" s="98">
        <v>-0.20901332702724432</v>
      </c>
    </row>
    <row r="1016" spans="1:4">
      <c r="A1016">
        <v>988</v>
      </c>
      <c r="B1016" s="98">
        <v>0.74785089492797852</v>
      </c>
      <c r="C1016" s="98">
        <f t="shared" si="15"/>
        <v>0.66774213330478394</v>
      </c>
      <c r="D1016" s="98">
        <v>0.17960757860317042</v>
      </c>
    </row>
    <row r="1017" spans="1:4">
      <c r="A1017">
        <v>989</v>
      </c>
      <c r="B1017" s="98">
        <v>0.64021748304367065</v>
      </c>
      <c r="C1017" s="98">
        <f t="shared" si="15"/>
        <v>0.35904017641475616</v>
      </c>
      <c r="D1017" s="98">
        <v>0.89050570373716154</v>
      </c>
    </row>
    <row r="1018" spans="1:4">
      <c r="A1018">
        <v>990</v>
      </c>
      <c r="B1018" s="98">
        <v>0.36353182792663574</v>
      </c>
      <c r="C1018" s="98">
        <f t="shared" si="15"/>
        <v>-0.34903417130165104</v>
      </c>
      <c r="D1018" s="98">
        <v>0.34816961783992723</v>
      </c>
    </row>
    <row r="1019" spans="1:4">
      <c r="A1019">
        <v>991</v>
      </c>
      <c r="B1019" s="98">
        <v>0.76998132467269897</v>
      </c>
      <c r="C1019" s="98">
        <f t="shared" si="15"/>
        <v>0.73878534738760171</v>
      </c>
      <c r="D1019" s="98">
        <v>0.34788496223274129</v>
      </c>
    </row>
    <row r="1020" spans="1:4">
      <c r="A1020">
        <v>992</v>
      </c>
      <c r="B1020" s="98">
        <v>0.23857021331787109</v>
      </c>
      <c r="C1020" s="98">
        <f t="shared" si="15"/>
        <v>-0.71090932576749799</v>
      </c>
      <c r="D1020" s="98">
        <v>-0.41024337069846811</v>
      </c>
    </row>
    <row r="1021" spans="1:4">
      <c r="A1021">
        <v>993</v>
      </c>
      <c r="B1021" s="98">
        <v>0.26620405912399292</v>
      </c>
      <c r="C1021" s="98">
        <f t="shared" si="15"/>
        <v>-0.62433421506930264</v>
      </c>
      <c r="D1021" s="98">
        <v>-1.3893519099842706</v>
      </c>
    </row>
    <row r="1022" spans="1:4">
      <c r="A1022">
        <v>994</v>
      </c>
      <c r="B1022" s="98">
        <v>0.51218724250793457</v>
      </c>
      <c r="C1022" s="98">
        <f t="shared" si="15"/>
        <v>3.0553639758513437E-2</v>
      </c>
      <c r="D1022" s="98">
        <v>0.20872279609449804</v>
      </c>
    </row>
    <row r="1023" spans="1:4">
      <c r="A1023">
        <v>995</v>
      </c>
      <c r="B1023" s="98">
        <v>0.27372211217880249</v>
      </c>
      <c r="C1023" s="98">
        <f t="shared" si="15"/>
        <v>-0.60159429948067578</v>
      </c>
      <c r="D1023" s="98">
        <v>0.17426363079358456</v>
      </c>
    </row>
    <row r="1024" spans="1:4">
      <c r="A1024">
        <v>996</v>
      </c>
      <c r="B1024" s="98">
        <v>0.71129941940307617</v>
      </c>
      <c r="C1024" s="98">
        <f t="shared" si="15"/>
        <v>0.55718481843930612</v>
      </c>
      <c r="D1024" s="98">
        <v>-8.9548051588508204E-2</v>
      </c>
    </row>
    <row r="1025" spans="1:4">
      <c r="A1025">
        <v>997</v>
      </c>
      <c r="B1025" s="98">
        <v>0.77428597211837769</v>
      </c>
      <c r="C1025" s="98">
        <f t="shared" si="15"/>
        <v>0.75303637523929801</v>
      </c>
      <c r="D1025" s="98">
        <v>-0.78188988061454523</v>
      </c>
    </row>
    <row r="1026" spans="1:4">
      <c r="A1026">
        <v>998</v>
      </c>
      <c r="B1026" s="98">
        <v>0.7661435604095459</v>
      </c>
      <c r="C1026" s="98">
        <f t="shared" si="15"/>
        <v>0.72620537207152325</v>
      </c>
      <c r="D1026" s="98">
        <v>-1.5579764519127759</v>
      </c>
    </row>
    <row r="1027" spans="1:4">
      <c r="A1027">
        <v>999</v>
      </c>
      <c r="B1027" s="98">
        <v>0.53968518972396851</v>
      </c>
      <c r="C1027" s="98">
        <f t="shared" si="15"/>
        <v>9.9640649760202107E-2</v>
      </c>
      <c r="D1027" s="98">
        <v>0.67262328279427497</v>
      </c>
    </row>
    <row r="1028" spans="1:4">
      <c r="A1028">
        <v>1000</v>
      </c>
      <c r="B1028" s="98">
        <v>0.27590179443359375</v>
      </c>
      <c r="C1028" s="98">
        <f t="shared" si="15"/>
        <v>-0.59505966524219167</v>
      </c>
      <c r="D1028" s="98">
        <v>1.9158640677297518</v>
      </c>
    </row>
  </sheetData>
  <phoneticPr fontId="8" type="noConversion"/>
  <pageMargins left="0.75" right="0.75" top="1" bottom="1" header="0.5" footer="0.5"/>
  <pageSetup orientation="portrait" verticalDpi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37904" r:id="rId4">
          <objectPr defaultSize="0" autoPict="0" r:id="rId5">
            <anchor moveWithCells="1" sizeWithCells="1">
              <from>
                <xdr:col>1</xdr:col>
                <xdr:colOff>0</xdr:colOff>
                <xdr:row>3</xdr:row>
                <xdr:rowOff>9525</xdr:rowOff>
              </from>
              <to>
                <xdr:col>10</xdr:col>
                <xdr:colOff>571500</xdr:colOff>
                <xdr:row>20</xdr:row>
                <xdr:rowOff>142875</xdr:rowOff>
              </to>
            </anchor>
          </objectPr>
        </oleObject>
      </mc:Choice>
      <mc:Fallback>
        <oleObject progId="Word.Document.8" shapeId="37904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6" name="Button 1">
              <controlPr defaultSize="0" print="0" autoFill="0" autoLine="0" autoPict="0" macro="[1]!Go_Contents">
                <anchor moveWithCells="1" sizeWithCells="1">
                  <from>
                    <xdr:col>11</xdr:col>
                    <xdr:colOff>38100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7" name="Button 18">
              <controlPr defaultSize="0" print="0" autoFill="0" autoPict="0" macro="[0]!fillData">
                <anchor moveWithCells="1">
                  <from>
                    <xdr:col>5</xdr:col>
                    <xdr:colOff>9525</xdr:colOff>
                    <xdr:row>49</xdr:row>
                    <xdr:rowOff>66675</xdr:rowOff>
                  </from>
                  <to>
                    <xdr:col>7</xdr:col>
                    <xdr:colOff>0</xdr:colOff>
                    <xdr:row>52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M44"/>
  <sheetViews>
    <sheetView showGridLines="0" topLeftCell="A18" workbookViewId="0">
      <selection activeCell="D35" sqref="D35"/>
    </sheetView>
  </sheetViews>
  <sheetFormatPr defaultColWidth="10.28515625" defaultRowHeight="15"/>
  <cols>
    <col min="1" max="1" width="10.28515625" style="58" customWidth="1"/>
    <col min="2" max="2" width="16.85546875" style="58" customWidth="1"/>
    <col min="3" max="3" width="10.28515625" style="58" customWidth="1"/>
    <col min="4" max="4" width="14.5703125" style="58" customWidth="1"/>
    <col min="5" max="5" width="15.5703125" style="58" bestFit="1" customWidth="1"/>
    <col min="6" max="16384" width="10.28515625" style="58"/>
  </cols>
  <sheetData>
    <row r="1" spans="1:13" ht="27">
      <c r="A1" s="56" t="s">
        <v>391</v>
      </c>
      <c r="B1" s="56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</row>
    <row r="2" spans="1:13">
      <c r="A2" s="59"/>
      <c r="B2" s="59"/>
      <c r="C2" s="59"/>
    </row>
    <row r="3" spans="1:13" ht="18">
      <c r="A3" s="60" t="s">
        <v>437</v>
      </c>
      <c r="B3" s="59"/>
      <c r="C3" s="59"/>
    </row>
    <row r="4" spans="1:13" ht="18">
      <c r="A4" s="108" t="s">
        <v>438</v>
      </c>
      <c r="B4" s="59"/>
      <c r="C4" s="59"/>
    </row>
    <row r="5" spans="1:13" ht="18">
      <c r="A5" s="59"/>
      <c r="B5" s="59"/>
      <c r="C5" s="59"/>
      <c r="G5" s="61" t="s">
        <v>391</v>
      </c>
    </row>
    <row r="6" spans="1:13" ht="18">
      <c r="B6" s="62" t="s">
        <v>392</v>
      </c>
    </row>
    <row r="7" spans="1:13">
      <c r="B7" s="63" t="s">
        <v>393</v>
      </c>
      <c r="C7" s="64"/>
      <c r="D7" s="64"/>
      <c r="E7" s="65">
        <v>100</v>
      </c>
    </row>
    <row r="8" spans="1:13">
      <c r="B8" s="63" t="s">
        <v>394</v>
      </c>
      <c r="C8" s="66"/>
      <c r="D8" s="66"/>
      <c r="E8" s="67">
        <v>80</v>
      </c>
      <c r="F8" s="68"/>
    </row>
    <row r="9" spans="1:13">
      <c r="B9" s="63" t="s">
        <v>395</v>
      </c>
      <c r="C9" s="66"/>
      <c r="D9" s="66"/>
      <c r="E9" s="69">
        <v>365</v>
      </c>
      <c r="F9" s="68"/>
    </row>
    <row r="10" spans="1:13">
      <c r="B10" s="63" t="s">
        <v>396</v>
      </c>
      <c r="C10" s="66"/>
      <c r="D10" s="66"/>
      <c r="E10" s="70">
        <v>0.02</v>
      </c>
    </row>
    <row r="11" spans="1:13">
      <c r="B11" s="63" t="s">
        <v>397</v>
      </c>
      <c r="C11" s="66"/>
      <c r="D11" s="66"/>
      <c r="E11" s="71">
        <v>0.25</v>
      </c>
    </row>
    <row r="12" spans="1:13">
      <c r="B12" s="72" t="s">
        <v>398</v>
      </c>
      <c r="C12" s="73"/>
      <c r="D12" s="73"/>
      <c r="E12" s="74">
        <v>0</v>
      </c>
    </row>
    <row r="13" spans="1:13">
      <c r="B13" s="75"/>
      <c r="C13" s="75"/>
      <c r="D13" s="75"/>
      <c r="E13" s="75"/>
    </row>
    <row r="15" spans="1:13">
      <c r="F15" s="76"/>
    </row>
    <row r="17" spans="1:7">
      <c r="A17" s="58" t="s">
        <v>399</v>
      </c>
    </row>
    <row r="18" spans="1:7" ht="18">
      <c r="B18" s="77" t="s">
        <v>400</v>
      </c>
      <c r="C18" s="78"/>
      <c r="D18" s="79"/>
      <c r="E18" s="79"/>
    </row>
    <row r="19" spans="1:7">
      <c r="B19" s="80" t="s">
        <v>401</v>
      </c>
      <c r="C19" s="81"/>
      <c r="D19" s="81"/>
      <c r="E19" s="82">
        <f>BS_Maturity/365.25</f>
        <v>0.99931553730321698</v>
      </c>
      <c r="G19" s="83" t="s">
        <v>402</v>
      </c>
    </row>
    <row r="20" spans="1:7">
      <c r="B20" s="80" t="s">
        <v>403</v>
      </c>
      <c r="C20" s="81"/>
      <c r="D20" s="81"/>
      <c r="E20" s="82">
        <f>LN(1+BS_Interest)</f>
        <v>1.980262729617973E-2</v>
      </c>
    </row>
    <row r="21" spans="1:7">
      <c r="B21" s="80" t="s">
        <v>404</v>
      </c>
      <c r="C21" s="81"/>
      <c r="D21" s="81"/>
      <c r="E21" s="82">
        <f>LN(1+BS_Dividend)</f>
        <v>0</v>
      </c>
    </row>
    <row r="22" spans="1:7">
      <c r="B22" s="80" t="s">
        <v>405</v>
      </c>
      <c r="C22" s="81"/>
      <c r="D22" s="81"/>
      <c r="E22" s="82">
        <f>(LN(BS_Spot/BS_Strike)+(E20-E21+BS_Volatility^2/2)*E19)/(BS_Volatility*SQRT(E19))</f>
        <v>1.0970204390145586</v>
      </c>
    </row>
    <row r="23" spans="1:7">
      <c r="B23" s="80" t="s">
        <v>406</v>
      </c>
      <c r="C23" s="81"/>
      <c r="D23" s="81"/>
      <c r="E23" s="84">
        <f>E22-BS_Volatility*SQRT(E19)</f>
        <v>0.84710601149695597</v>
      </c>
    </row>
    <row r="24" spans="1:7">
      <c r="B24" s="80"/>
      <c r="C24" s="81"/>
      <c r="D24" s="81"/>
      <c r="E24" s="84"/>
    </row>
    <row r="25" spans="1:7">
      <c r="B25" s="80" t="s">
        <v>407</v>
      </c>
      <c r="C25" s="81"/>
      <c r="D25" s="81"/>
      <c r="E25" s="94">
        <f>BS_Spot*NORMSDIST(E22)-BS_Strike*EXP(-E20*E19)*NORMSDIST(E23)</f>
        <v>23.502271495244258</v>
      </c>
      <c r="G25" s="95">
        <f>callBS(BS_Spot,BS_Strike,BS_Maturity,BS_Interest,BS_Volatility,BS_Dividend)</f>
        <v>23.502271495244262</v>
      </c>
    </row>
    <row r="26" spans="1:7">
      <c r="B26" s="85" t="s">
        <v>408</v>
      </c>
      <c r="C26" s="86"/>
      <c r="D26" s="86"/>
      <c r="E26" s="94">
        <f>BS_Strike*EXP(-E20*E19)*NORMSDIST(-E23)-BS_Spot*NORMSDIST(-E22)</f>
        <v>1.9347071228160662</v>
      </c>
      <c r="G26" s="95">
        <f>putBS(BS_Spot,BS_Strike,BS_Maturity,BS_Interest,BS_Volatility,BS_Dividend)</f>
        <v>1.9347071228160668</v>
      </c>
    </row>
    <row r="27" spans="1:7">
      <c r="E27" s="87"/>
    </row>
    <row r="28" spans="1:7">
      <c r="E28" s="76"/>
    </row>
    <row r="30" spans="1:7" ht="18">
      <c r="A30" s="60" t="s">
        <v>440</v>
      </c>
    </row>
    <row r="31" spans="1:7" ht="18">
      <c r="A31" s="60" t="s">
        <v>439</v>
      </c>
    </row>
    <row r="33" spans="2:4">
      <c r="C33" s="88" t="s">
        <v>409</v>
      </c>
      <c r="D33" s="88" t="s">
        <v>410</v>
      </c>
    </row>
    <row r="34" spans="2:4">
      <c r="B34" s="89" t="s">
        <v>411</v>
      </c>
      <c r="C34" s="90">
        <f>G25</f>
        <v>23.502271495244262</v>
      </c>
      <c r="D34" s="90">
        <f>G26</f>
        <v>1.9347071228160668</v>
      </c>
    </row>
    <row r="35" spans="2:4">
      <c r="B35" s="91">
        <v>0.05</v>
      </c>
      <c r="C35" s="92"/>
      <c r="D35" s="93"/>
    </row>
    <row r="36" spans="2:4">
      <c r="B36" s="91">
        <v>0.1</v>
      </c>
      <c r="C36" s="92"/>
      <c r="D36" s="93"/>
    </row>
    <row r="37" spans="2:4">
      <c r="B37" s="91">
        <v>0.15</v>
      </c>
      <c r="C37" s="92"/>
      <c r="D37" s="93"/>
    </row>
    <row r="38" spans="2:4">
      <c r="B38" s="91">
        <v>0.2</v>
      </c>
      <c r="C38" s="92"/>
      <c r="D38" s="93"/>
    </row>
    <row r="39" spans="2:4">
      <c r="B39" s="91">
        <v>0.25</v>
      </c>
      <c r="C39" s="92"/>
      <c r="D39" s="93"/>
    </row>
    <row r="40" spans="2:4">
      <c r="B40" s="91">
        <v>0.3</v>
      </c>
      <c r="C40" s="92"/>
      <c r="D40" s="93"/>
    </row>
    <row r="41" spans="2:4">
      <c r="B41" s="91">
        <v>0.35</v>
      </c>
      <c r="C41" s="92"/>
      <c r="D41" s="93"/>
    </row>
    <row r="42" spans="2:4">
      <c r="B42" s="91">
        <v>0.4</v>
      </c>
      <c r="C42" s="92"/>
      <c r="D42" s="93"/>
    </row>
    <row r="43" spans="2:4">
      <c r="B43" s="91">
        <v>0.45</v>
      </c>
      <c r="C43" s="92"/>
      <c r="D43" s="93"/>
    </row>
    <row r="44" spans="2:4">
      <c r="B44" s="91">
        <v>0.5</v>
      </c>
      <c r="C44" s="92"/>
      <c r="D44" s="93"/>
    </row>
  </sheetData>
  <phoneticPr fontId="33" type="noConversion"/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35841" r:id="rId4">
          <objectPr defaultSize="0" autoPict="0" r:id="rId5">
            <anchor moveWithCells="1" sizeWithCells="1">
              <from>
                <xdr:col>6</xdr:col>
                <xdr:colOff>28575</xdr:colOff>
                <xdr:row>5</xdr:row>
                <xdr:rowOff>142875</xdr:rowOff>
              </from>
              <to>
                <xdr:col>12</xdr:col>
                <xdr:colOff>19050</xdr:colOff>
                <xdr:row>15</xdr:row>
                <xdr:rowOff>200025</xdr:rowOff>
              </to>
            </anchor>
          </objectPr>
        </oleObject>
      </mc:Choice>
      <mc:Fallback>
        <oleObject progId="Equation.3" shapeId="3584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r:id="rId6" name="Button 2">
              <controlPr defaultSize="0" print="0" autoFill="0" autoLine="0" autoPict="0" macro="[1]!Go_Contents">
                <anchor moveWithCells="1" sizeWithCells="1">
                  <from>
                    <xdr:col>11</xdr:col>
                    <xdr:colOff>400050</xdr:colOff>
                    <xdr:row>0</xdr:row>
                    <xdr:rowOff>19050</xdr:rowOff>
                  </from>
                  <to>
                    <xdr:col>13</xdr:col>
                    <xdr:colOff>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48"/>
  <sheetViews>
    <sheetView workbookViewId="0">
      <selection activeCell="B14" sqref="B14"/>
    </sheetView>
  </sheetViews>
  <sheetFormatPr defaultRowHeight="12.75"/>
  <cols>
    <col min="1" max="10" width="10.7109375" customWidth="1"/>
  </cols>
  <sheetData>
    <row r="1" spans="1:10">
      <c r="A1" s="110" t="s">
        <v>458</v>
      </c>
    </row>
    <row r="2" spans="1:10">
      <c r="A2" s="110"/>
    </row>
    <row r="3" spans="1:10">
      <c r="A3" s="110" t="s">
        <v>459</v>
      </c>
    </row>
    <row r="4" spans="1:10">
      <c r="A4" t="s">
        <v>460</v>
      </c>
      <c r="I4" s="111" t="s">
        <v>461</v>
      </c>
      <c r="J4" s="112">
        <f>B17</f>
        <v>-1</v>
      </c>
    </row>
    <row r="5" spans="1:10">
      <c r="A5" t="s">
        <v>462</v>
      </c>
      <c r="I5" s="111" t="s">
        <v>463</v>
      </c>
      <c r="J5" s="112">
        <f>B18</f>
        <v>5</v>
      </c>
    </row>
    <row r="7" spans="1:10" ht="13.5" thickBot="1">
      <c r="I7" s="113" t="s">
        <v>464</v>
      </c>
      <c r="J7" s="113" t="s">
        <v>465</v>
      </c>
    </row>
    <row r="8" spans="1:10">
      <c r="A8" s="114" t="s">
        <v>466</v>
      </c>
      <c r="B8" s="115"/>
      <c r="I8">
        <v>-1</v>
      </c>
      <c r="J8">
        <v>4</v>
      </c>
    </row>
    <row r="9" spans="1:10" ht="13.5">
      <c r="A9" s="116" t="s">
        <v>465</v>
      </c>
      <c r="B9" s="117">
        <f>B13^2-B13+2</f>
        <v>1.75</v>
      </c>
      <c r="I9">
        <v>-0.85</v>
      </c>
      <c r="J9">
        <v>3.5724999999999998</v>
      </c>
    </row>
    <row r="10" spans="1:10">
      <c r="I10">
        <v>-0.7</v>
      </c>
      <c r="J10">
        <v>3.19</v>
      </c>
    </row>
    <row r="11" spans="1:10">
      <c r="I11">
        <v>-0.55000000000000004</v>
      </c>
      <c r="J11">
        <v>2.8525</v>
      </c>
    </row>
    <row r="12" spans="1:10">
      <c r="A12" s="114" t="s">
        <v>467</v>
      </c>
      <c r="B12" s="115"/>
      <c r="I12">
        <v>-0.4</v>
      </c>
      <c r="J12">
        <v>2.56</v>
      </c>
    </row>
    <row r="13" spans="1:10" ht="13.5">
      <c r="A13" s="116" t="s">
        <v>464</v>
      </c>
      <c r="B13" s="118">
        <v>0.49999999924395161</v>
      </c>
      <c r="I13">
        <v>-0.25</v>
      </c>
      <c r="J13">
        <v>2.3125</v>
      </c>
    </row>
    <row r="14" spans="1:10">
      <c r="I14">
        <v>-9.9999999999999922E-2</v>
      </c>
      <c r="J14">
        <v>2.11</v>
      </c>
    </row>
    <row r="15" spans="1:10">
      <c r="I15">
        <v>5.0000000000000072E-2</v>
      </c>
      <c r="J15">
        <v>1.9524999999999999</v>
      </c>
    </row>
    <row r="16" spans="1:10">
      <c r="A16" s="114" t="s">
        <v>468</v>
      </c>
      <c r="B16" s="115"/>
      <c r="I16">
        <v>0.2</v>
      </c>
      <c r="J16">
        <v>1.84</v>
      </c>
    </row>
    <row r="17" spans="1:10">
      <c r="A17" s="111" t="s">
        <v>469</v>
      </c>
      <c r="B17" s="9">
        <v>-1</v>
      </c>
      <c r="I17">
        <v>0.35</v>
      </c>
      <c r="J17">
        <v>1.7725</v>
      </c>
    </row>
    <row r="18" spans="1:10">
      <c r="A18" s="111" t="s">
        <v>470</v>
      </c>
      <c r="B18" s="9">
        <v>5</v>
      </c>
      <c r="I18">
        <v>0.5</v>
      </c>
      <c r="J18">
        <v>1.75</v>
      </c>
    </row>
    <row r="19" spans="1:10">
      <c r="I19">
        <v>0.65</v>
      </c>
      <c r="J19">
        <v>1.7725</v>
      </c>
    </row>
    <row r="20" spans="1:10">
      <c r="I20">
        <v>0.8</v>
      </c>
      <c r="J20">
        <v>1.84</v>
      </c>
    </row>
    <row r="21" spans="1:10">
      <c r="I21">
        <v>0.95</v>
      </c>
      <c r="J21">
        <v>1.9524999999999999</v>
      </c>
    </row>
    <row r="22" spans="1:10">
      <c r="I22">
        <v>1.1000000000000001</v>
      </c>
      <c r="J22">
        <v>2.11</v>
      </c>
    </row>
    <row r="23" spans="1:10">
      <c r="I23">
        <v>1.25</v>
      </c>
      <c r="J23">
        <v>2.3125</v>
      </c>
    </row>
    <row r="24" spans="1:10">
      <c r="I24">
        <v>1.4</v>
      </c>
      <c r="J24">
        <v>2.56</v>
      </c>
    </row>
    <row r="25" spans="1:10">
      <c r="I25">
        <v>1.55</v>
      </c>
      <c r="J25">
        <v>2.8525</v>
      </c>
    </row>
    <row r="26" spans="1:10">
      <c r="C26" s="119"/>
      <c r="I26">
        <v>1.7</v>
      </c>
      <c r="J26">
        <v>3.19</v>
      </c>
    </row>
    <row r="27" spans="1:10">
      <c r="C27" s="120"/>
      <c r="I27">
        <v>1.85</v>
      </c>
      <c r="J27">
        <v>3.5724999999999998</v>
      </c>
    </row>
    <row r="28" spans="1:10">
      <c r="C28" s="120"/>
      <c r="I28">
        <v>2</v>
      </c>
      <c r="J28">
        <v>4</v>
      </c>
    </row>
    <row r="29" spans="1:10">
      <c r="C29" s="120"/>
      <c r="I29">
        <v>2.15</v>
      </c>
      <c r="J29">
        <v>4.4725000000000001</v>
      </c>
    </row>
    <row r="30" spans="1:10">
      <c r="C30" s="120"/>
      <c r="I30">
        <v>2.2999999999999998</v>
      </c>
      <c r="J30">
        <v>4.99</v>
      </c>
    </row>
    <row r="31" spans="1:10">
      <c r="C31" s="120"/>
      <c r="I31">
        <v>2.4500000000000002</v>
      </c>
      <c r="J31">
        <v>5.5525000000000002</v>
      </c>
    </row>
    <row r="32" spans="1:10">
      <c r="C32" s="120"/>
      <c r="I32">
        <v>2.6</v>
      </c>
      <c r="J32">
        <v>6.16</v>
      </c>
    </row>
    <row r="33" spans="3:10">
      <c r="C33" s="120"/>
      <c r="I33">
        <v>2.75</v>
      </c>
      <c r="J33">
        <v>6.8125</v>
      </c>
    </row>
    <row r="34" spans="3:10">
      <c r="C34" s="120"/>
      <c r="I34">
        <v>2.9</v>
      </c>
      <c r="J34">
        <v>7.51</v>
      </c>
    </row>
    <row r="35" spans="3:10">
      <c r="C35" s="120"/>
      <c r="I35">
        <v>3.05</v>
      </c>
      <c r="J35">
        <v>8.2524999999999942</v>
      </c>
    </row>
    <row r="36" spans="3:10">
      <c r="C36" s="120"/>
      <c r="I36">
        <v>3.2</v>
      </c>
      <c r="J36">
        <v>9.0399999999999938</v>
      </c>
    </row>
    <row r="37" spans="3:10">
      <c r="C37" s="120"/>
      <c r="I37">
        <v>3.35</v>
      </c>
      <c r="J37">
        <v>9.8724999999999916</v>
      </c>
    </row>
    <row r="38" spans="3:10">
      <c r="C38" s="121"/>
      <c r="I38">
        <v>3.5</v>
      </c>
      <c r="J38">
        <v>10.75</v>
      </c>
    </row>
    <row r="39" spans="3:10">
      <c r="I39">
        <v>3.65</v>
      </c>
      <c r="J39">
        <v>11.672499999999999</v>
      </c>
    </row>
    <row r="40" spans="3:10">
      <c r="I40">
        <v>3.8</v>
      </c>
      <c r="J40">
        <v>12.64</v>
      </c>
    </row>
    <row r="41" spans="3:10">
      <c r="I41">
        <v>3.95</v>
      </c>
      <c r="J41">
        <v>13.6525</v>
      </c>
    </row>
    <row r="42" spans="3:10">
      <c r="I42">
        <v>4.0999999999999996</v>
      </c>
      <c r="J42">
        <v>14.71</v>
      </c>
    </row>
    <row r="43" spans="3:10">
      <c r="I43">
        <v>4.25</v>
      </c>
      <c r="J43">
        <v>15.8125</v>
      </c>
    </row>
    <row r="44" spans="3:10">
      <c r="I44">
        <v>4.4000000000000004</v>
      </c>
      <c r="J44">
        <v>16.96</v>
      </c>
    </row>
    <row r="45" spans="3:10">
      <c r="I45">
        <v>4.55</v>
      </c>
      <c r="J45">
        <v>18.1525</v>
      </c>
    </row>
    <row r="46" spans="3:10">
      <c r="I46">
        <v>4.7</v>
      </c>
      <c r="J46">
        <v>19.39</v>
      </c>
    </row>
    <row r="47" spans="3:10">
      <c r="I47">
        <v>4.8499999999999996</v>
      </c>
      <c r="J47">
        <v>20.672499999999999</v>
      </c>
    </row>
    <row r="48" spans="3:10">
      <c r="I48">
        <v>5</v>
      </c>
      <c r="J48">
        <v>22</v>
      </c>
    </row>
  </sheetData>
  <phoneticPr fontId="55" type="noConversion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39937" r:id="rId3">
          <objectPr defaultSize="0" autoPict="0" r:id="rId4">
            <anchor moveWithCells="1">
              <from>
                <xdr:col>3</xdr:col>
                <xdr:colOff>552450</xdr:colOff>
                <xdr:row>3</xdr:row>
                <xdr:rowOff>9525</xdr:rowOff>
              </from>
              <to>
                <xdr:col>5</xdr:col>
                <xdr:colOff>619125</xdr:colOff>
                <xdr:row>5</xdr:row>
                <xdr:rowOff>57150</xdr:rowOff>
              </to>
            </anchor>
          </objectPr>
        </oleObject>
      </mc:Choice>
      <mc:Fallback>
        <oleObject progId="Equation.3" shapeId="39937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Invoke_Solver">
                <anchor moveWithCells="1" siz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15</vt:i4>
      </vt:variant>
    </vt:vector>
  </HeadingPairs>
  <TitlesOfParts>
    <vt:vector size="29" baseType="lpstr">
      <vt:lpstr>Table of Contents</vt:lpstr>
      <vt:lpstr>Macro Recorder</vt:lpstr>
      <vt:lpstr>Object</vt:lpstr>
      <vt:lpstr>Basics</vt:lpstr>
      <vt:lpstr>Variables</vt:lpstr>
      <vt:lpstr>Constants</vt:lpstr>
      <vt:lpstr>Operators</vt:lpstr>
      <vt:lpstr>Statements</vt:lpstr>
      <vt:lpstr>Array</vt:lpstr>
      <vt:lpstr>Sub &amp; Function</vt:lpstr>
      <vt:lpstr>Built-In Function</vt:lpstr>
      <vt:lpstr>Box Muller</vt:lpstr>
      <vt:lpstr>BS</vt:lpstr>
      <vt:lpstr>Solver</vt:lpstr>
      <vt:lpstr>BS!BS_Dividend</vt:lpstr>
      <vt:lpstr>BS!BS_Interest</vt:lpstr>
      <vt:lpstr>BS!BS_Maturity</vt:lpstr>
      <vt:lpstr>BS!BS_Spot</vt:lpstr>
      <vt:lpstr>BS!BS_Strike</vt:lpstr>
      <vt:lpstr>BS!BS_Volatility</vt:lpstr>
      <vt:lpstr>ClearContents</vt:lpstr>
      <vt:lpstr>Color_Constants</vt:lpstr>
      <vt:lpstr>nvBM</vt:lpstr>
      <vt:lpstr>nvNI</vt:lpstr>
      <vt:lpstr>Uniform</vt:lpstr>
      <vt:lpstr>Basics!xltocobjectmodelapplication</vt:lpstr>
      <vt:lpstr>Object!xltocobjectmodelapplication</vt:lpstr>
      <vt:lpstr>Variables!xltocobjectmodelapplication</vt:lpstr>
      <vt:lpstr>YellowCells</vt:lpstr>
    </vt:vector>
  </TitlesOfParts>
  <Company>SBC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Mylich</cp:lastModifiedBy>
  <cp:lastPrinted>2008-06-23T07:43:02Z</cp:lastPrinted>
  <dcterms:created xsi:type="dcterms:W3CDTF">1998-02-25T07:19:13Z</dcterms:created>
  <dcterms:modified xsi:type="dcterms:W3CDTF">2011-03-18T08:17:27Z</dcterms:modified>
</cp:coreProperties>
</file>