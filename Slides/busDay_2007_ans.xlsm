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50" yWindow="90" windowWidth="8505" windowHeight="4530"/>
  </bookViews>
  <sheets>
    <sheet name="BusDate" sheetId="1" r:id="rId1"/>
  </sheets>
  <functionGroups/>
  <definedNames>
    <definedName name="Holiday_File">BusDate!$C$2</definedName>
  </definedNames>
  <calcPr calcId="125725"/>
</workbook>
</file>

<file path=xl/calcChain.xml><?xml version="1.0" encoding="utf-8"?>
<calcChain xmlns="http://schemas.openxmlformats.org/spreadsheetml/2006/main">
  <c r="H14" i="1"/>
  <c r="C11"/>
  <c r="C13"/>
  <c r="C20"/>
  <c r="H20" s="1"/>
  <c r="C25"/>
  <c r="H25"/>
  <c r="C24"/>
  <c r="H24" s="1"/>
  <c r="C10"/>
  <c r="C12"/>
  <c r="C14"/>
  <c r="C15"/>
  <c r="C16"/>
  <c r="C17"/>
  <c r="C18"/>
  <c r="C19"/>
  <c r="C21"/>
  <c r="C22"/>
  <c r="C23"/>
  <c r="C26"/>
  <c r="C27"/>
  <c r="C28"/>
  <c r="C29"/>
  <c r="C30"/>
  <c r="C31"/>
  <c r="C32"/>
  <c r="C33"/>
  <c r="C34"/>
  <c r="C35"/>
  <c r="C36"/>
  <c r="C37"/>
  <c r="C38"/>
  <c r="C39"/>
  <c r="C40"/>
  <c r="C41"/>
  <c r="C42"/>
  <c r="C9"/>
  <c r="E20"/>
  <c r="E29"/>
  <c r="E14"/>
  <c r="E13"/>
  <c r="H29"/>
  <c r="H13"/>
  <c r="E21"/>
  <c r="E11"/>
  <c r="E24"/>
  <c r="H21"/>
  <c r="E25"/>
  <c r="H27"/>
  <c r="H11"/>
  <c r="E27"/>
</calcChain>
</file>

<file path=xl/sharedStrings.xml><?xml version="1.0" encoding="utf-8"?>
<sst xmlns="http://schemas.openxmlformats.org/spreadsheetml/2006/main" count="45" uniqueCount="45">
  <si>
    <t>Holiday File:</t>
  </si>
  <si>
    <t>20080101,HKG</t>
  </si>
  <si>
    <t>20080207,HKG</t>
  </si>
  <si>
    <t>20080208,HKG</t>
  </si>
  <si>
    <t>20080209,HKG</t>
  </si>
  <si>
    <t>20080321,HKG</t>
  </si>
  <si>
    <t>20080322,HKG</t>
  </si>
  <si>
    <t>20080324,HKG</t>
  </si>
  <si>
    <t>20080404,HKG</t>
  </si>
  <si>
    <t>20080501,HKG</t>
  </si>
  <si>
    <t>20080512,HKG</t>
  </si>
  <si>
    <t>20080609,HKG</t>
  </si>
  <si>
    <t>20080701,HKG</t>
  </si>
  <si>
    <t>20080915,HKG</t>
  </si>
  <si>
    <t>20081001,HKG</t>
  </si>
  <si>
    <t>20081007,HKG</t>
  </si>
  <si>
    <t>20081225,HKG</t>
  </si>
  <si>
    <t>20081226,HKG</t>
  </si>
  <si>
    <t>20090101,HKG</t>
  </si>
  <si>
    <t>20090126,HKG</t>
  </si>
  <si>
    <t>20090127,HKG</t>
  </si>
  <si>
    <t>20090128,HKG</t>
  </si>
  <si>
    <t>20090404,HKG</t>
  </si>
  <si>
    <t>20090410,HKG</t>
  </si>
  <si>
    <t>20090411,HKG</t>
  </si>
  <si>
    <t>20090413,HKG</t>
  </si>
  <si>
    <t>20090501,HKG</t>
  </si>
  <si>
    <t>20090502,HKG</t>
  </si>
  <si>
    <t>20090528,HKG</t>
  </si>
  <si>
    <t>20090701,HKG</t>
  </si>
  <si>
    <t>20091001,HKG</t>
  </si>
  <si>
    <t>20091003,HKG</t>
  </si>
  <si>
    <t>20091026,HKG</t>
  </si>
  <si>
    <t>20091225,HKG</t>
  </si>
  <si>
    <t>20091226,HKG</t>
  </si>
  <si>
    <t>HK Holidays
2008, 2009</t>
  </si>
  <si>
    <t>Function</t>
  </si>
  <si>
    <t>Result</t>
  </si>
  <si>
    <t>=vbSunday</t>
  </si>
  <si>
    <t>Comment</t>
  </si>
  <si>
    <t>=vbTuesday</t>
  </si>
  <si>
    <t>=vbThursday</t>
  </si>
  <si>
    <t>=vbFriday</t>
  </si>
  <si>
    <r>
      <t xml:space="preserve">Press </t>
    </r>
    <r>
      <rPr>
        <b/>
        <sz val="12"/>
        <color indexed="18"/>
        <rFont val="Arial"/>
        <family val="2"/>
      </rPr>
      <t>F9</t>
    </r>
    <r>
      <rPr>
        <b/>
        <sz val="12"/>
        <rFont val="Arial"/>
        <family val="2"/>
      </rPr>
      <t xml:space="preserve"> to force recalculation of all cells</t>
    </r>
  </si>
  <si>
    <t>C:\Users\cdshum\Documents\Building Applications for Computational Finance\web\CSIT513\slides\hkHoliday.txt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</si>
</sst>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7">
    <font>
      <sz val="12"/>
      <name val="新細明體"/>
      <charset val="136"/>
    </font>
    <font>
      <sz val="9"/>
      <name val="新細明體"/>
      <charset val="136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18"/>
      <name val="Arial"/>
      <family val="2"/>
    </font>
    <font>
      <sz val="12"/>
      <name val="新細明體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3" fillId="2" borderId="0" xfId="0" applyFont="1" applyFill="1"/>
    <xf numFmtId="0" fontId="2" fillId="3" borderId="0" xfId="0" applyFont="1" applyFill="1"/>
    <xf numFmtId="0" fontId="3" fillId="2" borderId="0" xfId="0" applyFont="1" applyFill="1" applyAlignment="1">
      <alignment wrapText="1"/>
    </xf>
    <xf numFmtId="164" fontId="2" fillId="0" borderId="0" xfId="0" applyNumberFormat="1" applyFont="1"/>
    <xf numFmtId="0" fontId="2" fillId="0" borderId="0" xfId="0" quotePrefix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M42"/>
  <sheetViews>
    <sheetView tabSelected="1" workbookViewId="0">
      <selection activeCell="H11" sqref="H11"/>
    </sheetView>
  </sheetViews>
  <sheetFormatPr defaultRowHeight="12.75"/>
  <cols>
    <col min="1" max="1" width="9" style="1"/>
    <col min="2" max="2" width="11.875" style="1" bestFit="1" customWidth="1"/>
    <col min="3" max="5" width="9" style="1"/>
    <col min="6" max="6" width="11.25" style="1" customWidth="1"/>
    <col min="7" max="7" width="14.125" style="1" customWidth="1"/>
    <col min="8" max="16384" width="9" style="1"/>
  </cols>
  <sheetData>
    <row r="2" spans="2:13">
      <c r="B2" s="4" t="s">
        <v>0</v>
      </c>
      <c r="C2" s="5" t="s">
        <v>44</v>
      </c>
      <c r="D2" s="5"/>
      <c r="E2" s="5"/>
      <c r="F2" s="5"/>
      <c r="G2" s="5"/>
      <c r="H2" s="5"/>
      <c r="I2" s="5"/>
      <c r="J2" s="5"/>
      <c r="K2" s="5"/>
      <c r="L2" s="5"/>
      <c r="M2" s="5"/>
    </row>
    <row r="3" spans="2:13">
      <c r="C3" s="2"/>
    </row>
    <row r="4" spans="2:13" ht="15.75">
      <c r="C4" s="2"/>
      <c r="D4" s="9" t="s">
        <v>43</v>
      </c>
    </row>
    <row r="8" spans="2:13" ht="25.5">
      <c r="B8" s="6" t="s">
        <v>35</v>
      </c>
      <c r="E8" s="3" t="s">
        <v>36</v>
      </c>
      <c r="H8" s="3" t="s">
        <v>37</v>
      </c>
      <c r="I8" s="3" t="s">
        <v>39</v>
      </c>
    </row>
    <row r="9" spans="2:13">
      <c r="B9" s="5" t="s">
        <v>1</v>
      </c>
      <c r="C9" s="7">
        <f>DATEVALUE(LEFT(B9,4)&amp;"/"&amp;MID(B9,5,2)&amp;"/"&amp;MID(B9,7,2))</f>
        <v>39448</v>
      </c>
      <c r="E9" s="2"/>
    </row>
    <row r="10" spans="2:13">
      <c r="B10" s="5" t="s">
        <v>2</v>
      </c>
      <c r="C10" s="7">
        <f t="shared" ref="C10:C42" si="0">DATEVALUE(LEFT(B10,4)&amp;"/"&amp;MID(B10,5,2)&amp;"/"&amp;MID(B10,7,2))</f>
        <v>39485</v>
      </c>
      <c r="E10" s="2"/>
    </row>
    <row r="11" spans="2:13">
      <c r="B11" s="5" t="s">
        <v>3</v>
      </c>
      <c r="C11" s="7">
        <f t="shared" si="0"/>
        <v>39486</v>
      </c>
      <c r="E11" s="1" t="str">
        <f>cellf(H11)</f>
        <v>=isbusday(C11,"HKG")</v>
      </c>
      <c r="H11" s="1" t="b">
        <f ca="1">isbusday(C11,"HKG")</f>
        <v>0</v>
      </c>
    </row>
    <row r="12" spans="2:13">
      <c r="B12" s="5" t="s">
        <v>4</v>
      </c>
      <c r="C12" s="7">
        <f t="shared" si="0"/>
        <v>39487</v>
      </c>
    </row>
    <row r="13" spans="2:13">
      <c r="B13" s="5" t="s">
        <v>5</v>
      </c>
      <c r="C13" s="7">
        <f t="shared" si="0"/>
        <v>39528</v>
      </c>
      <c r="E13" s="1" t="str">
        <f>cellf(H13)</f>
        <v>=nextBusDay(C13,"HKG")</v>
      </c>
      <c r="H13" s="7">
        <f ca="1">nextBusDay(C13,"HKG")</f>
        <v>39532</v>
      </c>
    </row>
    <row r="14" spans="2:13">
      <c r="B14" s="5" t="s">
        <v>6</v>
      </c>
      <c r="C14" s="7">
        <f t="shared" si="0"/>
        <v>39529</v>
      </c>
      <c r="E14" s="1" t="str">
        <f>cellf(H14)</f>
        <v>=WEEKDAY(DATE(2008,3,23))</v>
      </c>
      <c r="H14" s="1">
        <f>WEEKDAY(DATE(2008,3,23))</f>
        <v>1</v>
      </c>
      <c r="I14" s="8" t="s">
        <v>38</v>
      </c>
    </row>
    <row r="15" spans="2:13">
      <c r="B15" s="5" t="s">
        <v>7</v>
      </c>
      <c r="C15" s="7">
        <f t="shared" si="0"/>
        <v>39531</v>
      </c>
    </row>
    <row r="16" spans="2:13">
      <c r="B16" s="5" t="s">
        <v>8</v>
      </c>
      <c r="C16" s="7">
        <f t="shared" si="0"/>
        <v>39542</v>
      </c>
    </row>
    <row r="17" spans="2:9">
      <c r="B17" s="5" t="s">
        <v>9</v>
      </c>
      <c r="C17" s="7">
        <f t="shared" si="0"/>
        <v>39569</v>
      </c>
    </row>
    <row r="18" spans="2:9">
      <c r="B18" s="5" t="s">
        <v>10</v>
      </c>
      <c r="C18" s="7">
        <f t="shared" si="0"/>
        <v>39580</v>
      </c>
      <c r="D18" s="2"/>
    </row>
    <row r="19" spans="2:9">
      <c r="B19" s="5" t="s">
        <v>11</v>
      </c>
      <c r="C19" s="7">
        <f t="shared" si="0"/>
        <v>39608</v>
      </c>
    </row>
    <row r="20" spans="2:9">
      <c r="B20" s="5" t="s">
        <v>12</v>
      </c>
      <c r="C20" s="7">
        <f t="shared" si="0"/>
        <v>39630</v>
      </c>
      <c r="E20" s="1" t="str">
        <f>cellf(H20)</f>
        <v>=WEEKDAY(C20)</v>
      </c>
      <c r="H20" s="1">
        <f>WEEKDAY(C20)</f>
        <v>3</v>
      </c>
      <c r="I20" s="8" t="s">
        <v>40</v>
      </c>
    </row>
    <row r="21" spans="2:9">
      <c r="B21" s="5" t="s">
        <v>13</v>
      </c>
      <c r="C21" s="7">
        <f t="shared" si="0"/>
        <v>39706</v>
      </c>
      <c r="E21" s="1" t="str">
        <f>cellf(H21)</f>
        <v>=prevBusDay(C20,"HKG")</v>
      </c>
      <c r="H21" s="7">
        <f ca="1">prevBusDay(C20,"HKG")</f>
        <v>39629</v>
      </c>
    </row>
    <row r="22" spans="2:9">
      <c r="B22" s="5" t="s">
        <v>14</v>
      </c>
      <c r="C22" s="7">
        <f t="shared" si="0"/>
        <v>39722</v>
      </c>
    </row>
    <row r="23" spans="2:9">
      <c r="B23" s="5" t="s">
        <v>15</v>
      </c>
      <c r="C23" s="7">
        <f t="shared" si="0"/>
        <v>39728</v>
      </c>
    </row>
    <row r="24" spans="2:9">
      <c r="B24" s="5" t="s">
        <v>16</v>
      </c>
      <c r="C24" s="7">
        <f t="shared" si="0"/>
        <v>39807</v>
      </c>
      <c r="E24" s="1" t="str">
        <f t="shared" ref="E24:E29" si="1">cellf(H24)</f>
        <v>=WEEKDAY(C24)</v>
      </c>
      <c r="H24" s="1">
        <f>WEEKDAY(C24)</f>
        <v>5</v>
      </c>
      <c r="I24" s="8" t="s">
        <v>41</v>
      </c>
    </row>
    <row r="25" spans="2:9">
      <c r="B25" s="5" t="s">
        <v>17</v>
      </c>
      <c r="C25" s="7">
        <f t="shared" si="0"/>
        <v>39808</v>
      </c>
      <c r="E25" s="1" t="str">
        <f t="shared" si="1"/>
        <v>=WEEKDAY(C25)</v>
      </c>
      <c r="H25" s="1">
        <f>WEEKDAY(C25)</f>
        <v>6</v>
      </c>
      <c r="I25" s="8" t="s">
        <v>42</v>
      </c>
    </row>
    <row r="26" spans="2:9">
      <c r="B26" s="5" t="s">
        <v>18</v>
      </c>
      <c r="C26" s="7">
        <f t="shared" si="0"/>
        <v>39814</v>
      </c>
    </row>
    <row r="27" spans="2:9">
      <c r="B27" s="5" t="s">
        <v>19</v>
      </c>
      <c r="C27" s="7">
        <f t="shared" si="0"/>
        <v>39839</v>
      </c>
      <c r="E27" s="1" t="str">
        <f t="shared" si="1"/>
        <v>=addBusDay(DATE(2008,12,24),"HKG",4)</v>
      </c>
      <c r="H27" s="7">
        <f ca="1">addBusDay(DATE(2008,12,24),"HKG",4)</f>
        <v>39815</v>
      </c>
    </row>
    <row r="28" spans="2:9">
      <c r="B28" s="5" t="s">
        <v>20</v>
      </c>
      <c r="C28" s="7">
        <f t="shared" si="0"/>
        <v>39840</v>
      </c>
    </row>
    <row r="29" spans="2:9">
      <c r="B29" s="5" t="s">
        <v>21</v>
      </c>
      <c r="C29" s="7">
        <f t="shared" si="0"/>
        <v>39841</v>
      </c>
      <c r="E29" s="1" t="str">
        <f t="shared" si="1"/>
        <v>=addBusMonth(DATE(2008,11,26),"HKG",2,1)</v>
      </c>
      <c r="H29" s="7">
        <f ca="1">addBusMonth(DATE(2008,11,26),"HKG",2,1)</f>
        <v>39842</v>
      </c>
    </row>
    <row r="30" spans="2:9">
      <c r="B30" s="5" t="s">
        <v>22</v>
      </c>
      <c r="C30" s="7">
        <f t="shared" si="0"/>
        <v>39907</v>
      </c>
    </row>
    <row r="31" spans="2:9">
      <c r="B31" s="5" t="s">
        <v>23</v>
      </c>
      <c r="C31" s="7">
        <f t="shared" si="0"/>
        <v>39913</v>
      </c>
    </row>
    <row r="32" spans="2:9">
      <c r="B32" s="5" t="s">
        <v>24</v>
      </c>
      <c r="C32" s="7">
        <f t="shared" si="0"/>
        <v>39914</v>
      </c>
    </row>
    <row r="33" spans="2:3">
      <c r="B33" s="5" t="s">
        <v>25</v>
      </c>
      <c r="C33" s="7">
        <f t="shared" si="0"/>
        <v>39916</v>
      </c>
    </row>
    <row r="34" spans="2:3">
      <c r="B34" s="5" t="s">
        <v>26</v>
      </c>
      <c r="C34" s="7">
        <f t="shared" si="0"/>
        <v>39934</v>
      </c>
    </row>
    <row r="35" spans="2:3">
      <c r="B35" s="5" t="s">
        <v>27</v>
      </c>
      <c r="C35" s="7">
        <f t="shared" si="0"/>
        <v>39935</v>
      </c>
    </row>
    <row r="36" spans="2:3">
      <c r="B36" s="5" t="s">
        <v>28</v>
      </c>
      <c r="C36" s="7">
        <f t="shared" si="0"/>
        <v>39961</v>
      </c>
    </row>
    <row r="37" spans="2:3">
      <c r="B37" s="5" t="s">
        <v>29</v>
      </c>
      <c r="C37" s="7">
        <f t="shared" si="0"/>
        <v>39995</v>
      </c>
    </row>
    <row r="38" spans="2:3">
      <c r="B38" s="5" t="s">
        <v>30</v>
      </c>
      <c r="C38" s="7">
        <f t="shared" si="0"/>
        <v>40087</v>
      </c>
    </row>
    <row r="39" spans="2:3">
      <c r="B39" s="5" t="s">
        <v>31</v>
      </c>
      <c r="C39" s="7">
        <f t="shared" si="0"/>
        <v>40089</v>
      </c>
    </row>
    <row r="40" spans="2:3">
      <c r="B40" s="5" t="s">
        <v>32</v>
      </c>
      <c r="C40" s="7">
        <f t="shared" si="0"/>
        <v>40112</v>
      </c>
    </row>
    <row r="41" spans="2:3">
      <c r="B41" s="5" t="s">
        <v>33</v>
      </c>
      <c r="C41" s="7">
        <f t="shared" si="0"/>
        <v>40172</v>
      </c>
    </row>
    <row r="42" spans="2:3">
      <c r="B42" s="5" t="s">
        <v>34</v>
      </c>
      <c r="C42" s="7">
        <f t="shared" si="0"/>
        <v>40173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BusDate</vt:lpstr>
      <vt:lpstr>Holiday_File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cdshum</cp:lastModifiedBy>
  <dcterms:created xsi:type="dcterms:W3CDTF">1997-01-14T01:50:29Z</dcterms:created>
  <dcterms:modified xsi:type="dcterms:W3CDTF">2011-03-28T07:02:11Z</dcterms:modified>
</cp:coreProperties>
</file>