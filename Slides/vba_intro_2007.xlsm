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2.xml" ContentType="application/vnd.openxmlformats-officedocument.drawing+xml"/>
  <Override PartName="/xl/embeddings/oleObject1.bin" ContentType="application/vnd.openxmlformats-officedocument.oleObject"/>
  <Override PartName="/xl/ctrlProps/ctrlProp21.xml" ContentType="application/vnd.ms-excel.controlproperties+xml"/>
  <Override PartName="/xl/drawings/drawing13.xml" ContentType="application/vnd.openxmlformats-officedocument.drawing+xml"/>
  <Override PartName="/xl/embeddings/oleObject2.bin" ContentType="application/vnd.openxmlformats-officedocument.oleObject"/>
  <Override PartName="/xl/ctrlProps/ctrlProp22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-30" yWindow="-30" windowWidth="7530" windowHeight="5685" firstSheet="1" activeTab="1"/>
  </bookViews>
  <sheets>
    <sheet name="Sheet.m" sheetId="1" state="veryHidden" r:id=""/>
    <sheet name="Table of Contents" sheetId="3" r:id="rId1"/>
    <sheet name="Macro Recorder" sheetId="4920" r:id="rId2"/>
    <sheet name="Object" sheetId="4921" r:id="rId3"/>
    <sheet name="Basics" sheetId="4922" r:id="rId4"/>
    <sheet name="Variables" sheetId="4923" r:id="rId5"/>
    <sheet name="Constants" sheetId="4924" r:id="rId6"/>
    <sheet name="Operators" sheetId="4925" r:id="rId7"/>
    <sheet name="Statements" sheetId="4926" r:id="rId8"/>
    <sheet name="Array" sheetId="4927" r:id="rId9"/>
    <sheet name="Sub &amp; Function" sheetId="4928" r:id="rId10"/>
    <sheet name="Built-In Function" sheetId="4930" r:id="rId11"/>
    <sheet name="Box Muller" sheetId="4931" r:id="rId12"/>
    <sheet name="BS" sheetId="4929" r:id="rId13"/>
    <sheet name="Solver" sheetId="4932" r:id="rId14"/>
  </sheets>
  <functionGroups builtInGroupCount="17"/>
  <externalReferences>
    <externalReference r:id="rId15"/>
    <externalReference r:id="rId16"/>
    <externalReference r:id="rId17"/>
    <externalReference r:id="rId18"/>
  </externalReferences>
  <definedNames>
    <definedName name="_1_">#REF!</definedName>
    <definedName name="_2_">#REF!</definedName>
    <definedName name="_3_">#REF!</definedName>
    <definedName name="_4_">#REF!</definedName>
    <definedName name="_5_">#REF!</definedName>
    <definedName name="_6_">#REF!</definedName>
    <definedName name="Basis">#REF!</definedName>
    <definedName name="BS_d1">[1]BS!$E$22</definedName>
    <definedName name="BS_d2">[1]BS!$E$23</definedName>
    <definedName name="BS_Dividend" localSheetId="13">BS!$E$12</definedName>
    <definedName name="BS_Dividend">#REF!</definedName>
    <definedName name="BS_DividendCC">[1]BS!$E$21</definedName>
    <definedName name="BS_Interest" localSheetId="13">BS!$E$10</definedName>
    <definedName name="BS_Interest">#REF!</definedName>
    <definedName name="BS_InterestCC">[1]BS!$E$20</definedName>
    <definedName name="BS_Maturity" localSheetId="13">BS!$E$9</definedName>
    <definedName name="BS_Maturity">#REF!</definedName>
    <definedName name="BS_MaturityY">[1]BS!$E$19</definedName>
    <definedName name="BS_Spot" localSheetId="13">BS!$E$7</definedName>
    <definedName name="BS_Spot">#REF!</definedName>
    <definedName name="BS_Strike" localSheetId="13">BS!$E$8</definedName>
    <definedName name="BS_Strike">#REF!</definedName>
    <definedName name="BS_Volatility" localSheetId="13">BS!$E$11</definedName>
    <definedName name="BS_Volatility">#REF!</definedName>
    <definedName name="ClearContents" localSheetId="9">Array!#REF!</definedName>
    <definedName name="ClearContents" localSheetId="4">Basics!#REF!</definedName>
    <definedName name="ClearContents" localSheetId="11">'Built-In Function'!#REF!</definedName>
    <definedName name="ClearContents" localSheetId="6">Constants!#REF!</definedName>
    <definedName name="ClearContents" localSheetId="7">Operators!#REF!</definedName>
    <definedName name="ClearContents" localSheetId="8">Statements!#REF!</definedName>
    <definedName name="ClearContents" localSheetId="10">'Sub &amp; Function'!#REF!</definedName>
    <definedName name="ClearContents" localSheetId="5">Variables!#REF!</definedName>
    <definedName name="ClearContents">Object!$B$11</definedName>
    <definedName name="Color_Constants">Constants!$A$14:$A$21</definedName>
    <definedName name="ComRate">[2]Lookup!$F$5:$G$7</definedName>
    <definedName name="Coupon">#REF!</definedName>
    <definedName name="Go_To_This_Cell">#REF!</definedName>
    <definedName name="Index">#REF!</definedName>
    <definedName name="Interest_At_Maturity">#REF!</definedName>
    <definedName name="Interest_Rate">#REF!</definedName>
    <definedName name="invA">[2]MatDef!$I$17:$K$19</definedName>
    <definedName name="Maturity_Date">#REF!</definedName>
    <definedName name="MC_Dividend">'[1]Monte Carlo'!$E$8</definedName>
    <definedName name="MC_DividendCC">'[1]Monte Carlo'!$E$21</definedName>
    <definedName name="MC_Interest">'[1]Monte Carlo'!$E$7</definedName>
    <definedName name="MC_InterestCC">'[1]Monte Carlo'!$E$20</definedName>
    <definedName name="MC_NumOfSteps">'[1]Monte Carlo'!$E$14</definedName>
    <definedName name="MC_Spot">'[1]Monte Carlo'!$E$6</definedName>
    <definedName name="MC_Step">'[1]Monte Carlo'!$E$13</definedName>
    <definedName name="MC_StepY">'[1]Monte Carlo'!$E$19</definedName>
    <definedName name="MC_Volatility">'[1]Monte Carlo'!$E$9</definedName>
    <definedName name="nvBM">'Box Muller'!$D$29:$D$1028</definedName>
    <definedName name="nvNI">'Box Muller'!$C$29:$C$1028</definedName>
    <definedName name="One_Month_Fixed">#REF!</definedName>
    <definedName name="Period" localSheetId="12">[1]Formula!#REF!</definedName>
    <definedName name="Period" localSheetId="13">[1]Formula!#REF!</definedName>
    <definedName name="Period">#REF!</definedName>
    <definedName name="Principal">#REF!</definedName>
    <definedName name="regoutput">[2]Beta!$E$8:$M$28</definedName>
    <definedName name="ShareA">#REF!</definedName>
    <definedName name="solver_adj" localSheetId="14" hidden="1">Solver!$B$13</definedName>
    <definedName name="solver_cvg" localSheetId="14" hidden="1">0.0001</definedName>
    <definedName name="solver_drv" localSheetId="14" hidden="1">1</definedName>
    <definedName name="solver_est" localSheetId="14" hidden="1">1</definedName>
    <definedName name="solver_itr" localSheetId="14" hidden="1">100</definedName>
    <definedName name="solver_lhs1" localSheetId="14" hidden="1">Solver!$B$13</definedName>
    <definedName name="solver_lhs2" localSheetId="14" hidden="1">Solver!$B$13</definedName>
    <definedName name="solver_lin" localSheetId="14" hidden="1">2</definedName>
    <definedName name="solver_neg" localSheetId="14" hidden="1">2</definedName>
    <definedName name="solver_num" localSheetId="14" hidden="1">2</definedName>
    <definedName name="solver_nwt" localSheetId="14" hidden="1">1</definedName>
    <definedName name="solver_opt" localSheetId="14" hidden="1">Solver!$B$9</definedName>
    <definedName name="solver_pre" localSheetId="14" hidden="1">0.000001</definedName>
    <definedName name="solver_rel1" localSheetId="14" hidden="1">1</definedName>
    <definedName name="solver_rel2" localSheetId="14" hidden="1">3</definedName>
    <definedName name="solver_rhs1" localSheetId="14" hidden="1">Solver!$B$18</definedName>
    <definedName name="solver_rhs2" localSheetId="14" hidden="1">Solver!$B$17</definedName>
    <definedName name="solver_scl" localSheetId="14" hidden="1">2</definedName>
    <definedName name="solver_sho" localSheetId="14" hidden="1">2</definedName>
    <definedName name="solver_tim" localSheetId="14" hidden="1">100</definedName>
    <definedName name="solver_tol" localSheetId="14" hidden="1">0.05</definedName>
    <definedName name="solver_typ" localSheetId="14" hidden="1">2</definedName>
    <definedName name="solver_val" localSheetId="14" hidden="1">0</definedName>
    <definedName name="Start_Date">#REF!</definedName>
    <definedName name="testrange">#REF!</definedName>
    <definedName name="Uniform">'Box Muller'!$B$29:$B$1028</definedName>
    <definedName name="xltocobjectmodelapplication" localSheetId="9">Array!#REF!</definedName>
    <definedName name="xltocobjectmodelapplication" localSheetId="4">Basics!$A$3</definedName>
    <definedName name="xltocobjectmodelapplication" localSheetId="11">'Built-In Function'!#REF!</definedName>
    <definedName name="xltocobjectmodelapplication" localSheetId="6">Constants!#REF!</definedName>
    <definedName name="xltocobjectmodelapplication" localSheetId="3">Object!$A$3</definedName>
    <definedName name="xltocobjectmodelapplication" localSheetId="7">Operators!#REF!</definedName>
    <definedName name="xltocobjectmodelapplication" localSheetId="8">Statements!#REF!</definedName>
    <definedName name="xltocobjectmodelapplication" localSheetId="10">'Sub &amp; Function'!#REF!</definedName>
    <definedName name="xltocobjectmodelapplication" localSheetId="5">Variables!$A$3</definedName>
    <definedName name="Y">[2]MatDef!$C$21:$C$23</definedName>
    <definedName name="YellowCells" localSheetId="9">Array!#REF!</definedName>
    <definedName name="YellowCells" localSheetId="4">Basics!#REF!</definedName>
    <definedName name="YellowCells" localSheetId="11">'Built-In Function'!#REF!</definedName>
    <definedName name="YellowCells" localSheetId="6">Constants!#REF!</definedName>
    <definedName name="YellowCells" localSheetId="7">Operators!#REF!</definedName>
    <definedName name="YellowCells" localSheetId="8">Statements!#REF!</definedName>
    <definedName name="YellowCells" localSheetId="10">'Sub &amp; Function'!#REF!</definedName>
    <definedName name="YellowCells" localSheetId="5">Variables!#REF!</definedName>
    <definedName name="YellowCells">Object!$B$23:$D$25</definedName>
  </definedNames>
  <calcPr calcId="144525"/>
</workbook>
</file>

<file path=xl/calcChain.xml><?xml version="1.0" encoding="utf-8"?>
<calcChain xmlns="http://schemas.openxmlformats.org/spreadsheetml/2006/main">
  <c r="B9" i="4932" l="1"/>
  <c r="J5" i="4932"/>
  <c r="J4" i="4932"/>
  <c r="G58" i="4931"/>
  <c r="G57" i="4931"/>
  <c r="C29" i="4931"/>
  <c r="G32" i="4931" s="1"/>
  <c r="C30" i="4931"/>
  <c r="C31" i="4931"/>
  <c r="C32" i="4931"/>
  <c r="C33" i="4931"/>
  <c r="C34" i="4931"/>
  <c r="C35" i="4931"/>
  <c r="C36" i="4931"/>
  <c r="C37" i="4931"/>
  <c r="C38" i="4931"/>
  <c r="C39" i="4931"/>
  <c r="C40" i="4931"/>
  <c r="C41" i="4931"/>
  <c r="C42" i="4931"/>
  <c r="C43" i="4931"/>
  <c r="C44" i="4931"/>
  <c r="C45" i="4931"/>
  <c r="C46" i="4931"/>
  <c r="C47" i="4931"/>
  <c r="C48" i="4931"/>
  <c r="C49" i="4931"/>
  <c r="C50" i="4931"/>
  <c r="C51" i="4931"/>
  <c r="C52" i="4931"/>
  <c r="C53" i="4931"/>
  <c r="C54" i="4931"/>
  <c r="C55" i="4931"/>
  <c r="C56" i="4931"/>
  <c r="C57" i="4931"/>
  <c r="C58" i="4931"/>
  <c r="C59" i="4931"/>
  <c r="C60" i="4931"/>
  <c r="C61" i="4931"/>
  <c r="C62" i="4931"/>
  <c r="C63" i="4931"/>
  <c r="C64" i="4931"/>
  <c r="C65" i="4931"/>
  <c r="C66" i="4931"/>
  <c r="C67" i="4931"/>
  <c r="C68" i="4931"/>
  <c r="C69" i="4931"/>
  <c r="C70" i="4931"/>
  <c r="C71" i="4931"/>
  <c r="C72" i="4931"/>
  <c r="C73" i="4931"/>
  <c r="C74" i="4931"/>
  <c r="C75" i="4931"/>
  <c r="C76" i="4931"/>
  <c r="C77" i="4931"/>
  <c r="C78" i="4931"/>
  <c r="C79" i="4931"/>
  <c r="C80" i="4931"/>
  <c r="C81" i="4931"/>
  <c r="C82" i="4931"/>
  <c r="C83" i="4931"/>
  <c r="C84" i="4931"/>
  <c r="C85" i="4931"/>
  <c r="C86" i="4931"/>
  <c r="C87" i="4931"/>
  <c r="C88" i="4931"/>
  <c r="C89" i="4931"/>
  <c r="C90" i="4931"/>
  <c r="C91" i="4931"/>
  <c r="C92" i="4931"/>
  <c r="C93" i="4931"/>
  <c r="C94" i="4931"/>
  <c r="C95" i="4931"/>
  <c r="C96" i="4931"/>
  <c r="C97" i="4931"/>
  <c r="C98" i="4931"/>
  <c r="C99" i="4931"/>
  <c r="C100" i="4931"/>
  <c r="C101" i="4931"/>
  <c r="C102" i="4931"/>
  <c r="C103" i="4931"/>
  <c r="C104" i="4931"/>
  <c r="C105" i="4931"/>
  <c r="C106" i="4931"/>
  <c r="C107" i="4931"/>
  <c r="C108" i="4931"/>
  <c r="C109" i="4931"/>
  <c r="C110" i="4931"/>
  <c r="C111" i="4931"/>
  <c r="C112" i="4931"/>
  <c r="C113" i="4931"/>
  <c r="C114" i="4931"/>
  <c r="C115" i="4931"/>
  <c r="C116" i="4931"/>
  <c r="C117" i="4931"/>
  <c r="C118" i="4931"/>
  <c r="C119" i="4931"/>
  <c r="C120" i="4931"/>
  <c r="C121" i="4931"/>
  <c r="C122" i="4931"/>
  <c r="C123" i="4931"/>
  <c r="C124" i="4931"/>
  <c r="C125" i="4931"/>
  <c r="C126" i="4931"/>
  <c r="C127" i="4931"/>
  <c r="C128" i="4931"/>
  <c r="C129" i="4931"/>
  <c r="C130" i="4931"/>
  <c r="C131" i="4931"/>
  <c r="C132" i="4931"/>
  <c r="C133" i="4931"/>
  <c r="C134" i="4931"/>
  <c r="C135" i="4931"/>
  <c r="C136" i="4931"/>
  <c r="C137" i="4931"/>
  <c r="C138" i="4931"/>
  <c r="C139" i="4931"/>
  <c r="C140" i="4931"/>
  <c r="C141" i="4931"/>
  <c r="C142" i="4931"/>
  <c r="C143" i="4931"/>
  <c r="C144" i="4931"/>
  <c r="C145" i="4931"/>
  <c r="C146" i="4931"/>
  <c r="C147" i="4931"/>
  <c r="C148" i="4931"/>
  <c r="C149" i="4931"/>
  <c r="C150" i="4931"/>
  <c r="C151" i="4931"/>
  <c r="C152" i="4931"/>
  <c r="C153" i="4931"/>
  <c r="C154" i="4931"/>
  <c r="C155" i="4931"/>
  <c r="C156" i="4931"/>
  <c r="C157" i="4931"/>
  <c r="C158" i="4931"/>
  <c r="C159" i="4931"/>
  <c r="C160" i="4931"/>
  <c r="C161" i="4931"/>
  <c r="C162" i="4931"/>
  <c r="C163" i="4931"/>
  <c r="C164" i="4931"/>
  <c r="C165" i="4931"/>
  <c r="C166" i="4931"/>
  <c r="C167" i="4931"/>
  <c r="C168" i="4931"/>
  <c r="C169" i="4931"/>
  <c r="C170" i="4931"/>
  <c r="C171" i="4931"/>
  <c r="C172" i="4931"/>
  <c r="C173" i="4931"/>
  <c r="C174" i="4931"/>
  <c r="C175" i="4931"/>
  <c r="C176" i="4931"/>
  <c r="C177" i="4931"/>
  <c r="C178" i="4931"/>
  <c r="C179" i="4931"/>
  <c r="C180" i="4931"/>
  <c r="C181" i="4931"/>
  <c r="C182" i="4931"/>
  <c r="C183" i="4931"/>
  <c r="C184" i="4931"/>
  <c r="C185" i="4931"/>
  <c r="C186" i="4931"/>
  <c r="C187" i="4931"/>
  <c r="C188" i="4931"/>
  <c r="C189" i="4931"/>
  <c r="C190" i="4931"/>
  <c r="C191" i="4931"/>
  <c r="C192" i="4931"/>
  <c r="C193" i="4931"/>
  <c r="C194" i="4931"/>
  <c r="C195" i="4931"/>
  <c r="C196" i="4931"/>
  <c r="C197" i="4931"/>
  <c r="C198" i="4931"/>
  <c r="C199" i="4931"/>
  <c r="C200" i="4931"/>
  <c r="C201" i="4931"/>
  <c r="C202" i="4931"/>
  <c r="C203" i="4931"/>
  <c r="C204" i="4931"/>
  <c r="C205" i="4931"/>
  <c r="C206" i="4931"/>
  <c r="C207" i="4931"/>
  <c r="C208" i="4931"/>
  <c r="C209" i="4931"/>
  <c r="C210" i="4931"/>
  <c r="C211" i="4931"/>
  <c r="C212" i="4931"/>
  <c r="C213" i="4931"/>
  <c r="C214" i="4931"/>
  <c r="C215" i="4931"/>
  <c r="C216" i="4931"/>
  <c r="C217" i="4931"/>
  <c r="C218" i="4931"/>
  <c r="C219" i="4931"/>
  <c r="C220" i="4931"/>
  <c r="C221" i="4931"/>
  <c r="C222" i="4931"/>
  <c r="C223" i="4931"/>
  <c r="C224" i="4931"/>
  <c r="C225" i="4931"/>
  <c r="C226" i="4931"/>
  <c r="C227" i="4931"/>
  <c r="C228" i="4931"/>
  <c r="C229" i="4931"/>
  <c r="C230" i="4931"/>
  <c r="C231" i="4931"/>
  <c r="C232" i="4931"/>
  <c r="C233" i="4931"/>
  <c r="C234" i="4931"/>
  <c r="C235" i="4931"/>
  <c r="C236" i="4931"/>
  <c r="C237" i="4931"/>
  <c r="C238" i="4931"/>
  <c r="C239" i="4931"/>
  <c r="C240" i="4931"/>
  <c r="C241" i="4931"/>
  <c r="C242" i="4931"/>
  <c r="C243" i="4931"/>
  <c r="C244" i="4931"/>
  <c r="C245" i="4931"/>
  <c r="C246" i="4931"/>
  <c r="C247" i="4931"/>
  <c r="C248" i="4931"/>
  <c r="C249" i="4931"/>
  <c r="C250" i="4931"/>
  <c r="C251" i="4931"/>
  <c r="C252" i="4931"/>
  <c r="C253" i="4931"/>
  <c r="C254" i="4931"/>
  <c r="C255" i="4931"/>
  <c r="C256" i="4931"/>
  <c r="C257" i="4931"/>
  <c r="C258" i="4931"/>
  <c r="C259" i="4931"/>
  <c r="C260" i="4931"/>
  <c r="C261" i="4931"/>
  <c r="C262" i="4931"/>
  <c r="C263" i="4931"/>
  <c r="C264" i="4931"/>
  <c r="C265" i="4931"/>
  <c r="C266" i="4931"/>
  <c r="C267" i="4931"/>
  <c r="C268" i="4931"/>
  <c r="C269" i="4931"/>
  <c r="C270" i="4931"/>
  <c r="C271" i="4931"/>
  <c r="C272" i="4931"/>
  <c r="C273" i="4931"/>
  <c r="C274" i="4931"/>
  <c r="C275" i="4931"/>
  <c r="C276" i="4931"/>
  <c r="C277" i="4931"/>
  <c r="C278" i="4931"/>
  <c r="C279" i="4931"/>
  <c r="C280" i="4931"/>
  <c r="C281" i="4931"/>
  <c r="C282" i="4931"/>
  <c r="C283" i="4931"/>
  <c r="C284" i="4931"/>
  <c r="C285" i="4931"/>
  <c r="C286" i="4931"/>
  <c r="C287" i="4931"/>
  <c r="C288" i="4931"/>
  <c r="C289" i="4931"/>
  <c r="C290" i="4931"/>
  <c r="C291" i="4931"/>
  <c r="C292" i="4931"/>
  <c r="C293" i="4931"/>
  <c r="C294" i="4931"/>
  <c r="C295" i="4931"/>
  <c r="C296" i="4931"/>
  <c r="C297" i="4931"/>
  <c r="C298" i="4931"/>
  <c r="C299" i="4931"/>
  <c r="C300" i="4931"/>
  <c r="C301" i="4931"/>
  <c r="C302" i="4931"/>
  <c r="C303" i="4931"/>
  <c r="C304" i="4931"/>
  <c r="C305" i="4931"/>
  <c r="C306" i="4931"/>
  <c r="C307" i="4931"/>
  <c r="C308" i="4931"/>
  <c r="C309" i="4931"/>
  <c r="C310" i="4931"/>
  <c r="C311" i="4931"/>
  <c r="C312" i="4931"/>
  <c r="C313" i="4931"/>
  <c r="C314" i="4931"/>
  <c r="C315" i="4931"/>
  <c r="C316" i="4931"/>
  <c r="C317" i="4931"/>
  <c r="C318" i="4931"/>
  <c r="C319" i="4931"/>
  <c r="C320" i="4931"/>
  <c r="C321" i="4931"/>
  <c r="C322" i="4931"/>
  <c r="C323" i="4931"/>
  <c r="C324" i="4931"/>
  <c r="C325" i="4931"/>
  <c r="C326" i="4931"/>
  <c r="C327" i="4931"/>
  <c r="C328" i="4931"/>
  <c r="C329" i="4931"/>
  <c r="C330" i="4931"/>
  <c r="C331" i="4931"/>
  <c r="C332" i="4931"/>
  <c r="C333" i="4931"/>
  <c r="C334" i="4931"/>
  <c r="C335" i="4931"/>
  <c r="C336" i="4931"/>
  <c r="C337" i="4931"/>
  <c r="C338" i="4931"/>
  <c r="C339" i="4931"/>
  <c r="C340" i="4931"/>
  <c r="C341" i="4931"/>
  <c r="C342" i="4931"/>
  <c r="C343" i="4931"/>
  <c r="C344" i="4931"/>
  <c r="C345" i="4931"/>
  <c r="C346" i="4931"/>
  <c r="C347" i="4931"/>
  <c r="C348" i="4931"/>
  <c r="C349" i="4931"/>
  <c r="C350" i="4931"/>
  <c r="C351" i="4931"/>
  <c r="C352" i="4931"/>
  <c r="C353" i="4931"/>
  <c r="C354" i="4931"/>
  <c r="C355" i="4931"/>
  <c r="C356" i="4931"/>
  <c r="C357" i="4931"/>
  <c r="C358" i="4931"/>
  <c r="C359" i="4931"/>
  <c r="C360" i="4931"/>
  <c r="C361" i="4931"/>
  <c r="C362" i="4931"/>
  <c r="C363" i="4931"/>
  <c r="C364" i="4931"/>
  <c r="C365" i="4931"/>
  <c r="C366" i="4931"/>
  <c r="C367" i="4931"/>
  <c r="C368" i="4931"/>
  <c r="C369" i="4931"/>
  <c r="C370" i="4931"/>
  <c r="C371" i="4931"/>
  <c r="C372" i="4931"/>
  <c r="C373" i="4931"/>
  <c r="C374" i="4931"/>
  <c r="C375" i="4931"/>
  <c r="C376" i="4931"/>
  <c r="C377" i="4931"/>
  <c r="C378" i="4931"/>
  <c r="C379" i="4931"/>
  <c r="C380" i="4931"/>
  <c r="C381" i="4931"/>
  <c r="C382" i="4931"/>
  <c r="C383" i="4931"/>
  <c r="C384" i="4931"/>
  <c r="C385" i="4931"/>
  <c r="C386" i="4931"/>
  <c r="C387" i="4931"/>
  <c r="C388" i="4931"/>
  <c r="C389" i="4931"/>
  <c r="C390" i="4931"/>
  <c r="C391" i="4931"/>
  <c r="C392" i="4931"/>
  <c r="C393" i="4931"/>
  <c r="C394" i="4931"/>
  <c r="C395" i="4931"/>
  <c r="C396" i="4931"/>
  <c r="C397" i="4931"/>
  <c r="C398" i="4931"/>
  <c r="C399" i="4931"/>
  <c r="C400" i="4931"/>
  <c r="C401" i="4931"/>
  <c r="C402" i="4931"/>
  <c r="C403" i="4931"/>
  <c r="C404" i="4931"/>
  <c r="C405" i="4931"/>
  <c r="C406" i="4931"/>
  <c r="C407" i="4931"/>
  <c r="C408" i="4931"/>
  <c r="C409" i="4931"/>
  <c r="C410" i="4931"/>
  <c r="C411" i="4931"/>
  <c r="C412" i="4931"/>
  <c r="C413" i="4931"/>
  <c r="C414" i="4931"/>
  <c r="C415" i="4931"/>
  <c r="C416" i="4931"/>
  <c r="C417" i="4931"/>
  <c r="C418" i="4931"/>
  <c r="C419" i="4931"/>
  <c r="C420" i="4931"/>
  <c r="C421" i="4931"/>
  <c r="C422" i="4931"/>
  <c r="C423" i="4931"/>
  <c r="C424" i="4931"/>
  <c r="C425" i="4931"/>
  <c r="C426" i="4931"/>
  <c r="C427" i="4931"/>
  <c r="C428" i="4931"/>
  <c r="C429" i="4931"/>
  <c r="C430" i="4931"/>
  <c r="C431" i="4931"/>
  <c r="C432" i="4931"/>
  <c r="C433" i="4931"/>
  <c r="C434" i="4931"/>
  <c r="C435" i="4931"/>
  <c r="C436" i="4931"/>
  <c r="C437" i="4931"/>
  <c r="C438" i="4931"/>
  <c r="C439" i="4931"/>
  <c r="C440" i="4931"/>
  <c r="C441" i="4931"/>
  <c r="C442" i="4931"/>
  <c r="C443" i="4931"/>
  <c r="C444" i="4931"/>
  <c r="C445" i="4931"/>
  <c r="C446" i="4931"/>
  <c r="C447" i="4931"/>
  <c r="C448" i="4931"/>
  <c r="C449" i="4931"/>
  <c r="C450" i="4931"/>
  <c r="C451" i="4931"/>
  <c r="C452" i="4931"/>
  <c r="C453" i="4931"/>
  <c r="C454" i="4931"/>
  <c r="C455" i="4931"/>
  <c r="C456" i="4931"/>
  <c r="C457" i="4931"/>
  <c r="C458" i="4931"/>
  <c r="C459" i="4931"/>
  <c r="C460" i="4931"/>
  <c r="C461" i="4931"/>
  <c r="C462" i="4931"/>
  <c r="C463" i="4931"/>
  <c r="C464" i="4931"/>
  <c r="C465" i="4931"/>
  <c r="C466" i="4931"/>
  <c r="C467" i="4931"/>
  <c r="C468" i="4931"/>
  <c r="C469" i="4931"/>
  <c r="C470" i="4931"/>
  <c r="C471" i="4931"/>
  <c r="C472" i="4931"/>
  <c r="C473" i="4931"/>
  <c r="C474" i="4931"/>
  <c r="C475" i="4931"/>
  <c r="C476" i="4931"/>
  <c r="C477" i="4931"/>
  <c r="C478" i="4931"/>
  <c r="C479" i="4931"/>
  <c r="C480" i="4931"/>
  <c r="C481" i="4931"/>
  <c r="C482" i="4931"/>
  <c r="C483" i="4931"/>
  <c r="C484" i="4931"/>
  <c r="C485" i="4931"/>
  <c r="C486" i="4931"/>
  <c r="C487" i="4931"/>
  <c r="C488" i="4931"/>
  <c r="C489" i="4931"/>
  <c r="C490" i="4931"/>
  <c r="C491" i="4931"/>
  <c r="C492" i="4931"/>
  <c r="C493" i="4931"/>
  <c r="C494" i="4931"/>
  <c r="C495" i="4931"/>
  <c r="C496" i="4931"/>
  <c r="C497" i="4931"/>
  <c r="C498" i="4931"/>
  <c r="C499" i="4931"/>
  <c r="C500" i="4931"/>
  <c r="C501" i="4931"/>
  <c r="C502" i="4931"/>
  <c r="C503" i="4931"/>
  <c r="C504" i="4931"/>
  <c r="C505" i="4931"/>
  <c r="C506" i="4931"/>
  <c r="C507" i="4931"/>
  <c r="C508" i="4931"/>
  <c r="C509" i="4931"/>
  <c r="C510" i="4931"/>
  <c r="C511" i="4931"/>
  <c r="C512" i="4931"/>
  <c r="C513" i="4931"/>
  <c r="C514" i="4931"/>
  <c r="C515" i="4931"/>
  <c r="C516" i="4931"/>
  <c r="C517" i="4931"/>
  <c r="C518" i="4931"/>
  <c r="C519" i="4931"/>
  <c r="C520" i="4931"/>
  <c r="C521" i="4931"/>
  <c r="C522" i="4931"/>
  <c r="C523" i="4931"/>
  <c r="C524" i="4931"/>
  <c r="C525" i="4931"/>
  <c r="C526" i="4931"/>
  <c r="C527" i="4931"/>
  <c r="C528" i="4931"/>
  <c r="C529" i="4931"/>
  <c r="C530" i="4931"/>
  <c r="C531" i="4931"/>
  <c r="C532" i="4931"/>
  <c r="C533" i="4931"/>
  <c r="C534" i="4931"/>
  <c r="C535" i="4931"/>
  <c r="C536" i="4931"/>
  <c r="C537" i="4931"/>
  <c r="C538" i="4931"/>
  <c r="C539" i="4931"/>
  <c r="C540" i="4931"/>
  <c r="C541" i="4931"/>
  <c r="C542" i="4931"/>
  <c r="C543" i="4931"/>
  <c r="C544" i="4931"/>
  <c r="C545" i="4931"/>
  <c r="C546" i="4931"/>
  <c r="C547" i="4931"/>
  <c r="C548" i="4931"/>
  <c r="C549" i="4931"/>
  <c r="C550" i="4931"/>
  <c r="C551" i="4931"/>
  <c r="C552" i="4931"/>
  <c r="C553" i="4931"/>
  <c r="C554" i="4931"/>
  <c r="C555" i="4931"/>
  <c r="C556" i="4931"/>
  <c r="C557" i="4931"/>
  <c r="C558" i="4931"/>
  <c r="C559" i="4931"/>
  <c r="C560" i="4931"/>
  <c r="C561" i="4931"/>
  <c r="C562" i="4931"/>
  <c r="C563" i="4931"/>
  <c r="C564" i="4931"/>
  <c r="C565" i="4931"/>
  <c r="C566" i="4931"/>
  <c r="C567" i="4931"/>
  <c r="C568" i="4931"/>
  <c r="C569" i="4931"/>
  <c r="C570" i="4931"/>
  <c r="C571" i="4931"/>
  <c r="C572" i="4931"/>
  <c r="C573" i="4931"/>
  <c r="C574" i="4931"/>
  <c r="C575" i="4931"/>
  <c r="C576" i="4931"/>
  <c r="C577" i="4931"/>
  <c r="C578" i="4931"/>
  <c r="C579" i="4931"/>
  <c r="C580" i="4931"/>
  <c r="C581" i="4931"/>
  <c r="C582" i="4931"/>
  <c r="C583" i="4931"/>
  <c r="C584" i="4931"/>
  <c r="C585" i="4931"/>
  <c r="C586" i="4931"/>
  <c r="C587" i="4931"/>
  <c r="C588" i="4931"/>
  <c r="C589" i="4931"/>
  <c r="C590" i="4931"/>
  <c r="C591" i="4931"/>
  <c r="C592" i="4931"/>
  <c r="C593" i="4931"/>
  <c r="C594" i="4931"/>
  <c r="C595" i="4931"/>
  <c r="C596" i="4931"/>
  <c r="C597" i="4931"/>
  <c r="C598" i="4931"/>
  <c r="C599" i="4931"/>
  <c r="C600" i="4931"/>
  <c r="C601" i="4931"/>
  <c r="C602" i="4931"/>
  <c r="C603" i="4931"/>
  <c r="C604" i="4931"/>
  <c r="C605" i="4931"/>
  <c r="C606" i="4931"/>
  <c r="C607" i="4931"/>
  <c r="C608" i="4931"/>
  <c r="C609" i="4931"/>
  <c r="C610" i="4931"/>
  <c r="C611" i="4931"/>
  <c r="C612" i="4931"/>
  <c r="C613" i="4931"/>
  <c r="C614" i="4931"/>
  <c r="C615" i="4931"/>
  <c r="C616" i="4931"/>
  <c r="C617" i="4931"/>
  <c r="C618" i="4931"/>
  <c r="C619" i="4931"/>
  <c r="C620" i="4931"/>
  <c r="C621" i="4931"/>
  <c r="C622" i="4931"/>
  <c r="C623" i="4931"/>
  <c r="C624" i="4931"/>
  <c r="C625" i="4931"/>
  <c r="C626" i="4931"/>
  <c r="C627" i="4931"/>
  <c r="C628" i="4931"/>
  <c r="C629" i="4931"/>
  <c r="C630" i="4931"/>
  <c r="C631" i="4931"/>
  <c r="C632" i="4931"/>
  <c r="C633" i="4931"/>
  <c r="C634" i="4931"/>
  <c r="C635" i="4931"/>
  <c r="C636" i="4931"/>
  <c r="C637" i="4931"/>
  <c r="C638" i="4931"/>
  <c r="C639" i="4931"/>
  <c r="C640" i="4931"/>
  <c r="C641" i="4931"/>
  <c r="C642" i="4931"/>
  <c r="C643" i="4931"/>
  <c r="C644" i="4931"/>
  <c r="C645" i="4931"/>
  <c r="C646" i="4931"/>
  <c r="C647" i="4931"/>
  <c r="C648" i="4931"/>
  <c r="C649" i="4931"/>
  <c r="C650" i="4931"/>
  <c r="C651" i="4931"/>
  <c r="C652" i="4931"/>
  <c r="C653" i="4931"/>
  <c r="C654" i="4931"/>
  <c r="C655" i="4931"/>
  <c r="C656" i="4931"/>
  <c r="C657" i="4931"/>
  <c r="C658" i="4931"/>
  <c r="C659" i="4931"/>
  <c r="C660" i="4931"/>
  <c r="C661" i="4931"/>
  <c r="C662" i="4931"/>
  <c r="C663" i="4931"/>
  <c r="C664" i="4931"/>
  <c r="C665" i="4931"/>
  <c r="C666" i="4931"/>
  <c r="C667" i="4931"/>
  <c r="C668" i="4931"/>
  <c r="C669" i="4931"/>
  <c r="C670" i="4931"/>
  <c r="C671" i="4931"/>
  <c r="C672" i="4931"/>
  <c r="C673" i="4931"/>
  <c r="C674" i="4931"/>
  <c r="C675" i="4931"/>
  <c r="C676" i="4931"/>
  <c r="C677" i="4931"/>
  <c r="C678" i="4931"/>
  <c r="C679" i="4931"/>
  <c r="C680" i="4931"/>
  <c r="C681" i="4931"/>
  <c r="C682" i="4931"/>
  <c r="C683" i="4931"/>
  <c r="C684" i="4931"/>
  <c r="C685" i="4931"/>
  <c r="C686" i="4931"/>
  <c r="C687" i="4931"/>
  <c r="C688" i="4931"/>
  <c r="C689" i="4931"/>
  <c r="C690" i="4931"/>
  <c r="C691" i="4931"/>
  <c r="C692" i="4931"/>
  <c r="C693" i="4931"/>
  <c r="C694" i="4931"/>
  <c r="C695" i="4931"/>
  <c r="C696" i="4931"/>
  <c r="C697" i="4931"/>
  <c r="C698" i="4931"/>
  <c r="C699" i="4931"/>
  <c r="C700" i="4931"/>
  <c r="C701" i="4931"/>
  <c r="C702" i="4931"/>
  <c r="C703" i="4931"/>
  <c r="C704" i="4931"/>
  <c r="C705" i="4931"/>
  <c r="C706" i="4931"/>
  <c r="C707" i="4931"/>
  <c r="C708" i="4931"/>
  <c r="C709" i="4931"/>
  <c r="C710" i="4931"/>
  <c r="C711" i="4931"/>
  <c r="C712" i="4931"/>
  <c r="C713" i="4931"/>
  <c r="C714" i="4931"/>
  <c r="C715" i="4931"/>
  <c r="C716" i="4931"/>
  <c r="C717" i="4931"/>
  <c r="C718" i="4931"/>
  <c r="C719" i="4931"/>
  <c r="C720" i="4931"/>
  <c r="C721" i="4931"/>
  <c r="C722" i="4931"/>
  <c r="C723" i="4931"/>
  <c r="C724" i="4931"/>
  <c r="C725" i="4931"/>
  <c r="C726" i="4931"/>
  <c r="C727" i="4931"/>
  <c r="C728" i="4931"/>
  <c r="C729" i="4931"/>
  <c r="C730" i="4931"/>
  <c r="C731" i="4931"/>
  <c r="C732" i="4931"/>
  <c r="C733" i="4931"/>
  <c r="C734" i="4931"/>
  <c r="C735" i="4931"/>
  <c r="C736" i="4931"/>
  <c r="C737" i="4931"/>
  <c r="C738" i="4931"/>
  <c r="C739" i="4931"/>
  <c r="C740" i="4931"/>
  <c r="C741" i="4931"/>
  <c r="C742" i="4931"/>
  <c r="C743" i="4931"/>
  <c r="C744" i="4931"/>
  <c r="C745" i="4931"/>
  <c r="C746" i="4931"/>
  <c r="C747" i="4931"/>
  <c r="C748" i="4931"/>
  <c r="C749" i="4931"/>
  <c r="C750" i="4931"/>
  <c r="C751" i="4931"/>
  <c r="C752" i="4931"/>
  <c r="C753" i="4931"/>
  <c r="C754" i="4931"/>
  <c r="C755" i="4931"/>
  <c r="C756" i="4931"/>
  <c r="C757" i="4931"/>
  <c r="C758" i="4931"/>
  <c r="C759" i="4931"/>
  <c r="C760" i="4931"/>
  <c r="C761" i="4931"/>
  <c r="C762" i="4931"/>
  <c r="C763" i="4931"/>
  <c r="C764" i="4931"/>
  <c r="C765" i="4931"/>
  <c r="C766" i="4931"/>
  <c r="C767" i="4931"/>
  <c r="C768" i="4931"/>
  <c r="C769" i="4931"/>
  <c r="C770" i="4931"/>
  <c r="C771" i="4931"/>
  <c r="C772" i="4931"/>
  <c r="C773" i="4931"/>
  <c r="C774" i="4931"/>
  <c r="C775" i="4931"/>
  <c r="C776" i="4931"/>
  <c r="C777" i="4931"/>
  <c r="C778" i="4931"/>
  <c r="C779" i="4931"/>
  <c r="C780" i="4931"/>
  <c r="C781" i="4931"/>
  <c r="C782" i="4931"/>
  <c r="C783" i="4931"/>
  <c r="C784" i="4931"/>
  <c r="C785" i="4931"/>
  <c r="C786" i="4931"/>
  <c r="C787" i="4931"/>
  <c r="C788" i="4931"/>
  <c r="C789" i="4931"/>
  <c r="C790" i="4931"/>
  <c r="C791" i="4931"/>
  <c r="C792" i="4931"/>
  <c r="C793" i="4931"/>
  <c r="C794" i="4931"/>
  <c r="C795" i="4931"/>
  <c r="C796" i="4931"/>
  <c r="C797" i="4931"/>
  <c r="C798" i="4931"/>
  <c r="C799" i="4931"/>
  <c r="C800" i="4931"/>
  <c r="C801" i="4931"/>
  <c r="C802" i="4931"/>
  <c r="C803" i="4931"/>
  <c r="C804" i="4931"/>
  <c r="C805" i="4931"/>
  <c r="C806" i="4931"/>
  <c r="C807" i="4931"/>
  <c r="C808" i="4931"/>
  <c r="C809" i="4931"/>
  <c r="C810" i="4931"/>
  <c r="C811" i="4931"/>
  <c r="C812" i="4931"/>
  <c r="C813" i="4931"/>
  <c r="C814" i="4931"/>
  <c r="C815" i="4931"/>
  <c r="C816" i="4931"/>
  <c r="C817" i="4931"/>
  <c r="C818" i="4931"/>
  <c r="C819" i="4931"/>
  <c r="C820" i="4931"/>
  <c r="C821" i="4931"/>
  <c r="C822" i="4931"/>
  <c r="C823" i="4931"/>
  <c r="C824" i="4931"/>
  <c r="C825" i="4931"/>
  <c r="C826" i="4931"/>
  <c r="C827" i="4931"/>
  <c r="C828" i="4931"/>
  <c r="C829" i="4931"/>
  <c r="C830" i="4931"/>
  <c r="C831" i="4931"/>
  <c r="C832" i="4931"/>
  <c r="C833" i="4931"/>
  <c r="C834" i="4931"/>
  <c r="C835" i="4931"/>
  <c r="C836" i="4931"/>
  <c r="C837" i="4931"/>
  <c r="C838" i="4931"/>
  <c r="C839" i="4931"/>
  <c r="C840" i="4931"/>
  <c r="C841" i="4931"/>
  <c r="C842" i="4931"/>
  <c r="C843" i="4931"/>
  <c r="C844" i="4931"/>
  <c r="C845" i="4931"/>
  <c r="C846" i="4931"/>
  <c r="C847" i="4931"/>
  <c r="C848" i="4931"/>
  <c r="C849" i="4931"/>
  <c r="C850" i="4931"/>
  <c r="C851" i="4931"/>
  <c r="C852" i="4931"/>
  <c r="C853" i="4931"/>
  <c r="C854" i="4931"/>
  <c r="C855" i="4931"/>
  <c r="C856" i="4931"/>
  <c r="C857" i="4931"/>
  <c r="C858" i="4931"/>
  <c r="C859" i="4931"/>
  <c r="C860" i="4931"/>
  <c r="C861" i="4931"/>
  <c r="C862" i="4931"/>
  <c r="C863" i="4931"/>
  <c r="C864" i="4931"/>
  <c r="C865" i="4931"/>
  <c r="C866" i="4931"/>
  <c r="C867" i="4931"/>
  <c r="C868" i="4931"/>
  <c r="C869" i="4931"/>
  <c r="C870" i="4931"/>
  <c r="C871" i="4931"/>
  <c r="C872" i="4931"/>
  <c r="C873" i="4931"/>
  <c r="C874" i="4931"/>
  <c r="C875" i="4931"/>
  <c r="C876" i="4931"/>
  <c r="C877" i="4931"/>
  <c r="C878" i="4931"/>
  <c r="C879" i="4931"/>
  <c r="C880" i="4931"/>
  <c r="C881" i="4931"/>
  <c r="C882" i="4931"/>
  <c r="C883" i="4931"/>
  <c r="C884" i="4931"/>
  <c r="C885" i="4931"/>
  <c r="C886" i="4931"/>
  <c r="C887" i="4931"/>
  <c r="C888" i="4931"/>
  <c r="C889" i="4931"/>
  <c r="C890" i="4931"/>
  <c r="C891" i="4931"/>
  <c r="C892" i="4931"/>
  <c r="C893" i="4931"/>
  <c r="C894" i="4931"/>
  <c r="C895" i="4931"/>
  <c r="C896" i="4931"/>
  <c r="C897" i="4931"/>
  <c r="C898" i="4931"/>
  <c r="C899" i="4931"/>
  <c r="C900" i="4931"/>
  <c r="C901" i="4931"/>
  <c r="C902" i="4931"/>
  <c r="C903" i="4931"/>
  <c r="C904" i="4931"/>
  <c r="C905" i="4931"/>
  <c r="C906" i="4931"/>
  <c r="C907" i="4931"/>
  <c r="C908" i="4931"/>
  <c r="C909" i="4931"/>
  <c r="C910" i="4931"/>
  <c r="C911" i="4931"/>
  <c r="C912" i="4931"/>
  <c r="C913" i="4931"/>
  <c r="C914" i="4931"/>
  <c r="C915" i="4931"/>
  <c r="C916" i="4931"/>
  <c r="C917" i="4931"/>
  <c r="C918" i="4931"/>
  <c r="C919" i="4931"/>
  <c r="C920" i="4931"/>
  <c r="C921" i="4931"/>
  <c r="C922" i="4931"/>
  <c r="C923" i="4931"/>
  <c r="C924" i="4931"/>
  <c r="C925" i="4931"/>
  <c r="C926" i="4931"/>
  <c r="C927" i="4931"/>
  <c r="C928" i="4931"/>
  <c r="C929" i="4931"/>
  <c r="C930" i="4931"/>
  <c r="C931" i="4931"/>
  <c r="C932" i="4931"/>
  <c r="C933" i="4931"/>
  <c r="C934" i="4931"/>
  <c r="C935" i="4931"/>
  <c r="C936" i="4931"/>
  <c r="C937" i="4931"/>
  <c r="C938" i="4931"/>
  <c r="C939" i="4931"/>
  <c r="C940" i="4931"/>
  <c r="C941" i="4931"/>
  <c r="C942" i="4931"/>
  <c r="C943" i="4931"/>
  <c r="C944" i="4931"/>
  <c r="C945" i="4931"/>
  <c r="C946" i="4931"/>
  <c r="C947" i="4931"/>
  <c r="C948" i="4931"/>
  <c r="C949" i="4931"/>
  <c r="C950" i="4931"/>
  <c r="C951" i="4931"/>
  <c r="C952" i="4931"/>
  <c r="C953" i="4931"/>
  <c r="C954" i="4931"/>
  <c r="C955" i="4931"/>
  <c r="C956" i="4931"/>
  <c r="C957" i="4931"/>
  <c r="C958" i="4931"/>
  <c r="C959" i="4931"/>
  <c r="C960" i="4931"/>
  <c r="C961" i="4931"/>
  <c r="C962" i="4931"/>
  <c r="C963" i="4931"/>
  <c r="C964" i="4931"/>
  <c r="C965" i="4931"/>
  <c r="C966" i="4931"/>
  <c r="C967" i="4931"/>
  <c r="C968" i="4931"/>
  <c r="C969" i="4931"/>
  <c r="C970" i="4931"/>
  <c r="C971" i="4931"/>
  <c r="C972" i="4931"/>
  <c r="C973" i="4931"/>
  <c r="C974" i="4931"/>
  <c r="C975" i="4931"/>
  <c r="C976" i="4931"/>
  <c r="C977" i="4931"/>
  <c r="C978" i="4931"/>
  <c r="C979" i="4931"/>
  <c r="C980" i="4931"/>
  <c r="C981" i="4931"/>
  <c r="C982" i="4931"/>
  <c r="C983" i="4931"/>
  <c r="C984" i="4931"/>
  <c r="C985" i="4931"/>
  <c r="C986" i="4931"/>
  <c r="C987" i="4931"/>
  <c r="C988" i="4931"/>
  <c r="C989" i="4931"/>
  <c r="C990" i="4931"/>
  <c r="C991" i="4931"/>
  <c r="C992" i="4931"/>
  <c r="C993" i="4931"/>
  <c r="C994" i="4931"/>
  <c r="C995" i="4931"/>
  <c r="C996" i="4931"/>
  <c r="C997" i="4931"/>
  <c r="C998" i="4931"/>
  <c r="C999" i="4931"/>
  <c r="C1000" i="4931"/>
  <c r="C1001" i="4931"/>
  <c r="C1002" i="4931"/>
  <c r="C1003" i="4931"/>
  <c r="C1004" i="4931"/>
  <c r="C1005" i="4931"/>
  <c r="C1006" i="4931"/>
  <c r="C1007" i="4931"/>
  <c r="C1008" i="4931"/>
  <c r="C1009" i="4931"/>
  <c r="C1010" i="4931"/>
  <c r="C1011" i="4931"/>
  <c r="C1012" i="4931"/>
  <c r="C1013" i="4931"/>
  <c r="C1014" i="4931"/>
  <c r="C1015" i="4931"/>
  <c r="C1016" i="4931"/>
  <c r="G36" i="4931" s="1" a="1"/>
  <c r="G36" i="4931" s="1"/>
  <c r="C1017" i="4931"/>
  <c r="C1018" i="4931"/>
  <c r="C1019" i="4931"/>
  <c r="C1020" i="4931"/>
  <c r="C1021" i="4931"/>
  <c r="C1022" i="4931"/>
  <c r="C1023" i="4931"/>
  <c r="C1024" i="4931"/>
  <c r="C1025" i="4931"/>
  <c r="C1026" i="4931"/>
  <c r="C1027" i="4931"/>
  <c r="C1028" i="4931"/>
  <c r="G62" i="4931" a="1"/>
  <c r="G62" i="4931" s="1"/>
  <c r="E19" i="4929"/>
  <c r="E20" i="4929"/>
  <c r="E21" i="4929"/>
  <c r="E22" i="4929" s="1"/>
  <c r="B43" i="4928" a="1"/>
  <c r="C40" i="4920"/>
  <c r="C43" i="4920"/>
  <c r="C44" i="4920"/>
  <c r="E52" i="4928"/>
  <c r="G26" i="4929"/>
  <c r="C42" i="4920"/>
  <c r="G25" i="4929"/>
  <c r="C41" i="4920"/>
  <c r="D52" i="4928"/>
  <c r="E23" i="4929" l="1"/>
  <c r="E26" i="4929" s="1"/>
  <c r="E25" i="4929"/>
  <c r="G73" i="4931"/>
  <c r="G69" i="4931"/>
  <c r="G65" i="4931"/>
  <c r="G72" i="4931"/>
  <c r="G68" i="4931"/>
  <c r="G64" i="4931"/>
  <c r="G31" i="4931"/>
  <c r="G71" i="4931"/>
  <c r="G67" i="4931"/>
  <c r="G63" i="4931"/>
  <c r="G74" i="4931"/>
  <c r="G70" i="4931"/>
  <c r="G66" i="4931"/>
  <c r="G47" i="4931"/>
  <c r="G45" i="4931"/>
  <c r="G43" i="4931"/>
  <c r="G41" i="4931"/>
  <c r="G39" i="4931"/>
  <c r="G37" i="4931"/>
  <c r="G48" i="4931"/>
  <c r="G46" i="4931"/>
  <c r="G44" i="4931"/>
  <c r="G42" i="4931"/>
  <c r="G40" i="4931"/>
  <c r="G38" i="4931"/>
  <c r="B43" i="4928"/>
  <c r="C43" i="4928"/>
  <c r="D43" i="4928"/>
  <c r="B44" i="4928"/>
  <c r="C44" i="4928"/>
  <c r="D44" i="4928"/>
  <c r="D34" i="4929"/>
  <c r="C34" i="4929"/>
</calcChain>
</file>

<file path=xl/comments1.xml><?xml version="1.0" encoding="utf-8"?>
<comments xmlns="http://schemas.openxmlformats.org/spreadsheetml/2006/main">
  <authors>
    <author>Kenny Kai Yin Yu</author>
  </authors>
  <commentList>
    <comment ref="A13" authorId="0">
      <text>
        <r>
          <rPr>
            <sz val="9"/>
            <color indexed="81"/>
            <rFont val="Tahoma"/>
            <family val="2"/>
          </rPr>
          <t xml:space="preserve">Note:
                     </t>
        </r>
        <r>
          <rPr>
            <b/>
            <sz val="9"/>
            <color indexed="81"/>
            <rFont val="Tahoma"/>
            <family val="2"/>
          </rPr>
          <t>Result</t>
        </r>
        <r>
          <rPr>
            <sz val="9"/>
            <color indexed="81"/>
            <rFont val="Tahoma"/>
            <family val="2"/>
          </rPr>
          <t xml:space="preserve">
Null And True  Null
Null And False  False
Null And Null    Null</t>
        </r>
      </text>
    </comment>
    <comment ref="A14" authorId="0">
      <text>
        <r>
          <rPr>
            <sz val="8"/>
            <color indexed="81"/>
            <rFont val="Tahoma"/>
            <family val="2"/>
          </rPr>
          <t xml:space="preserve">Note:
                        </t>
        </r>
        <r>
          <rPr>
            <b/>
            <sz val="8"/>
            <color indexed="81"/>
            <rFont val="Tahoma"/>
            <family val="2"/>
          </rPr>
          <t>RESULT</t>
        </r>
        <r>
          <rPr>
            <sz val="8"/>
            <color indexed="81"/>
            <rFont val="Tahoma"/>
            <family val="2"/>
          </rPr>
          <t xml:space="preserve">
Null Or True     True
Null Or False    False
Null Or Null      Null</t>
        </r>
      </text>
    </comment>
    <comment ref="A15" authorId="0">
      <text>
        <r>
          <rPr>
            <sz val="8"/>
            <color indexed="81"/>
            <rFont val="Tahoma"/>
            <family val="2"/>
          </rPr>
          <t>Note:
either operand Null, result is Null</t>
        </r>
      </text>
    </comment>
    <comment ref="A16" authorId="0">
      <text>
        <r>
          <rPr>
            <sz val="8"/>
            <color indexed="81"/>
            <rFont val="Tahoma"/>
            <family val="2"/>
          </rPr>
          <t>Note:
If operand is Null, result is Null.</t>
        </r>
      </text>
    </comment>
    <comment ref="A29" authorId="0">
      <text>
        <r>
          <rPr>
            <sz val="8"/>
            <color indexed="81"/>
            <rFont val="Tahoma"/>
            <family val="2"/>
          </rPr>
          <t>if object1 and object2 refer to the same object, result is true</t>
        </r>
      </text>
    </comment>
  </commentList>
</comments>
</file>

<file path=xl/sharedStrings.xml><?xml version="1.0" encoding="utf-8"?>
<sst xmlns="http://schemas.openxmlformats.org/spreadsheetml/2006/main" count="521" uniqueCount="471">
  <si>
    <t>Normal
NORMALINV</t>
  </si>
  <si>
    <t>Box Muller</t>
  </si>
  <si>
    <t>Normal
Box Muller</t>
  </si>
  <si>
    <t>NORMALINV</t>
  </si>
  <si>
    <t>Contents</t>
  </si>
  <si>
    <t>Macro Recorder</t>
  </si>
  <si>
    <t>Record your actions in VBA</t>
  </si>
  <si>
    <r>
      <t>Left click the mouse button on "</t>
    </r>
    <r>
      <rPr>
        <sz val="12"/>
        <color indexed="18"/>
        <rFont val="Arial"/>
        <family val="2"/>
      </rPr>
      <t>Stop Recording</t>
    </r>
    <r>
      <rPr>
        <sz val="12"/>
        <rFont val="Arial"/>
        <family val="2"/>
      </rPr>
      <t xml:space="preserve">". </t>
    </r>
  </si>
  <si>
    <t>Select Me</t>
  </si>
  <si>
    <r>
      <t>Select the yellow cells marked "Select Me" below. Copy (</t>
    </r>
    <r>
      <rPr>
        <sz val="12"/>
        <color indexed="18"/>
        <rFont val="Arial"/>
        <family val="2"/>
      </rPr>
      <t>Ctrl C</t>
    </r>
    <r>
      <rPr>
        <sz val="12"/>
        <rFont val="Arial"/>
        <family val="2"/>
      </rPr>
      <t>). Select the green cells. Paste (</t>
    </r>
    <r>
      <rPr>
        <sz val="12"/>
        <color indexed="18"/>
        <rFont val="Arial"/>
        <family val="2"/>
      </rPr>
      <t>Ctrl V</t>
    </r>
    <r>
      <rPr>
        <sz val="12"/>
        <rFont val="Arial"/>
        <family val="2"/>
      </rPr>
      <t>).</t>
    </r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</si>
  <si>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>". Select "</t>
    </r>
    <r>
      <rPr>
        <sz val="12"/>
        <color indexed="18"/>
        <rFont val="Arial"/>
        <family val="2"/>
      </rPr>
      <t>myCopy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 xml:space="preserve">". </t>
    </r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</si>
  <si>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>". Select "</t>
    </r>
    <r>
      <rPr>
        <sz val="12"/>
        <color indexed="18"/>
        <rFont val="Arial"/>
        <family val="2"/>
      </rPr>
      <t>clearGreen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 xml:space="preserve">". </t>
    </r>
  </si>
  <si>
    <t>Assign macro to button</t>
  </si>
  <si>
    <t>Left click mouse button anywhere in the green box below.</t>
  </si>
  <si>
    <t>Name the button "Copy".</t>
  </si>
  <si>
    <t>Object</t>
  </si>
  <si>
    <t>Excel Object Model</t>
  </si>
  <si>
    <t>Properties</t>
  </si>
  <si>
    <t>.Font.Size</t>
  </si>
  <si>
    <t>Method</t>
  </si>
  <si>
    <t>.ClearContents</t>
  </si>
  <si>
    <t>.Open("excel_intro_ans.xls")</t>
  </si>
  <si>
    <t>Workbooks</t>
  </si>
  <si>
    <t>Worksheets("Macro Recorder")</t>
  </si>
  <si>
    <t>.Activate</t>
  </si>
  <si>
    <t>Worksheets("Object").ActiveCell</t>
  </si>
  <si>
    <t>Collections</t>
  </si>
  <si>
    <t>Worksheets</t>
  </si>
  <si>
    <t>Range</t>
  </si>
  <si>
    <t>worksheets in this workbook</t>
  </si>
  <si>
    <t>Hierarchy</t>
  </si>
  <si>
    <t>cells in Range("YellowCells")</t>
  </si>
  <si>
    <r>
      <t>Application</t>
    </r>
    <r>
      <rPr>
        <sz val="12"/>
        <rFont val="Arial"/>
        <family val="2"/>
      </rPr>
      <t>.</t>
    </r>
    <r>
      <rPr>
        <sz val="12"/>
        <color indexed="18"/>
        <rFont val="Arial"/>
        <family val="2"/>
      </rPr>
      <t>Workbooks</t>
    </r>
    <r>
      <rPr>
        <sz val="12"/>
        <rFont val="Arial"/>
        <family val="2"/>
      </rPr>
      <t>("vba_intro_ans.xls").</t>
    </r>
    <r>
      <rPr>
        <sz val="12"/>
        <color indexed="18"/>
        <rFont val="Arial"/>
        <family val="2"/>
      </rPr>
      <t>Sheets</t>
    </r>
    <r>
      <rPr>
        <sz val="12"/>
        <rFont val="Arial"/>
        <family val="2"/>
      </rPr>
      <t>("Object").</t>
    </r>
    <r>
      <rPr>
        <sz val="12"/>
        <color indexed="18"/>
        <rFont val="Arial"/>
        <family val="2"/>
      </rPr>
      <t>Range</t>
    </r>
    <r>
      <rPr>
        <sz val="12"/>
        <rFont val="Arial"/>
        <family val="2"/>
      </rPr>
      <t>("YellowCells")</t>
    </r>
  </si>
  <si>
    <t>Worksheets("Object").Range("ClearContents")</t>
  </si>
  <si>
    <t>.Value</t>
  </si>
  <si>
    <t>Modifying macro code</t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</si>
  <si>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>". Select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 xml:space="preserve">". </t>
    </r>
  </si>
  <si>
    <r>
      <t>Examine the recorded code on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>" and compare the code on "</t>
    </r>
    <r>
      <rPr>
        <sz val="12"/>
        <color indexed="18"/>
        <rFont val="Arial"/>
        <family val="2"/>
      </rPr>
      <t>EnterValuesV2</t>
    </r>
    <r>
      <rPr>
        <sz val="12"/>
        <rFont val="Arial"/>
        <family val="2"/>
      </rPr>
      <t>"</t>
    </r>
  </si>
  <si>
    <t>Microsoft Excel Object</t>
  </si>
  <si>
    <r>
      <t xml:space="preserve">Press </t>
    </r>
    <r>
      <rPr>
        <sz val="12"/>
        <color indexed="18"/>
        <rFont val="Arial"/>
        <family val="2"/>
      </rPr>
      <t>Alt + F11</t>
    </r>
    <r>
      <rPr>
        <sz val="12"/>
        <rFont val="Arial"/>
        <family val="2"/>
      </rPr>
      <t xml:space="preserve"> to go to </t>
    </r>
    <r>
      <rPr>
        <sz val="12"/>
        <color indexed="18"/>
        <rFont val="Arial"/>
        <family val="2"/>
      </rPr>
      <t>Microsoft Visual Basic</t>
    </r>
    <r>
      <rPr>
        <sz val="12"/>
        <rFont val="Arial"/>
        <family val="2"/>
      </rPr>
      <t xml:space="preserve">. Press </t>
    </r>
    <r>
      <rPr>
        <sz val="12"/>
        <color indexed="18"/>
        <rFont val="Arial"/>
        <family val="2"/>
      </rPr>
      <t>F1</t>
    </r>
    <r>
      <rPr>
        <sz val="12"/>
        <rFont val="Arial"/>
        <family val="2"/>
      </rPr>
      <t xml:space="preserve"> to go to </t>
    </r>
    <r>
      <rPr>
        <sz val="12"/>
        <color indexed="18"/>
        <rFont val="Arial"/>
        <family val="2"/>
      </rPr>
      <t>Microsoft Visual Basic Help</t>
    </r>
    <r>
      <rPr>
        <sz val="12"/>
        <rFont val="Arial"/>
        <family val="2"/>
      </rPr>
      <t>.</t>
    </r>
  </si>
  <si>
    <t>Basics</t>
  </si>
  <si>
    <t>Invoke Visual Basic Editor</t>
  </si>
  <si>
    <t>Absolute and Relative Reference</t>
  </si>
  <si>
    <t>Examine the code on "EnterValuesRelative".</t>
  </si>
  <si>
    <r>
      <t xml:space="preserve">If not visible, select </t>
    </r>
    <r>
      <rPr>
        <sz val="12"/>
        <color indexed="18"/>
        <rFont val="Arial"/>
        <family val="2"/>
      </rPr>
      <t xml:space="preserve">View </t>
    </r>
    <r>
      <rPr>
        <sz val="12"/>
        <color indexed="18"/>
        <rFont val="Symbol"/>
        <family val="1"/>
        <charset val="2"/>
      </rPr>
      <t>®</t>
    </r>
    <r>
      <rPr>
        <sz val="12"/>
        <color indexed="18"/>
        <rFont val="Arial"/>
        <family val="2"/>
      </rPr>
      <t xml:space="preserve"> Project Explorer</t>
    </r>
    <r>
      <rPr>
        <sz val="12"/>
        <rFont val="Arial"/>
        <family val="2"/>
      </rPr>
      <t>.</t>
    </r>
  </si>
  <si>
    <t>Code in Microsoft Excel Objects (e.g. Sheet1) or Modules (e.g. Module1)</t>
  </si>
  <si>
    <t>Double click left mouse button on Module1 to view code.</t>
  </si>
  <si>
    <r>
      <t xml:space="preserve">To insert a module, select </t>
    </r>
    <r>
      <rPr>
        <sz val="12"/>
        <color indexed="18"/>
        <rFont val="Arial"/>
        <family val="2"/>
      </rPr>
      <t xml:space="preserve">Insert </t>
    </r>
    <r>
      <rPr>
        <sz val="12"/>
        <color indexed="18"/>
        <rFont val="Symbol"/>
        <family val="1"/>
        <charset val="2"/>
      </rPr>
      <t>®</t>
    </r>
    <r>
      <rPr>
        <sz val="12"/>
        <color indexed="18"/>
        <rFont val="Arial"/>
        <family val="2"/>
      </rPr>
      <t xml:space="preserve"> Module</t>
    </r>
  </si>
  <si>
    <t>Project Explorer Window</t>
  </si>
  <si>
    <t>Entering Code</t>
  </si>
  <si>
    <r>
      <t>Place the cursor at the beginning of "</t>
    </r>
    <r>
      <rPr>
        <sz val="12"/>
        <color indexed="18"/>
        <rFont val="Arial"/>
        <family val="2"/>
      </rPr>
      <t>myFirstVBA</t>
    </r>
    <r>
      <rPr>
        <sz val="12"/>
        <rFont val="Arial"/>
        <family val="2"/>
      </rPr>
      <t xml:space="preserve">" and press </t>
    </r>
    <r>
      <rPr>
        <sz val="12"/>
        <color indexed="18"/>
        <rFont val="Arial"/>
        <family val="2"/>
      </rPr>
      <t>Run</t>
    </r>
    <r>
      <rPr>
        <sz val="12"/>
        <rFont val="Arial"/>
        <family val="2"/>
      </rPr>
      <t>.</t>
    </r>
  </si>
  <si>
    <r>
      <t xml:space="preserve">Each </t>
    </r>
    <r>
      <rPr>
        <sz val="12"/>
        <color indexed="18"/>
        <rFont val="Arial"/>
        <family val="2"/>
      </rPr>
      <t>Sub</t>
    </r>
    <r>
      <rPr>
        <sz val="12"/>
        <rFont val="Arial"/>
        <family val="2"/>
      </rPr>
      <t xml:space="preserve"> and </t>
    </r>
    <r>
      <rPr>
        <sz val="12"/>
        <color indexed="18"/>
        <rFont val="Arial"/>
        <family val="2"/>
      </rPr>
      <t>End Sub</t>
    </r>
    <r>
      <rPr>
        <sz val="12"/>
        <rFont val="Arial"/>
        <family val="2"/>
      </rPr>
      <t xml:space="preserve"> is a procedure. </t>
    </r>
    <r>
      <rPr>
        <sz val="12"/>
        <color indexed="18"/>
        <rFont val="Arial"/>
        <family val="2"/>
      </rPr>
      <t>myFirstVBA</t>
    </r>
    <r>
      <rPr>
        <sz val="12"/>
        <rFont val="Arial"/>
        <family val="2"/>
      </rPr>
      <t xml:space="preserve"> is a procedure name.</t>
    </r>
  </si>
  <si>
    <r>
      <t>MsgBox</t>
    </r>
    <r>
      <rPr>
        <sz val="12"/>
        <rFont val="Arial"/>
        <family val="2"/>
      </rPr>
      <t xml:space="preserve"> is a VBA built-in function.</t>
    </r>
  </si>
  <si>
    <r>
      <t xml:space="preserve">To get help on MsgBox, in the Code Window, right click mouse button on </t>
    </r>
    <r>
      <rPr>
        <sz val="12"/>
        <color indexed="18"/>
        <rFont val="Arial"/>
        <family val="2"/>
      </rPr>
      <t>MsgBox</t>
    </r>
    <r>
      <rPr>
        <sz val="12"/>
        <rFont val="Arial"/>
        <family val="2"/>
      </rPr>
      <t>. Select</t>
    </r>
    <r>
      <rPr>
        <sz val="12"/>
        <color indexed="18"/>
        <rFont val="Arial"/>
        <family val="2"/>
      </rPr>
      <t xml:space="preserve"> Definition</t>
    </r>
    <r>
      <rPr>
        <sz val="12"/>
        <rFont val="Arial"/>
        <family val="2"/>
      </rPr>
      <t xml:space="preserve">. Left click mouse button on </t>
    </r>
    <r>
      <rPr>
        <sz val="12"/>
        <color indexed="18"/>
        <rFont val="Arial"/>
        <family val="2"/>
      </rPr>
      <t>?</t>
    </r>
    <r>
      <rPr>
        <sz val="12"/>
        <rFont val="Arial"/>
        <family val="2"/>
      </rPr>
      <t>.</t>
    </r>
  </si>
  <si>
    <t>Adding Comments</t>
  </si>
  <si>
    <t>Getting help</t>
  </si>
  <si>
    <r>
      <t>Text after (</t>
    </r>
    <r>
      <rPr>
        <sz val="12"/>
        <color indexed="18"/>
        <rFont val="Arial"/>
        <family val="2"/>
      </rPr>
      <t>'</t>
    </r>
    <r>
      <rPr>
        <sz val="12"/>
        <rFont val="Arial"/>
        <family val="2"/>
      </rPr>
      <t>) is a comment.</t>
    </r>
  </si>
  <si>
    <t>Replace the line "Hello World" with some other text and rerun the myFirstVBA.</t>
  </si>
  <si>
    <t>Variables</t>
  </si>
  <si>
    <t>Named storage.</t>
  </si>
  <si>
    <t>Naming Variables</t>
  </si>
  <si>
    <t>Case insensitive. "aBC" is the same as "abc". If declared (e.g. "Dim aBC"), "abc" will be converted to "aBC" by VBE.</t>
  </si>
  <si>
    <t>Cannot use key words reserved by VBA (e.g. Dim, Integer, Sub)</t>
  </si>
  <si>
    <r>
      <t xml:space="preserve">Start with an alphabetic character followed by all alphabetic characters, numbers, and some punctuation characters (e.g. underscore </t>
    </r>
    <r>
      <rPr>
        <sz val="12"/>
        <color indexed="18"/>
        <rFont val="Arial"/>
        <family val="2"/>
      </rPr>
      <t>_</t>
    </r>
    <r>
      <rPr>
        <sz val="12"/>
        <rFont val="Arial"/>
        <family val="2"/>
      </rPr>
      <t xml:space="preserve"> )</t>
    </r>
  </si>
  <si>
    <r>
      <t>Cannot use space ( ), period (</t>
    </r>
    <r>
      <rPr>
        <sz val="12"/>
        <color indexed="18"/>
        <rFont val="Arial"/>
        <family val="2"/>
      </rPr>
      <t>.)</t>
    </r>
    <r>
      <rPr>
        <sz val="12"/>
        <rFont val="Arial"/>
        <family val="2"/>
      </rPr>
      <t xml:space="preserve"> , exclamation mark (</t>
    </r>
    <r>
      <rPr>
        <sz val="12"/>
        <color indexed="18"/>
        <rFont val="Arial"/>
        <family val="2"/>
      </rPr>
      <t>!)</t>
    </r>
    <r>
      <rPr>
        <sz val="12"/>
        <rFont val="Arial"/>
        <family val="2"/>
      </rPr>
      <t xml:space="preserve"> or </t>
    </r>
    <r>
      <rPr>
        <sz val="12"/>
        <color indexed="18"/>
        <rFont val="Arial"/>
        <family val="2"/>
      </rPr>
      <t>@</t>
    </r>
    <r>
      <rPr>
        <sz val="12"/>
        <rFont val="Arial"/>
        <family val="2"/>
      </rPr>
      <t xml:space="preserve">, </t>
    </r>
    <r>
      <rPr>
        <sz val="12"/>
        <color indexed="18"/>
        <rFont val="Arial"/>
        <family val="2"/>
      </rPr>
      <t>&amp;</t>
    </r>
    <r>
      <rPr>
        <sz val="12"/>
        <rFont val="Arial"/>
        <family val="2"/>
      </rPr>
      <t xml:space="preserve">, </t>
    </r>
    <r>
      <rPr>
        <sz val="12"/>
        <color indexed="18"/>
        <rFont val="Arial"/>
        <family val="2"/>
      </rPr>
      <t>$</t>
    </r>
    <r>
      <rPr>
        <sz val="12"/>
        <rFont val="Arial"/>
        <family val="2"/>
      </rPr>
      <t xml:space="preserve"> and </t>
    </r>
    <r>
      <rPr>
        <sz val="12"/>
        <color indexed="18"/>
        <rFont val="Arial"/>
        <family val="2"/>
      </rPr>
      <t>#</t>
    </r>
    <r>
      <rPr>
        <sz val="12"/>
        <rFont val="Arial"/>
        <family val="2"/>
      </rPr>
      <t>.</t>
    </r>
  </si>
  <si>
    <t>Best Practice: Variable names should be descriptive (e.g. SpotPrice, StrikePrice)</t>
  </si>
  <si>
    <t>Data Types</t>
  </si>
  <si>
    <t>Boolean (True or False) Converted from numeric types (0 to False; others to True)</t>
  </si>
  <si>
    <t>Byte (0 - 255)</t>
  </si>
  <si>
    <t>Date (date literals #9 Aug 2008#) (e.g. dateV = #9 Aug 2008#)</t>
  </si>
  <si>
    <t>Single (floating point) 32-bit</t>
  </si>
  <si>
    <t>Object (addresses to objects)</t>
  </si>
  <si>
    <t>Line Continuation</t>
  </si>
  <si>
    <r>
      <t>Continue a statement in the next line by putting a space followed by an underscore (</t>
    </r>
    <r>
      <rPr>
        <sz val="12"/>
        <color indexed="18"/>
        <rFont val="Arial"/>
        <family val="2"/>
      </rPr>
      <t>_</t>
    </r>
    <r>
      <rPr>
        <sz val="12"/>
        <rFont val="Arial"/>
        <family val="2"/>
      </rPr>
      <t>) at the end.</t>
    </r>
  </si>
  <si>
    <r>
      <t xml:space="preserve">Currency </t>
    </r>
    <r>
      <rPr>
        <sz val="12"/>
        <color indexed="18"/>
        <rFont val="Arial"/>
        <family val="2"/>
      </rPr>
      <t>@</t>
    </r>
    <r>
      <rPr>
        <sz val="12"/>
        <rFont val="Arial"/>
        <family val="2"/>
      </rPr>
      <t xml:space="preserve"> (15 digits to the left and 4 digits to the right of decimal point) 64-bit</t>
    </r>
  </si>
  <si>
    <r>
      <t xml:space="preserve">Double </t>
    </r>
    <r>
      <rPr>
        <sz val="12"/>
        <color indexed="18"/>
        <rFont val="Arial"/>
        <family val="2"/>
      </rPr>
      <t>#</t>
    </r>
    <r>
      <rPr>
        <sz val="12"/>
        <rFont val="Arial"/>
        <family val="2"/>
      </rPr>
      <t xml:space="preserve"> (floating point) 64-bit</t>
    </r>
  </si>
  <si>
    <r>
      <t xml:space="preserve">Integer </t>
    </r>
    <r>
      <rPr>
        <sz val="12"/>
        <color indexed="18"/>
        <rFont val="Arial"/>
        <family val="2"/>
      </rPr>
      <t>%</t>
    </r>
    <r>
      <rPr>
        <sz val="12"/>
        <rFont val="Arial"/>
        <family val="2"/>
      </rPr>
      <t xml:space="preserve"> (-32,768 to 32,767) 16-bit</t>
    </r>
  </si>
  <si>
    <r>
      <t xml:space="preserve">Long </t>
    </r>
    <r>
      <rPr>
        <sz val="12"/>
        <color indexed="18"/>
        <rFont val="Arial"/>
        <family val="2"/>
      </rPr>
      <t>&amp;</t>
    </r>
    <r>
      <rPr>
        <sz val="12"/>
        <rFont val="Arial"/>
        <family val="2"/>
      </rPr>
      <t xml:space="preserve"> (-2,147,483,648 to 2,147,483,647) 32-bit</t>
    </r>
  </si>
  <si>
    <r>
      <t xml:space="preserve">String </t>
    </r>
    <r>
      <rPr>
        <sz val="12"/>
        <color indexed="18"/>
        <rFont val="Arial"/>
        <family val="2"/>
      </rPr>
      <t>$</t>
    </r>
    <r>
      <rPr>
        <sz val="12"/>
        <rFont val="Arial"/>
        <family val="2"/>
      </rPr>
      <t xml:space="preserve"> (fixed length 64K characters; variable-length 2^31 characters)</t>
    </r>
  </si>
  <si>
    <t>Best Practice: Always explicitly declare your variables</t>
  </si>
  <si>
    <t>Variant (any kind of data except fixed-length String)</t>
  </si>
  <si>
    <t>Run macro "dataTypeDemo"</t>
  </si>
  <si>
    <t>Constants</t>
  </si>
  <si>
    <t>Date Constants</t>
  </si>
  <si>
    <t>vbSunday</t>
  </si>
  <si>
    <t>Sunday</t>
  </si>
  <si>
    <t>vbMonday</t>
  </si>
  <si>
    <t>Monday</t>
  </si>
  <si>
    <t>vbTuesday</t>
  </si>
  <si>
    <t>Tuesday</t>
  </si>
  <si>
    <t>vbWednesday</t>
  </si>
  <si>
    <t>Wednesday</t>
  </si>
  <si>
    <t>vbThursday</t>
  </si>
  <si>
    <t>Thursday</t>
  </si>
  <si>
    <t>vbFriday</t>
  </si>
  <si>
    <t>Friday</t>
  </si>
  <si>
    <t>vbSaturday</t>
  </si>
  <si>
    <t>Saturday</t>
  </si>
  <si>
    <t>Color Constants</t>
  </si>
  <si>
    <t>vbBlack</t>
  </si>
  <si>
    <t>0x0</t>
  </si>
  <si>
    <t>Black</t>
  </si>
  <si>
    <t>vbRed</t>
  </si>
  <si>
    <t>0xFF</t>
  </si>
  <si>
    <t>Red</t>
  </si>
  <si>
    <t>vbGreen</t>
  </si>
  <si>
    <t>0xFF00</t>
  </si>
  <si>
    <t>Green</t>
  </si>
  <si>
    <t>vbYellow</t>
  </si>
  <si>
    <t>0xFFFF</t>
  </si>
  <si>
    <t>Yellow</t>
  </si>
  <si>
    <t>vbBlue</t>
  </si>
  <si>
    <t>0xFF0000</t>
  </si>
  <si>
    <t>Blue</t>
  </si>
  <si>
    <t>vbMagenta</t>
  </si>
  <si>
    <t>0xFF00FF</t>
  </si>
  <si>
    <t>Magenta</t>
  </si>
  <si>
    <t>vbCyan</t>
  </si>
  <si>
    <t>0xFFFF00</t>
  </si>
  <si>
    <t>Cyan</t>
  </si>
  <si>
    <t>vbWhite</t>
  </si>
  <si>
    <t>0xFFFFFF</t>
  </si>
  <si>
    <t>White</t>
  </si>
  <si>
    <t>MsgBox Constants</t>
  </si>
  <si>
    <t>vbOKOnly</t>
  </si>
  <si>
    <t>OK button only (default)</t>
  </si>
  <si>
    <t>vbOKCancel</t>
  </si>
  <si>
    <t>OK and Cancel buttons</t>
  </si>
  <si>
    <t>vbAbortRetryIgnore</t>
  </si>
  <si>
    <t>Abort, Retry, and Ignore buttons</t>
  </si>
  <si>
    <t>vbYesNoCancel</t>
  </si>
  <si>
    <t>Yes, No, and Cancel buttons</t>
  </si>
  <si>
    <t>vbRetryCancel</t>
  </si>
  <si>
    <t>vbYesNo</t>
  </si>
  <si>
    <t>Yes and No buttons</t>
  </si>
  <si>
    <t>Retry and Cancel buttons</t>
  </si>
  <si>
    <t>MsgBox Arguments</t>
  </si>
  <si>
    <t>MsgBox Return Values</t>
  </si>
  <si>
    <t>vbOK</t>
  </si>
  <si>
    <t>OK button pressed</t>
  </si>
  <si>
    <t>vbCancel</t>
  </si>
  <si>
    <t>Cancel button pressed</t>
  </si>
  <si>
    <t>vbAbort</t>
  </si>
  <si>
    <t>Abort button pressed</t>
  </si>
  <si>
    <t>vbRetry</t>
  </si>
  <si>
    <t>Retry button pressed</t>
  </si>
  <si>
    <t>vbIgnore</t>
  </si>
  <si>
    <t>Ignore button pressed</t>
  </si>
  <si>
    <t>vbYes</t>
  </si>
  <si>
    <t>Yes button pressed</t>
  </si>
  <si>
    <t>vbNo</t>
  </si>
  <si>
    <t>No button pressed</t>
  </si>
  <si>
    <t>vbCritical</t>
  </si>
  <si>
    <t>Critical Message</t>
  </si>
  <si>
    <t>vbQuestion</t>
  </si>
  <si>
    <t>Warning query</t>
  </si>
  <si>
    <t>vbExclamation</t>
  </si>
  <si>
    <t>Warning message</t>
  </si>
  <si>
    <t>vbInformation</t>
  </si>
  <si>
    <t>Information message</t>
  </si>
  <si>
    <t>vbMsgBoxSetForeground</t>
  </si>
  <si>
    <t>Specifies the message box window as the foreground window</t>
  </si>
  <si>
    <t>VarType Constants</t>
  </si>
  <si>
    <t>vbEmpty</t>
  </si>
  <si>
    <t>Uninitialized (default)</t>
  </si>
  <si>
    <t>vbNull</t>
  </si>
  <si>
    <t>Contains no valid data</t>
  </si>
  <si>
    <t>vbInteger</t>
  </si>
  <si>
    <t>Integer</t>
  </si>
  <si>
    <t>vbLong</t>
  </si>
  <si>
    <t>Long integer</t>
  </si>
  <si>
    <t>vbSingle</t>
  </si>
  <si>
    <t>Single-precision floating-point number</t>
  </si>
  <si>
    <t>vbDouble</t>
  </si>
  <si>
    <t>Double-precision floating-point number</t>
  </si>
  <si>
    <t>vbCurrency</t>
  </si>
  <si>
    <t>Currency</t>
  </si>
  <si>
    <t>vbDate</t>
  </si>
  <si>
    <t>Date</t>
  </si>
  <si>
    <t>vbString</t>
  </si>
  <si>
    <t>String</t>
  </si>
  <si>
    <t>vbObject</t>
  </si>
  <si>
    <t>vbError</t>
  </si>
  <si>
    <t>Error</t>
  </si>
  <si>
    <t>vbBoolean</t>
  </si>
  <si>
    <t>Boolean</t>
  </si>
  <si>
    <t>vbVariant</t>
  </si>
  <si>
    <t>Variant (used only for arrays of variants)</t>
  </si>
  <si>
    <t>vbDataObject</t>
  </si>
  <si>
    <t>Data access object</t>
  </si>
  <si>
    <t>vbDecimal</t>
  </si>
  <si>
    <t>Decimal</t>
  </si>
  <si>
    <t>vbByte</t>
  </si>
  <si>
    <t>Byte</t>
  </si>
  <si>
    <t>vbUserDefinedType</t>
  </si>
  <si>
    <t>Variants that contain user-defined types</t>
  </si>
  <si>
    <t>vbArray</t>
  </si>
  <si>
    <t>Array</t>
  </si>
  <si>
    <t>Operators</t>
  </si>
  <si>
    <t>&amp;</t>
  </si>
  <si>
    <t>result = expression1 &amp; expression2</t>
  </si>
  <si>
    <t>result = number1*number2</t>
  </si>
  <si>
    <t>*</t>
  </si>
  <si>
    <t>concatenation</t>
  </si>
  <si>
    <t>multiply</t>
  </si>
  <si>
    <t>result = expression1+expression2</t>
  </si>
  <si>
    <t>+</t>
  </si>
  <si>
    <t>add, concatenation</t>
  </si>
  <si>
    <t>-</t>
  </si>
  <si>
    <t>difference</t>
  </si>
  <si>
    <t>result = number1-number2</t>
  </si>
  <si>
    <t>result = number1/number2</t>
  </si>
  <si>
    <t>divide</t>
  </si>
  <si>
    <t>/</t>
  </si>
  <si>
    <t>\</t>
  </si>
  <si>
    <t>result = number1\number2</t>
  </si>
  <si>
    <t>divide (return integer)</t>
  </si>
  <si>
    <t>result = number^exponent</t>
  </si>
  <si>
    <t>exponent</t>
  </si>
  <si>
    <t>^</t>
  </si>
  <si>
    <t>variable = value</t>
  </si>
  <si>
    <t>=</t>
  </si>
  <si>
    <t>assign</t>
  </si>
  <si>
    <t>And</t>
  </si>
  <si>
    <t>and</t>
  </si>
  <si>
    <t>result = expression1 And expression2</t>
  </si>
  <si>
    <t>Or</t>
  </si>
  <si>
    <t>or</t>
  </si>
  <si>
    <t>result = expression1 Or expression2</t>
  </si>
  <si>
    <t>Mod</t>
  </si>
  <si>
    <t>remainder</t>
  </si>
  <si>
    <t>result = number1 Mod number2</t>
  </si>
  <si>
    <t>Xor</t>
  </si>
  <si>
    <t>logical exclusion</t>
  </si>
  <si>
    <t>[result =] expression1 Xor expression2</t>
  </si>
  <si>
    <t>Not</t>
  </si>
  <si>
    <t>logical negation</t>
  </si>
  <si>
    <t>result = Not expression</t>
  </si>
  <si>
    <t>Common Operators</t>
  </si>
  <si>
    <t>Comparison Operators</t>
  </si>
  <si>
    <t>&lt;</t>
  </si>
  <si>
    <t>less than</t>
  </si>
  <si>
    <t>&lt;=</t>
  </si>
  <si>
    <t>less than or equal to</t>
  </si>
  <si>
    <t>&gt;=</t>
  </si>
  <si>
    <t>&gt;</t>
  </si>
  <si>
    <t>greater than or equal to</t>
  </si>
  <si>
    <t>greater than</t>
  </si>
  <si>
    <t>equal to</t>
  </si>
  <si>
    <t>&lt;&gt;</t>
  </si>
  <si>
    <t>not equal to</t>
  </si>
  <si>
    <t>result = expression1 comparisonoperator expression2</t>
  </si>
  <si>
    <t>Other Operators</t>
  </si>
  <si>
    <t>Is</t>
  </si>
  <si>
    <t>compare two objects</t>
  </si>
  <si>
    <t>object1 Is object2</t>
  </si>
  <si>
    <t>Run macro "constantsDemo"</t>
  </si>
  <si>
    <r>
      <t xml:space="preserve">In the </t>
    </r>
    <r>
      <rPr>
        <sz val="12"/>
        <color indexed="18"/>
        <rFont val="Arial"/>
        <family val="2"/>
      </rPr>
      <t>Project Explorer</t>
    </r>
    <r>
      <rPr>
        <sz val="12"/>
        <rFont val="Arial"/>
        <family val="2"/>
      </rPr>
      <t xml:space="preserve"> Window, double click left mouse on </t>
    </r>
    <r>
      <rPr>
        <sz val="12"/>
        <color indexed="18"/>
        <rFont val="Arial"/>
        <family val="2"/>
      </rPr>
      <t>Sheet(Basic)</t>
    </r>
    <r>
      <rPr>
        <sz val="12"/>
        <rFont val="Arial"/>
        <family val="2"/>
      </rPr>
      <t xml:space="preserve"> to view code.</t>
    </r>
  </si>
  <si>
    <t>Statements</t>
  </si>
  <si>
    <t>If…Then…Else</t>
  </si>
  <si>
    <t>End If</t>
  </si>
  <si>
    <t>[Else</t>
  </si>
  <si>
    <r>
      <t xml:space="preserve">If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 xml:space="preserve"> Then [</t>
    </r>
    <r>
      <rPr>
        <i/>
        <sz val="12"/>
        <rFont val="Arial"/>
        <family val="2"/>
      </rPr>
      <t>statements</t>
    </r>
    <r>
      <rPr>
        <sz val="12"/>
        <rFont val="Arial"/>
        <family val="2"/>
      </rPr>
      <t xml:space="preserve">] [Else </t>
    </r>
    <r>
      <rPr>
        <i/>
        <sz val="12"/>
        <rFont val="Arial"/>
        <family val="2"/>
      </rPr>
      <t>elsestatements</t>
    </r>
    <r>
      <rPr>
        <sz val="12"/>
        <rFont val="Arial"/>
        <family val="2"/>
      </rPr>
      <t>]</t>
    </r>
  </si>
  <si>
    <r>
      <t xml:space="preserve">If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 xml:space="preserve"> Then</t>
    </r>
  </si>
  <si>
    <r>
      <t>[</t>
    </r>
    <r>
      <rPr>
        <i/>
        <sz val="12"/>
        <rFont val="Arial"/>
        <family val="2"/>
      </rPr>
      <t>statements</t>
    </r>
    <r>
      <rPr>
        <sz val="12"/>
        <rFont val="Arial"/>
        <family val="2"/>
      </rPr>
      <t>]</t>
    </r>
  </si>
  <si>
    <r>
      <t>[</t>
    </r>
    <r>
      <rPr>
        <i/>
        <sz val="12"/>
        <rFont val="Arial"/>
        <family val="2"/>
      </rPr>
      <t>elseifstatements</t>
    </r>
    <r>
      <rPr>
        <sz val="12"/>
        <rFont val="Arial"/>
        <family val="2"/>
      </rPr>
      <t>] ...</t>
    </r>
  </si>
  <si>
    <r>
      <t>[</t>
    </r>
    <r>
      <rPr>
        <i/>
        <sz val="12"/>
        <rFont val="Arial"/>
        <family val="2"/>
      </rPr>
      <t>elsestatements</t>
    </r>
    <r>
      <rPr>
        <sz val="12"/>
        <rFont val="Arial"/>
        <family val="2"/>
      </rPr>
      <t>]]</t>
    </r>
  </si>
  <si>
    <r>
      <t xml:space="preserve">[ElseIf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 xml:space="preserve"> Then</t>
    </r>
  </si>
  <si>
    <t>Select Case</t>
  </si>
  <si>
    <t>End Select</t>
  </si>
  <si>
    <r>
      <t xml:space="preserve">Select Case </t>
    </r>
    <r>
      <rPr>
        <i/>
        <sz val="12"/>
        <rFont val="Arial"/>
        <family val="2"/>
      </rPr>
      <t>testexpression</t>
    </r>
  </si>
  <si>
    <t>[Case Else</t>
  </si>
  <si>
    <r>
      <t xml:space="preserve">[Case </t>
    </r>
    <r>
      <rPr>
        <i/>
        <sz val="12"/>
        <rFont val="Arial"/>
        <family val="2"/>
      </rPr>
      <t>expressionlist</t>
    </r>
  </si>
  <si>
    <r>
      <t>[</t>
    </r>
    <r>
      <rPr>
        <i/>
        <sz val="12"/>
        <rFont val="Arial"/>
        <family val="2"/>
      </rPr>
      <t>statements</t>
    </r>
    <r>
      <rPr>
        <sz val="12"/>
        <rFont val="Arial"/>
        <family val="2"/>
      </rPr>
      <t>]] ...</t>
    </r>
  </si>
  <si>
    <t>For…Next</t>
  </si>
  <si>
    <r>
      <t xml:space="preserve">For </t>
    </r>
    <r>
      <rPr>
        <i/>
        <sz val="12"/>
        <rFont val="Arial"/>
        <family val="2"/>
      </rPr>
      <t>counter</t>
    </r>
    <r>
      <rPr>
        <sz val="12"/>
        <rFont val="Arial"/>
        <family val="2"/>
      </rPr>
      <t xml:space="preserve"> = </t>
    </r>
    <r>
      <rPr>
        <i/>
        <sz val="12"/>
        <rFont val="Arial"/>
        <family val="2"/>
      </rPr>
      <t>start</t>
    </r>
    <r>
      <rPr>
        <sz val="12"/>
        <rFont val="Arial"/>
        <family val="2"/>
      </rPr>
      <t xml:space="preserve"> To </t>
    </r>
    <r>
      <rPr>
        <i/>
        <sz val="12"/>
        <rFont val="Arial"/>
        <family val="2"/>
      </rPr>
      <t>end</t>
    </r>
    <r>
      <rPr>
        <sz val="12"/>
        <rFont val="Arial"/>
        <family val="2"/>
      </rPr>
      <t xml:space="preserve"> [Step </t>
    </r>
    <r>
      <rPr>
        <i/>
        <sz val="12"/>
        <rFont val="Arial"/>
        <family val="2"/>
      </rPr>
      <t>step</t>
    </r>
    <r>
      <rPr>
        <sz val="12"/>
        <rFont val="Arial"/>
        <family val="2"/>
      </rPr>
      <t>]</t>
    </r>
  </si>
  <si>
    <t>[Exit For]</t>
  </si>
  <si>
    <r>
      <t>Next [</t>
    </r>
    <r>
      <rPr>
        <i/>
        <sz val="12"/>
        <rFont val="Arial"/>
        <family val="2"/>
      </rPr>
      <t>counter</t>
    </r>
    <r>
      <rPr>
        <sz val="12"/>
        <rFont val="Arial"/>
        <family val="2"/>
      </rPr>
      <t>]</t>
    </r>
  </si>
  <si>
    <t>For Each…Next</t>
  </si>
  <si>
    <r>
      <t xml:space="preserve">For Each </t>
    </r>
    <r>
      <rPr>
        <i/>
        <sz val="12"/>
        <rFont val="Arial"/>
        <family val="2"/>
      </rPr>
      <t>element</t>
    </r>
    <r>
      <rPr>
        <sz val="12"/>
        <rFont val="Arial"/>
        <family val="2"/>
      </rPr>
      <t xml:space="preserve"> In </t>
    </r>
    <r>
      <rPr>
        <i/>
        <sz val="12"/>
        <rFont val="Arial"/>
        <family val="2"/>
      </rPr>
      <t>group</t>
    </r>
  </si>
  <si>
    <r>
      <t>Next [</t>
    </r>
    <r>
      <rPr>
        <i/>
        <sz val="12"/>
        <rFont val="Arial"/>
        <family val="2"/>
      </rPr>
      <t>element</t>
    </r>
    <r>
      <rPr>
        <sz val="12"/>
        <rFont val="Arial"/>
        <family val="2"/>
      </rPr>
      <t>]</t>
    </r>
  </si>
  <si>
    <t>Do…Loop</t>
  </si>
  <si>
    <t>Loop</t>
  </si>
  <si>
    <r>
      <t xml:space="preserve">Do [{While | Until}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>]</t>
    </r>
  </si>
  <si>
    <t>[Exit Do]</t>
  </si>
  <si>
    <t>Do</t>
  </si>
  <si>
    <r>
      <t xml:space="preserve">Loop [{While | Until} </t>
    </r>
    <r>
      <rPr>
        <i/>
        <sz val="12"/>
        <rFont val="Arial"/>
        <family val="2"/>
      </rPr>
      <t>condition</t>
    </r>
    <r>
      <rPr>
        <sz val="12"/>
        <rFont val="Arial"/>
        <family val="2"/>
      </rPr>
      <t>]</t>
    </r>
  </si>
  <si>
    <t>fixed-size array</t>
  </si>
  <si>
    <t>dynamic array</t>
  </si>
  <si>
    <t>Dim</t>
  </si>
  <si>
    <r>
      <t xml:space="preserve">ReDim [Preserve]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 xml:space="preserve">] [,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>]] . . .</t>
    </r>
  </si>
  <si>
    <t>Preserve</t>
  </si>
  <si>
    <t>preserve data in an existing array</t>
  </si>
  <si>
    <t>can resize only the last array dimension</t>
  </si>
  <si>
    <t>can only change the upper bound</t>
  </si>
  <si>
    <t>ReDim - reallocate storage space for dynamic array variables</t>
  </si>
  <si>
    <r>
      <t xml:space="preserve">without </t>
    </r>
    <r>
      <rPr>
        <sz val="12"/>
        <color indexed="18"/>
        <rFont val="Arial"/>
        <family val="2"/>
      </rPr>
      <t>Preserve</t>
    </r>
  </si>
  <si>
    <t>numeric variable is initialized to 0</t>
  </si>
  <si>
    <t>variable-length string is initialized to zero-length string ("")</t>
  </si>
  <si>
    <t>fix-length string is filled with zeros</t>
  </si>
  <si>
    <t>variant variables are initialized to Empty</t>
  </si>
  <si>
    <t>object variable has special value Nothing</t>
  </si>
  <si>
    <t>known fixed storage</t>
  </si>
  <si>
    <t>dynamic storage, can be reallocated using ReDim or released using Erase</t>
  </si>
  <si>
    <r>
      <t>Dim [Preserve]</t>
    </r>
    <r>
      <rPr>
        <i/>
        <sz val="12"/>
        <rFont val="Arial"/>
        <family val="2"/>
      </rPr>
      <t xml:space="preserve"> 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 xml:space="preserve">] [,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>(</t>
    </r>
    <r>
      <rPr>
        <i/>
        <sz val="12"/>
        <rFont val="Arial"/>
        <family val="2"/>
      </rPr>
      <t>subscripts</t>
    </r>
    <r>
      <rPr>
        <sz val="12"/>
        <rFont val="Arial"/>
        <family val="2"/>
      </rPr>
      <t xml:space="preserve">)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>]] . . .</t>
    </r>
  </si>
  <si>
    <t>Dim iDynamicArray() as Integer</t>
  </si>
  <si>
    <t>Erase</t>
  </si>
  <si>
    <r>
      <t xml:space="preserve">Erase </t>
    </r>
    <r>
      <rPr>
        <i/>
        <sz val="12"/>
        <rFont val="Arial"/>
        <family val="2"/>
      </rPr>
      <t>arraylist</t>
    </r>
  </si>
  <si>
    <t>fixed-size</t>
  </si>
  <si>
    <t>Dim iFixedSizeArray(10) as Integer</t>
  </si>
  <si>
    <t>reinitialize, recovers no memory</t>
  </si>
  <si>
    <t>dynamic</t>
  </si>
  <si>
    <t>frees memory</t>
  </si>
  <si>
    <t>Array(arglist)</t>
  </si>
  <si>
    <t>Array - returns a variant containing an array</t>
  </si>
  <si>
    <t>Example</t>
  </si>
  <si>
    <t>Dim A As Variant</t>
  </si>
  <si>
    <t>A = Array(1,2,3,4)</t>
  </si>
  <si>
    <t>Array Copy</t>
  </si>
  <si>
    <t>Best Practice: Use only for redimensioning. Do not use as a declarative statement</t>
  </si>
  <si>
    <t>Dim dFArray(1, 2) As Double</t>
  </si>
  <si>
    <t>Dim dFArray2(1, 2) As Double</t>
  </si>
  <si>
    <t>dFArray2 = dFArray</t>
  </si>
  <si>
    <r>
      <t>Cannot</t>
    </r>
    <r>
      <rPr>
        <sz val="12"/>
        <rFont val="Arial"/>
        <family val="2"/>
      </rPr>
      <t xml:space="preserve"> assign to fixed-size array</t>
    </r>
  </si>
  <si>
    <t>Dim dDArray() As Double</t>
  </si>
  <si>
    <t>dDArray = dFArray</t>
  </si>
  <si>
    <r>
      <t xml:space="preserve">Assign to Variant </t>
    </r>
    <r>
      <rPr>
        <b/>
        <sz val="12"/>
        <rFont val="Arial"/>
        <family val="2"/>
      </rPr>
      <t>OK</t>
    </r>
  </si>
  <si>
    <r>
      <t xml:space="preserve">Assign to dynamic </t>
    </r>
    <r>
      <rPr>
        <b/>
        <sz val="12"/>
        <rFont val="Arial"/>
        <family val="2"/>
      </rPr>
      <t>OK</t>
    </r>
  </si>
  <si>
    <t>Dim vArray As Variant</t>
  </si>
  <si>
    <t>vArray = dFArray</t>
  </si>
  <si>
    <t>Run macro "copyArray"</t>
  </si>
  <si>
    <t>Run macro "fixedArray" and "dynamicArray"</t>
  </si>
  <si>
    <t>=CellF()</t>
  </si>
  <si>
    <t>Copy to and From Worksheets</t>
  </si>
  <si>
    <t>ActiveCell.Range("A1:C2").Value = vArray</t>
  </si>
  <si>
    <t>ReDim vArray(1, 2) As Integer</t>
  </si>
  <si>
    <r>
      <t xml:space="preserve">Copy Variant/Array to Worksheet </t>
    </r>
    <r>
      <rPr>
        <b/>
        <sz val="12"/>
        <rFont val="Arial"/>
        <family val="2"/>
      </rPr>
      <t>OK</t>
    </r>
  </si>
  <si>
    <r>
      <t xml:space="preserve">Copy fixed-size Array to Worksheet </t>
    </r>
    <r>
      <rPr>
        <b/>
        <sz val="12"/>
        <rFont val="Arial"/>
        <family val="2"/>
      </rPr>
      <t>OK</t>
    </r>
  </si>
  <si>
    <t>Dim iFArray(1, 2) As Integer</t>
  </si>
  <si>
    <t>ActiveCell.Range("A1:C2").Value = iFArray</t>
  </si>
  <si>
    <r>
      <t xml:space="preserve">Copy from Worksheet to Variant </t>
    </r>
    <r>
      <rPr>
        <b/>
        <sz val="12"/>
        <rFont val="Arial"/>
        <family val="2"/>
      </rPr>
      <t>OK</t>
    </r>
  </si>
  <si>
    <t>Dim vArray2 As Variant</t>
  </si>
  <si>
    <t>vArray2 = ActiveCell.Range("A1:C2").Value</t>
  </si>
  <si>
    <t>Dim iFArray2(1 To 2, 1 To 3) As Integer</t>
  </si>
  <si>
    <t>iFArray2 = ActiveCell.Range("A1:C2").Value</t>
  </si>
  <si>
    <t>Run macro "arrayToFromSheet"</t>
  </si>
  <si>
    <r>
      <t xml:space="preserve">Selct Me </t>
    </r>
    <r>
      <rPr>
        <sz val="12"/>
        <color indexed="20"/>
        <rFont val="Arial"/>
        <family val="2"/>
      </rPr>
      <t>before running macro "arrayToFromSheet"</t>
    </r>
  </si>
  <si>
    <t>Scope</t>
  </si>
  <si>
    <t>Static</t>
  </si>
  <si>
    <t>Project-Level</t>
  </si>
  <si>
    <t>Module-Level</t>
  </si>
  <si>
    <t>Procedure-Level</t>
  </si>
  <si>
    <t>Available to all procedures as long as code (project) is running.</t>
  </si>
  <si>
    <r>
      <t xml:space="preserve">Declared using </t>
    </r>
    <r>
      <rPr>
        <sz val="12"/>
        <color indexed="18"/>
        <rFont val="Arial"/>
        <family val="2"/>
      </rPr>
      <t>Public</t>
    </r>
    <r>
      <rPr>
        <sz val="12"/>
        <rFont val="Arial"/>
        <family val="2"/>
      </rPr>
      <t xml:space="preserve"> at the beginning (before 1st procedure) of one of the modules.</t>
    </r>
  </si>
  <si>
    <r>
      <t xml:space="preserve">Declared within procedure using </t>
    </r>
    <r>
      <rPr>
        <sz val="12"/>
        <color indexed="18"/>
        <rFont val="Arial"/>
        <family val="2"/>
      </rPr>
      <t>Static</t>
    </r>
    <r>
      <rPr>
        <sz val="12"/>
        <rFont val="Arial"/>
        <family val="2"/>
      </rPr>
      <t>. Available as long as code (project) is running (even after procedure has ended).</t>
    </r>
  </si>
  <si>
    <t>Variables not explicitly declared are treated as procedure-level variables.</t>
  </si>
  <si>
    <r>
      <t xml:space="preserve">Declared within procedure using </t>
    </r>
    <r>
      <rPr>
        <sz val="12"/>
        <color indexed="18"/>
        <rFont val="Arial"/>
        <family val="2"/>
      </rPr>
      <t xml:space="preserve">Dim. </t>
    </r>
    <r>
      <rPr>
        <sz val="12"/>
        <rFont val="Arial"/>
        <family val="2"/>
      </rPr>
      <t xml:space="preserve">Available only within procedure of declaration. </t>
    </r>
  </si>
  <si>
    <r>
      <t xml:space="preserve">Declared before 1st procedure of module using </t>
    </r>
    <r>
      <rPr>
        <sz val="12"/>
        <color indexed="18"/>
        <rFont val="Arial"/>
        <family val="2"/>
      </rPr>
      <t>Dim</t>
    </r>
    <r>
      <rPr>
        <sz val="12"/>
        <rFont val="Arial"/>
        <family val="2"/>
      </rPr>
      <t xml:space="preserve"> or </t>
    </r>
    <r>
      <rPr>
        <sz val="12"/>
        <color indexed="18"/>
        <rFont val="Arial"/>
        <family val="2"/>
      </rPr>
      <t>Private</t>
    </r>
    <r>
      <rPr>
        <sz val="12"/>
        <rFont val="Arial"/>
        <family val="2"/>
      </rPr>
      <t>. Available as long as code (project) is running.</t>
    </r>
  </si>
  <si>
    <t>Best Practice: Declare variables with "narrowest" possible scope (Encapsulation).</t>
  </si>
  <si>
    <t>Sub &amp; Function</t>
  </si>
  <si>
    <t>Sub</t>
  </si>
  <si>
    <t>End Sub</t>
  </si>
  <si>
    <t>[Exit Sub]</t>
  </si>
  <si>
    <t>Public</t>
  </si>
  <si>
    <t>Private</t>
  </si>
  <si>
    <t>Accessible to other procedures in module where it is declared</t>
  </si>
  <si>
    <r>
      <t xml:space="preserve">[Private | Public] [Static] Sub </t>
    </r>
    <r>
      <rPr>
        <i/>
        <sz val="12"/>
        <rFont val="Arial"/>
        <family val="2"/>
      </rPr>
      <t>name</t>
    </r>
    <r>
      <rPr>
        <sz val="12"/>
        <rFont val="Arial"/>
        <family val="2"/>
      </rPr>
      <t xml:space="preserve"> [(</t>
    </r>
    <r>
      <rPr>
        <i/>
        <sz val="12"/>
        <rFont val="Arial"/>
        <family val="2"/>
      </rPr>
      <t>arglist</t>
    </r>
    <r>
      <rPr>
        <sz val="12"/>
        <rFont val="Arial"/>
        <family val="2"/>
      </rPr>
      <t>)]</t>
    </r>
  </si>
  <si>
    <t>Accessible to all other procedures in all modules (default)</t>
  </si>
  <si>
    <r>
      <t xml:space="preserve">Procedure's local variables are preserved between calls (default: </t>
    </r>
    <r>
      <rPr>
        <b/>
        <sz val="12"/>
        <rFont val="Arial"/>
        <family val="2"/>
      </rPr>
      <t>NOT</t>
    </r>
    <r>
      <rPr>
        <sz val="12"/>
        <rFont val="Arial"/>
        <family val="2"/>
      </rPr>
      <t xml:space="preserve"> Static)</t>
    </r>
  </si>
  <si>
    <t>arglist</t>
  </si>
  <si>
    <r>
      <t xml:space="preserve">[Optional] [ByVal | ByRef] [ParamArray] </t>
    </r>
    <r>
      <rPr>
        <i/>
        <sz val="12"/>
        <rFont val="Arial"/>
        <family val="2"/>
      </rPr>
      <t>varname</t>
    </r>
    <r>
      <rPr>
        <sz val="12"/>
        <rFont val="Arial"/>
        <family val="2"/>
      </rPr>
      <t xml:space="preserve">[( )]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 xml:space="preserve">] [= </t>
    </r>
    <r>
      <rPr>
        <i/>
        <sz val="12"/>
        <rFont val="Arial"/>
        <family val="2"/>
      </rPr>
      <t>defaultvalue</t>
    </r>
    <r>
      <rPr>
        <sz val="12"/>
        <rFont val="Arial"/>
        <family val="2"/>
      </rPr>
      <t>]</t>
    </r>
  </si>
  <si>
    <t>Optional</t>
  </si>
  <si>
    <t>If used, all subsequent arguments must also be declared optional</t>
  </si>
  <si>
    <t>ParamArray</t>
  </si>
  <si>
    <t>Optionally used only as last argument to indicate an array of Variant elements</t>
  </si>
  <si>
    <t>Run macro "runParamArrayDemo"</t>
  </si>
  <si>
    <t>Function</t>
  </si>
  <si>
    <t>End Function</t>
  </si>
  <si>
    <t>[Exit Function]</t>
  </si>
  <si>
    <r>
      <t>[</t>
    </r>
    <r>
      <rPr>
        <i/>
        <sz val="12"/>
        <rFont val="Arial"/>
        <family val="2"/>
      </rPr>
      <t>name</t>
    </r>
    <r>
      <rPr>
        <sz val="12"/>
        <rFont val="Arial"/>
        <family val="2"/>
      </rPr>
      <t xml:space="preserve"> = </t>
    </r>
    <r>
      <rPr>
        <i/>
        <sz val="12"/>
        <rFont val="Arial"/>
        <family val="2"/>
      </rPr>
      <t>expression</t>
    </r>
    <r>
      <rPr>
        <sz val="12"/>
        <rFont val="Arial"/>
        <family val="2"/>
      </rPr>
      <t>]</t>
    </r>
  </si>
  <si>
    <r>
      <t xml:space="preserve">[Public | Private] [Static] Function </t>
    </r>
    <r>
      <rPr>
        <i/>
        <sz val="12"/>
        <rFont val="Arial"/>
        <family val="2"/>
      </rPr>
      <t>name</t>
    </r>
    <r>
      <rPr>
        <sz val="12"/>
        <rFont val="Arial"/>
        <family val="2"/>
      </rPr>
      <t xml:space="preserve"> [(</t>
    </r>
    <r>
      <rPr>
        <i/>
        <sz val="12"/>
        <rFont val="Arial"/>
        <family val="2"/>
      </rPr>
      <t>arglist</t>
    </r>
    <r>
      <rPr>
        <sz val="12"/>
        <rFont val="Arial"/>
        <family val="2"/>
      </rPr>
      <t xml:space="preserve">)] [As </t>
    </r>
    <r>
      <rPr>
        <i/>
        <sz val="12"/>
        <rFont val="Arial"/>
        <family val="2"/>
      </rPr>
      <t>type</t>
    </r>
    <r>
      <rPr>
        <sz val="12"/>
        <rFont val="Arial"/>
        <family val="2"/>
      </rPr>
      <t>]</t>
    </r>
  </si>
  <si>
    <t>ByRef</t>
  </si>
  <si>
    <t>ByVal</t>
  </si>
  <si>
    <r>
      <t xml:space="preserve">pass-by-value - argument </t>
    </r>
    <r>
      <rPr>
        <b/>
        <sz val="12"/>
        <rFont val="Arial"/>
        <family val="2"/>
      </rPr>
      <t>NOT</t>
    </r>
    <r>
      <rPr>
        <sz val="12"/>
        <rFont val="Arial"/>
        <family val="2"/>
      </rPr>
      <t xml:space="preserve"> changed upon return of procedure (default)</t>
    </r>
  </si>
  <si>
    <r>
      <t xml:space="preserve">pass-by-reference - can </t>
    </r>
    <r>
      <rPr>
        <b/>
        <sz val="12"/>
        <rFont val="Arial"/>
        <family val="2"/>
      </rPr>
      <t>modify</t>
    </r>
    <r>
      <rPr>
        <sz val="12"/>
        <rFont val="Arial"/>
        <family val="2"/>
      </rPr>
      <t xml:space="preserve"> the argument. (default)</t>
    </r>
  </si>
  <si>
    <t>Run macro "testByRefByVal"</t>
  </si>
  <si>
    <t>Returning an array</t>
  </si>
  <si>
    <t>"=returnArray()" is entered as an array function in the yellow cells below. "Function returnArray()" in Module1.</t>
  </si>
  <si>
    <r>
      <t xml:space="preserve">use </t>
    </r>
    <r>
      <rPr>
        <sz val="12"/>
        <color indexed="18"/>
        <rFont val="Arial"/>
        <family val="2"/>
      </rPr>
      <t>Shift + Ctrl + Enter</t>
    </r>
    <r>
      <rPr>
        <sz val="12"/>
        <color indexed="57"/>
        <rFont val="Arial"/>
        <family val="2"/>
      </rPr>
      <t xml:space="preserve"> to enter array formula</t>
    </r>
  </si>
  <si>
    <t>Passing a range as an argument</t>
  </si>
  <si>
    <t>"Function sumof(vArray as Variant) as double" in Module1.</t>
  </si>
  <si>
    <t>Black-Scholes</t>
  </si>
  <si>
    <t>Option Input</t>
  </si>
  <si>
    <t>Spot Price</t>
  </si>
  <si>
    <t>Strike Price</t>
  </si>
  <si>
    <t>Maturity (time to maturity in days)</t>
  </si>
  <si>
    <t>Interest Rate</t>
  </si>
  <si>
    <t>Volatilty</t>
  </si>
  <si>
    <t>Dividend</t>
  </si>
  <si>
    <t xml:space="preserve"> </t>
  </si>
  <si>
    <t>Calculations</t>
  </si>
  <si>
    <t>Maturity (time to maturity in years)</t>
  </si>
  <si>
    <t>Use 365.25 days for 1 year</t>
  </si>
  <si>
    <t>Interest Rate (Continuous Compounding)</t>
  </si>
  <si>
    <t>Dividend (Continuous Compounding)</t>
  </si>
  <si>
    <t>d_1</t>
  </si>
  <si>
    <t>d_2</t>
  </si>
  <si>
    <t>Call Premium</t>
  </si>
  <si>
    <t>Put Premium</t>
  </si>
  <si>
    <t>Call</t>
  </si>
  <si>
    <t>Put</t>
  </si>
  <si>
    <t>Volatility</t>
  </si>
  <si>
    <t>Built-In Function</t>
  </si>
  <si>
    <t>VBA</t>
  </si>
  <si>
    <r>
      <t xml:space="preserve">Press </t>
    </r>
    <r>
      <rPr>
        <sz val="12"/>
        <color indexed="18"/>
        <rFont val="Arial"/>
        <family val="2"/>
      </rPr>
      <t>Alt + F11</t>
    </r>
    <r>
      <rPr>
        <sz val="12"/>
        <rFont val="Arial"/>
        <family val="2"/>
      </rPr>
      <t xml:space="preserve"> to go to </t>
    </r>
    <r>
      <rPr>
        <sz val="12"/>
        <color indexed="18"/>
        <rFont val="Arial"/>
        <family val="2"/>
      </rPr>
      <t>Microsoft Visual Basic</t>
    </r>
    <r>
      <rPr>
        <sz val="12"/>
        <rFont val="Arial"/>
        <family val="2"/>
      </rPr>
      <t xml:space="preserve">. In the </t>
    </r>
    <r>
      <rPr>
        <sz val="12"/>
        <color indexed="18"/>
        <rFont val="Arial"/>
        <family val="2"/>
      </rPr>
      <t>standard toolbar</t>
    </r>
    <r>
      <rPr>
        <sz val="12"/>
        <rFont val="Arial"/>
        <family val="2"/>
      </rPr>
      <t xml:space="preserve">, left click mouse button on </t>
    </r>
    <r>
      <rPr>
        <sz val="12"/>
        <color indexed="18"/>
        <rFont val="Arial"/>
        <family val="2"/>
      </rPr>
      <t>Object Browser</t>
    </r>
    <r>
      <rPr>
        <sz val="12"/>
        <rFont val="Arial"/>
        <family val="2"/>
      </rPr>
      <t>.</t>
    </r>
  </si>
  <si>
    <t>Math</t>
  </si>
  <si>
    <t>Abs, Atn, Cos, Exp, Log, Randomize (seed), Rnd (random number generator), Round, Sgn, Sin, Sqr, Tan</t>
  </si>
  <si>
    <t>Strings</t>
  </si>
  <si>
    <t>LCase, UCase, Len, Left, Right, Replace, LTrim, Rtrim, StrComp, Join, Space, Chr</t>
  </si>
  <si>
    <t>Financial</t>
  </si>
  <si>
    <t>FV, IRR, Nper, NPV, Pmt, PV, Rate</t>
  </si>
  <si>
    <t>DateTime</t>
  </si>
  <si>
    <t>Date, DateAdd, DateDiff, DateSerial, DateValue, Time, Timer, TimeSerial, TimeValue, Weekday, Year, Month, Day, Hour, Minute, Second, Now</t>
  </si>
  <si>
    <t>Information</t>
  </si>
  <si>
    <t>IsArray, IsDate, IsEmpty, IsError, IsNull, IsObject, TypeName, VarType</t>
  </si>
  <si>
    <t>Interaction</t>
  </si>
  <si>
    <t>MsgBox, InputBox, Environ, SendKeys, Shell</t>
  </si>
  <si>
    <t>Excel</t>
  </si>
  <si>
    <t>WorksheetFunction</t>
  </si>
  <si>
    <t>Uniform</t>
  </si>
  <si>
    <t>max</t>
  </si>
  <si>
    <t>min</t>
  </si>
  <si>
    <t>Bin</t>
  </si>
  <si>
    <t>Count</t>
  </si>
  <si>
    <t>VBA Introduction</t>
  </si>
  <si>
    <r>
      <t>Note that macro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>" was recorded using absolute reference (default).</t>
    </r>
  </si>
  <si>
    <t>Exercise: Go to Module 1 and fill in the code for the "boxMuller" function.</t>
  </si>
  <si>
    <r>
      <t xml:space="preserve">Exercise: Go to Module 1, complete the code for "callBS" and "putBS". </t>
    </r>
    <r>
      <rPr>
        <b/>
        <sz val="14"/>
        <color indexed="41"/>
        <rFont val="Arial"/>
        <family val="2"/>
      </rPr>
      <t>blue</t>
    </r>
    <r>
      <rPr>
        <b/>
        <sz val="14"/>
        <color indexed="50"/>
        <rFont val="Arial"/>
        <family val="2"/>
      </rPr>
      <t xml:space="preserve"> boxes.</t>
    </r>
  </si>
  <si>
    <r>
      <t xml:space="preserve">                   </t>
    </r>
    <r>
      <rPr>
        <b/>
        <sz val="14"/>
        <color indexed="17"/>
        <rFont val="Arial"/>
        <family val="2"/>
      </rPr>
      <t xml:space="preserve">The functions are used in the </t>
    </r>
    <r>
      <rPr>
        <b/>
        <sz val="14"/>
        <color indexed="15"/>
        <rFont val="Arial"/>
        <family val="2"/>
      </rPr>
      <t xml:space="preserve">blue </t>
    </r>
    <r>
      <rPr>
        <b/>
        <sz val="14"/>
        <color indexed="17"/>
        <rFont val="Arial"/>
        <family val="2"/>
      </rPr>
      <t>boxes below.</t>
    </r>
  </si>
  <si>
    <t xml:space="preserve">                   Chart "Call/Put Premium" against "Volatility"</t>
  </si>
  <si>
    <t>Exercise: Use Data Table to calculate the "Call/Put Premium" for varies "Volatility"</t>
  </si>
  <si>
    <t xml:space="preserve">                   Complete the code in sub "fillData" to copy the data to columns "Uniform" and column "Normal Box Muller".</t>
  </si>
  <si>
    <t>Run macro "builtInFunctionDemo"</t>
  </si>
  <si>
    <t>Repeat the above to assign macro "clearGreen" to button "Clear".</t>
  </si>
  <si>
    <r>
      <t xml:space="preserve">Left click </t>
    </r>
    <r>
      <rPr>
        <sz val="12"/>
        <color indexed="18"/>
        <rFont val="Arial"/>
        <family val="2"/>
      </rPr>
      <t xml:space="preserve">Office Button. </t>
    </r>
    <r>
      <rPr>
        <sz val="12"/>
        <rFont val="Arial"/>
        <family val="2"/>
      </rPr>
      <t xml:space="preserve">Left click </t>
    </r>
    <r>
      <rPr>
        <sz val="12"/>
        <color indexed="18"/>
        <rFont val="Arial"/>
        <family val="2"/>
      </rPr>
      <t xml:space="preserve">Excel Options. </t>
    </r>
    <r>
      <rPr>
        <sz val="12"/>
        <rFont val="Arial"/>
        <family val="2"/>
      </rPr>
      <t>Check "</t>
    </r>
    <r>
      <rPr>
        <sz val="12"/>
        <color rgb="FF000066"/>
        <rFont val="Arial"/>
        <family val="2"/>
      </rPr>
      <t>Show Developer tab in the Ribbon</t>
    </r>
    <r>
      <rPr>
        <sz val="12"/>
        <color theme="3"/>
        <rFont val="Arial"/>
        <family val="2"/>
      </rPr>
      <t>"</t>
    </r>
    <r>
      <rPr>
        <sz val="12"/>
        <rFont val="Arial"/>
        <family val="2"/>
      </rPr>
      <t>. Left click "</t>
    </r>
    <r>
      <rPr>
        <sz val="12"/>
        <color rgb="FF000066"/>
        <rFont val="Arial"/>
        <family val="2"/>
      </rPr>
      <t>OK</t>
    </r>
    <r>
      <rPr>
        <sz val="12"/>
        <rFont val="Arial"/>
        <family val="2"/>
      </rPr>
      <t>".</t>
    </r>
  </si>
  <si>
    <r>
      <t xml:space="preserve">Select  </t>
    </r>
    <r>
      <rPr>
        <sz val="12"/>
        <color rgb="FF000066"/>
        <rFont val="Arial"/>
        <family val="2"/>
      </rPr>
      <t xml:space="preserve">Developer </t>
    </r>
    <r>
      <rPr>
        <sz val="12"/>
        <rFont val="Arial"/>
        <family val="2"/>
      </rPr>
      <t xml:space="preserve">tab. Left click on </t>
    </r>
    <r>
      <rPr>
        <sz val="12"/>
        <color rgb="FF000066"/>
        <rFont val="Arial"/>
        <family val="2"/>
      </rPr>
      <t xml:space="preserve">Macro </t>
    </r>
    <r>
      <rPr>
        <sz val="12"/>
        <color indexed="18"/>
        <rFont val="Arial"/>
        <family val="2"/>
      </rPr>
      <t>Security</t>
    </r>
    <r>
      <rPr>
        <sz val="12"/>
        <rFont val="Arial"/>
        <family val="2"/>
      </rPr>
      <t>.</t>
    </r>
  </si>
  <si>
    <r>
      <t xml:space="preserve">Check </t>
    </r>
    <r>
      <rPr>
        <sz val="12"/>
        <color rgb="FF000066"/>
        <rFont val="Arial"/>
        <family val="2"/>
      </rPr>
      <t xml:space="preserve">Enable all macros </t>
    </r>
    <r>
      <rPr>
        <sz val="12"/>
        <rFont val="Arial"/>
        <family val="2"/>
      </rPr>
      <t xml:space="preserve">and </t>
    </r>
    <r>
      <rPr>
        <sz val="12"/>
        <color rgb="FF000066"/>
        <rFont val="Arial"/>
        <family val="2"/>
      </rPr>
      <t>Trust access to the VBA project object model</t>
    </r>
    <r>
      <rPr>
        <sz val="12"/>
        <rFont val="Arial"/>
        <family val="2"/>
      </rPr>
      <t>. Left click "</t>
    </r>
    <r>
      <rPr>
        <sz val="12"/>
        <color rgb="FF000066"/>
        <rFont val="Arial"/>
        <family val="2"/>
      </rPr>
      <t>OK</t>
    </r>
    <r>
      <rPr>
        <sz val="12"/>
        <rFont val="Arial"/>
        <family val="2"/>
      </rPr>
      <t>".</t>
    </r>
  </si>
  <si>
    <r>
      <t xml:space="preserve">Under the </t>
    </r>
    <r>
      <rPr>
        <sz val="12"/>
        <color rgb="FF000066"/>
        <rFont val="Arial"/>
        <family val="2"/>
      </rPr>
      <t xml:space="preserve">Developer </t>
    </r>
    <r>
      <rPr>
        <sz val="12"/>
        <rFont val="Arial"/>
        <family val="2"/>
      </rPr>
      <t>tab, left click on "</t>
    </r>
    <r>
      <rPr>
        <sz val="12"/>
        <color indexed="18"/>
        <rFont val="Arial"/>
        <family val="2"/>
      </rPr>
      <t>Record Macro</t>
    </r>
    <r>
      <rPr>
        <sz val="12"/>
        <rFont val="Arial"/>
        <family val="2"/>
      </rPr>
      <t>". In the "</t>
    </r>
    <r>
      <rPr>
        <sz val="12"/>
        <color indexed="18"/>
        <rFont val="Arial"/>
        <family val="2"/>
      </rPr>
      <t>Record Macro</t>
    </r>
    <r>
      <rPr>
        <sz val="12"/>
        <rFont val="Arial"/>
        <family val="2"/>
      </rPr>
      <t>" dialog, enter "</t>
    </r>
    <r>
      <rPr>
        <sz val="12"/>
        <color indexed="18"/>
        <rFont val="Arial"/>
        <family val="2"/>
      </rPr>
      <t>myCopy</t>
    </r>
    <r>
      <rPr>
        <sz val="12"/>
        <rFont val="Arial"/>
        <family val="2"/>
      </rPr>
      <t>" for "</t>
    </r>
    <r>
      <rPr>
        <sz val="12"/>
        <color indexed="18"/>
        <rFont val="Arial"/>
        <family val="2"/>
      </rPr>
      <t>Macro Name</t>
    </r>
    <r>
      <rPr>
        <sz val="12"/>
        <rFont val="Arial"/>
        <family val="2"/>
      </rPr>
      <t>:" and click "</t>
    </r>
    <r>
      <rPr>
        <sz val="12"/>
        <color indexed="18"/>
        <rFont val="Arial"/>
        <family val="2"/>
      </rPr>
      <t>OK</t>
    </r>
    <r>
      <rPr>
        <sz val="12"/>
        <rFont val="Arial"/>
        <family val="2"/>
      </rPr>
      <t>" .</t>
    </r>
  </si>
  <si>
    <r>
      <t>Press "</t>
    </r>
    <r>
      <rPr>
        <sz val="12"/>
        <color indexed="18"/>
        <rFont val="Arial"/>
        <family val="2"/>
      </rPr>
      <t>Alt + F8</t>
    </r>
    <r>
      <rPr>
        <sz val="12"/>
        <rFont val="Arial"/>
        <family val="2"/>
      </rPr>
      <t xml:space="preserve">" or under the </t>
    </r>
    <r>
      <rPr>
        <sz val="12"/>
        <color rgb="FF000066"/>
        <rFont val="Arial"/>
        <family val="2"/>
      </rPr>
      <t xml:space="preserve">Developer </t>
    </r>
    <r>
      <rPr>
        <sz val="12"/>
        <rFont val="Arial"/>
        <family val="2"/>
      </rPr>
      <t xml:space="preserve">tab, left click </t>
    </r>
    <r>
      <rPr>
        <sz val="12"/>
        <color indexed="18"/>
        <rFont val="Arial"/>
        <family val="2"/>
      </rPr>
      <t>Macros.</t>
    </r>
    <r>
      <rPr>
        <sz val="12"/>
        <rFont val="Arial"/>
        <family val="2"/>
      </rPr>
      <t xml:space="preserve"> Select "</t>
    </r>
    <r>
      <rPr>
        <sz val="12"/>
        <color indexed="18"/>
        <rFont val="Arial"/>
        <family val="2"/>
      </rPr>
      <t>myCopy</t>
    </r>
    <r>
      <rPr>
        <sz val="12"/>
        <rFont val="Arial"/>
        <family val="2"/>
      </rPr>
      <t>" and left click mouse button on "</t>
    </r>
    <r>
      <rPr>
        <sz val="12"/>
        <color indexed="18"/>
        <rFont val="Arial"/>
        <family val="2"/>
      </rPr>
      <t>Edit</t>
    </r>
    <r>
      <rPr>
        <sz val="12"/>
        <rFont val="Arial"/>
        <family val="2"/>
      </rPr>
      <t xml:space="preserve">" to look at the macro. </t>
    </r>
  </si>
  <si>
    <r>
      <t>Select Developer tab. Left click on "</t>
    </r>
    <r>
      <rPr>
        <sz val="12"/>
        <color indexed="18"/>
        <rFont val="Arial"/>
        <family val="2"/>
      </rPr>
      <t>Insert</t>
    </r>
    <r>
      <rPr>
        <sz val="12"/>
        <rFont val="Arial"/>
        <family val="2"/>
      </rPr>
      <t xml:space="preserve">". Under </t>
    </r>
    <r>
      <rPr>
        <sz val="12"/>
        <color indexed="18"/>
        <rFont val="Arial"/>
        <family val="2"/>
      </rPr>
      <t>Form Control</t>
    </r>
    <r>
      <rPr>
        <sz val="12"/>
        <rFont val="Arial"/>
        <family val="2"/>
      </rPr>
      <t xml:space="preserve">, left click </t>
    </r>
    <r>
      <rPr>
        <sz val="12"/>
        <color indexed="18"/>
        <rFont val="Arial"/>
        <family val="2"/>
      </rPr>
      <t>Button</t>
    </r>
    <r>
      <rPr>
        <sz val="12"/>
        <rFont val="Arial"/>
        <family val="2"/>
      </rPr>
      <t>.</t>
    </r>
  </si>
  <si>
    <r>
      <t>In the "</t>
    </r>
    <r>
      <rPr>
        <sz val="12"/>
        <color rgb="FF000066"/>
        <rFont val="Arial"/>
        <family val="2"/>
      </rPr>
      <t>Assign Macro</t>
    </r>
    <r>
      <rPr>
        <sz val="12"/>
        <rFont val="Arial"/>
        <family val="2"/>
      </rPr>
      <t>" dialogue, select "myCopy" and click "</t>
    </r>
    <r>
      <rPr>
        <sz val="12"/>
        <color rgb="FF000066"/>
        <rFont val="Arial"/>
        <family val="2"/>
      </rPr>
      <t>OK</t>
    </r>
    <r>
      <rPr>
        <sz val="12"/>
        <rFont val="Arial"/>
        <family val="2"/>
      </rPr>
      <t>".</t>
    </r>
  </si>
  <si>
    <r>
      <t>If a row is inserted before row 38, "</t>
    </r>
    <r>
      <rPr>
        <sz val="12"/>
        <color indexed="18"/>
        <rFont val="Arial"/>
        <family val="2"/>
      </rPr>
      <t>EnterValues</t>
    </r>
    <r>
      <rPr>
        <sz val="12"/>
        <rFont val="Arial"/>
        <family val="2"/>
      </rPr>
      <t xml:space="preserve">" would still enter the values start at cell B40. </t>
    </r>
    <r>
      <rPr>
        <b/>
        <sz val="12"/>
        <color indexed="18"/>
        <rFont val="Arial"/>
        <family val="2"/>
      </rPr>
      <t>Try</t>
    </r>
    <r>
      <rPr>
        <sz val="12"/>
        <rFont val="Arial"/>
        <family val="2"/>
      </rPr>
      <t>!</t>
    </r>
  </si>
  <si>
    <r>
      <t xml:space="preserve">Clear the mess by selecting </t>
    </r>
    <r>
      <rPr>
        <sz val="12"/>
        <color indexed="18"/>
        <rFont val="Arial"/>
        <family val="2"/>
      </rPr>
      <t>B40:B44</t>
    </r>
    <r>
      <rPr>
        <sz val="12"/>
        <rFont val="Arial"/>
        <family val="2"/>
      </rPr>
      <t xml:space="preserve"> and press </t>
    </r>
    <r>
      <rPr>
        <sz val="12"/>
        <color indexed="18"/>
        <rFont val="Arial"/>
        <family val="2"/>
      </rPr>
      <t>Delete</t>
    </r>
    <r>
      <rPr>
        <sz val="12"/>
        <rFont val="Arial"/>
        <family val="2"/>
      </rPr>
      <t>.</t>
    </r>
  </si>
  <si>
    <t>Now select B41 and run macro "EnterValuesRelative".</t>
  </si>
  <si>
    <r>
      <t>To record macro using relative reference, press "</t>
    </r>
    <r>
      <rPr>
        <sz val="12"/>
        <color rgb="FF002060"/>
        <rFont val="Arial"/>
        <family val="2"/>
      </rPr>
      <t xml:space="preserve">Use </t>
    </r>
    <r>
      <rPr>
        <sz val="12"/>
        <color indexed="18"/>
        <rFont val="Arial"/>
        <family val="2"/>
      </rPr>
      <t>Relative Reference</t>
    </r>
    <r>
      <rPr>
        <sz val="12"/>
        <rFont val="Arial"/>
        <family val="2"/>
      </rPr>
      <t>"</t>
    </r>
    <r>
      <rPr>
        <sz val="12"/>
        <rFont val="Arial"/>
        <family val="2"/>
      </rPr>
      <t xml:space="preserve">. </t>
    </r>
  </si>
  <si>
    <r>
      <t xml:space="preserve">Under the </t>
    </r>
    <r>
      <rPr>
        <sz val="12"/>
        <color indexed="18"/>
        <rFont val="Arial"/>
        <family val="2"/>
      </rPr>
      <t>Excel Help</t>
    </r>
    <r>
      <rPr>
        <sz val="12"/>
        <rFont val="Arial"/>
        <family val="2"/>
      </rPr>
      <t>, left click "</t>
    </r>
    <r>
      <rPr>
        <sz val="12"/>
        <color indexed="18"/>
        <rFont val="Arial"/>
        <family val="2"/>
      </rPr>
      <t>Excel Object Model Reference</t>
    </r>
    <r>
      <rPr>
        <sz val="12"/>
        <rFont val="Arial"/>
        <family val="2"/>
      </rPr>
      <t>".</t>
    </r>
  </si>
  <si>
    <r>
      <t xml:space="preserve">Press </t>
    </r>
    <r>
      <rPr>
        <sz val="12"/>
        <color indexed="18"/>
        <rFont val="Arial"/>
        <family val="2"/>
      </rPr>
      <t>Alt + F11</t>
    </r>
    <r>
      <rPr>
        <sz val="12"/>
        <rFont val="Arial"/>
        <family val="2"/>
      </rPr>
      <t xml:space="preserve"> or under </t>
    </r>
    <r>
      <rPr>
        <sz val="12"/>
        <color theme="3" tint="-0.249977111117893"/>
        <rFont val="Arial"/>
        <family val="2"/>
      </rPr>
      <t xml:space="preserve">Developer </t>
    </r>
    <r>
      <rPr>
        <sz val="12"/>
        <rFont val="Arial"/>
        <family val="2"/>
      </rPr>
      <t xml:space="preserve">tab, left click </t>
    </r>
    <r>
      <rPr>
        <sz val="12"/>
        <color indexed="18"/>
        <rFont val="Arial"/>
        <family val="2"/>
      </rPr>
      <t>Visual Basic</t>
    </r>
    <r>
      <rPr>
        <sz val="12"/>
        <rFont val="Arial"/>
        <family val="2"/>
      </rPr>
      <t>.</t>
    </r>
  </si>
  <si>
    <r>
      <t xml:space="preserve">To remove a module, select the module, right click and select </t>
    </r>
    <r>
      <rPr>
        <sz val="12"/>
        <color theme="3" tint="-0.249977111117893"/>
        <rFont val="Arial"/>
        <family val="2"/>
      </rPr>
      <t>Remove Module</t>
    </r>
  </si>
  <si>
    <r>
      <t>"Finding a Local Minimum Using the Excel Solver"</t>
    </r>
    <r>
      <rPr>
        <b/>
        <i/>
        <sz val="10"/>
        <rFont val="Verdana"/>
        <family val="2"/>
      </rPr>
      <t xml:space="preserve"> </t>
    </r>
  </si>
  <si>
    <t>Goal:</t>
  </si>
  <si>
    <r>
      <t xml:space="preserve">Find the value of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that minimizes </t>
    </r>
    <r>
      <rPr>
        <i/>
        <sz val="10"/>
        <rFont val="Verdana"/>
        <family val="2"/>
      </rPr>
      <t>f</t>
    </r>
    <r>
      <rPr>
        <sz val="10"/>
        <rFont val="Arial"/>
        <family val="2"/>
      </rPr>
      <t>,</t>
    </r>
  </si>
  <si>
    <t>x (min)</t>
  </si>
  <si>
    <r>
      <t xml:space="preserve">subject to -1 ≤ </t>
    </r>
    <r>
      <rPr>
        <i/>
        <sz val="10"/>
        <rFont val="Verdana"/>
        <family val="2"/>
      </rPr>
      <t>x</t>
    </r>
    <r>
      <rPr>
        <sz val="10"/>
        <rFont val="Arial"/>
        <family val="2"/>
      </rPr>
      <t xml:space="preserve"> ≤ 5 </t>
    </r>
  </si>
  <si>
    <t>x (max)</t>
  </si>
  <si>
    <t>x</t>
  </si>
  <si>
    <t>f</t>
  </si>
  <si>
    <t>Objective Function</t>
  </si>
  <si>
    <t>Design Variables</t>
  </si>
  <si>
    <t>Constraints</t>
  </si>
  <si>
    <t>x ≥</t>
  </si>
  <si>
    <t>x 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</si>
</sst>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-* #,##0.00_-;\-* #,##0.00_-;_-* &quot;-&quot;??_-;_-@_-"/>
    <numFmt numFmtId="177" formatCode="0.0000"/>
    <numFmt numFmtId="178" formatCode="#,##0.0000_ "/>
  </numFmts>
  <fonts count="58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20"/>
      <color indexed="13"/>
      <name val="Arial"/>
      <family val="2"/>
    </font>
    <font>
      <sz val="16"/>
      <color indexed="13"/>
      <name val="Arial"/>
      <family val="2"/>
    </font>
    <font>
      <b/>
      <sz val="22"/>
      <name val="Book Antiqua"/>
      <family val="1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9"/>
      <name val="細明體"/>
      <family val="3"/>
      <charset val="136"/>
    </font>
    <font>
      <u/>
      <sz val="10"/>
      <color indexed="12"/>
      <name val="Arial"/>
      <family val="2"/>
    </font>
    <font>
      <sz val="22"/>
      <color indexed="13"/>
      <name val="Times New Roman"/>
      <family val="1"/>
    </font>
    <font>
      <sz val="12"/>
      <color indexed="18"/>
      <name val="Arial"/>
      <family val="2"/>
    </font>
    <font>
      <sz val="12"/>
      <color indexed="16"/>
      <name val="Arial"/>
      <family val="2"/>
    </font>
    <font>
      <b/>
      <sz val="14"/>
      <name val="Arial"/>
      <family val="2"/>
    </font>
    <font>
      <sz val="10"/>
      <color indexed="47"/>
      <name val="Arial"/>
      <family val="2"/>
    </font>
    <font>
      <b/>
      <sz val="12"/>
      <color indexed="18"/>
      <name val="Arial"/>
      <family val="2"/>
    </font>
    <font>
      <sz val="11"/>
      <color indexed="13"/>
      <name val="Arial"/>
      <family val="2"/>
    </font>
    <font>
      <sz val="11"/>
      <name val="Arial"/>
      <family val="2"/>
    </font>
    <font>
      <sz val="12"/>
      <color indexed="18"/>
      <name val="Symbol"/>
      <family val="1"/>
      <charset val="2"/>
    </font>
    <font>
      <sz val="12"/>
      <color indexed="42"/>
      <name val="Arial"/>
      <family val="2"/>
    </font>
    <font>
      <sz val="14"/>
      <name val="Arial"/>
      <family val="2"/>
    </font>
    <font>
      <sz val="12"/>
      <color indexed="20"/>
      <name val="Arial"/>
      <family val="2"/>
    </font>
    <font>
      <i/>
      <sz val="12"/>
      <name val="Arial"/>
      <family val="2"/>
    </font>
    <font>
      <sz val="12"/>
      <color indexed="10"/>
      <name val="Arial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57"/>
      <name val="Arial"/>
      <family val="2"/>
    </font>
    <font>
      <u/>
      <sz val="12"/>
      <color indexed="12"/>
      <name val="Arial"/>
      <family val="2"/>
    </font>
    <font>
      <b/>
      <sz val="12"/>
      <color indexed="20"/>
      <name val="Arial"/>
      <family val="2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22"/>
      <color indexed="13"/>
      <name val="Arial"/>
      <family val="2"/>
    </font>
    <font>
      <b/>
      <sz val="14"/>
      <color indexed="17"/>
      <name val="Arial"/>
      <family val="2"/>
    </font>
    <font>
      <b/>
      <sz val="14"/>
      <color indexed="41"/>
      <name val="Arial"/>
      <family val="2"/>
    </font>
    <font>
      <b/>
      <sz val="14"/>
      <color indexed="50"/>
      <name val="Arial"/>
      <family val="2"/>
    </font>
    <font>
      <i/>
      <sz val="14"/>
      <name val="Arial"/>
      <family val="2"/>
    </font>
    <font>
      <b/>
      <sz val="12"/>
      <color indexed="17"/>
      <name val="Arial"/>
      <family val="2"/>
    </font>
    <font>
      <sz val="14"/>
      <color indexed="18"/>
      <name val="Arial"/>
      <family val="2"/>
    </font>
    <font>
      <b/>
      <sz val="14"/>
      <color indexed="15"/>
      <name val="Arial"/>
      <family val="2"/>
    </font>
    <font>
      <sz val="12"/>
      <color theme="3"/>
      <name val="Arial"/>
      <family val="2"/>
    </font>
    <font>
      <sz val="12"/>
      <color rgb="FF000066"/>
      <name val="Arial"/>
      <family val="2"/>
    </font>
    <font>
      <sz val="12"/>
      <color theme="3" tint="-0.249977111117893"/>
      <name val="Arial"/>
      <family val="2"/>
    </font>
    <font>
      <sz val="12"/>
      <color rgb="FF002060"/>
      <name val="Arial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i/>
      <sz val="10"/>
      <name val="Verdana"/>
      <family val="2"/>
    </font>
    <font>
      <b/>
      <sz val="10"/>
      <color indexed="9"/>
      <name val="Verdana"/>
      <family val="2"/>
    </font>
    <font>
      <sz val="10"/>
      <color indexed="9"/>
      <name val="Verdana"/>
      <family val="2"/>
    </font>
    <font>
      <b/>
      <i/>
      <sz val="10"/>
      <name val="Times New Roman"/>
      <family val="1"/>
    </font>
    <font>
      <sz val="10"/>
      <name val="Verdana"/>
      <family val="2"/>
    </font>
    <font>
      <sz val="9"/>
      <color indexed="8"/>
      <name val="Verdana"/>
      <family val="2"/>
    </font>
    <font>
      <b/>
      <sz val="8"/>
      <color indexed="8"/>
      <name val="Verdana"/>
      <family val="2"/>
    </font>
    <font>
      <sz val="9"/>
      <name val="宋体"/>
      <family val="3"/>
      <charset val="134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56"/>
      </bottom>
      <diagonal/>
    </border>
  </borders>
  <cellStyleXfs count="5">
    <xf numFmtId="0" fontId="0" fillId="0" borderId="0"/>
    <xf numFmtId="176" fontId="2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32" fillId="0" borderId="0"/>
    <xf numFmtId="9" fontId="2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Border="1"/>
    <xf numFmtId="0" fontId="0" fillId="2" borderId="0" xfId="0" applyFill="1"/>
    <xf numFmtId="0" fontId="6" fillId="0" borderId="0" xfId="0" applyFont="1"/>
    <xf numFmtId="0" fontId="0" fillId="0" borderId="0" xfId="0" applyFill="1" applyBorder="1"/>
    <xf numFmtId="0" fontId="3" fillId="3" borderId="0" xfId="0" applyFont="1" applyFill="1" applyBorder="1" applyAlignment="1">
      <alignment vertical="top" wrapText="1"/>
    </xf>
    <xf numFmtId="0" fontId="4" fillId="4" borderId="0" xfId="2" applyFont="1" applyFill="1" applyAlignment="1" applyProtection="1">
      <alignment horizontal="left" vertical="center"/>
    </xf>
    <xf numFmtId="0" fontId="4" fillId="4" borderId="0" xfId="0" applyFont="1" applyFill="1" applyAlignment="1">
      <alignment horizontal="left" vertical="center"/>
    </xf>
    <xf numFmtId="0" fontId="11" fillId="3" borderId="1" xfId="0" applyFont="1" applyFill="1" applyBorder="1"/>
    <xf numFmtId="0" fontId="0" fillId="5" borderId="0" xfId="0" applyFill="1"/>
    <xf numFmtId="0" fontId="12" fillId="6" borderId="0" xfId="0" applyFont="1" applyFill="1"/>
    <xf numFmtId="0" fontId="6" fillId="6" borderId="0" xfId="0" applyFont="1" applyFill="1"/>
    <xf numFmtId="0" fontId="15" fillId="5" borderId="0" xfId="0" applyFont="1" applyFill="1"/>
    <xf numFmtId="0" fontId="5" fillId="6" borderId="0" xfId="0" applyFont="1" applyFill="1" applyAlignment="1">
      <alignment horizontal="center" vertical="center"/>
    </xf>
    <xf numFmtId="0" fontId="17" fillId="3" borderId="0" xfId="0" applyFont="1" applyFill="1" applyBorder="1"/>
    <xf numFmtId="0" fontId="18" fillId="0" borderId="0" xfId="0" applyFont="1"/>
    <xf numFmtId="0" fontId="6" fillId="7" borderId="0" xfId="0" applyFont="1" applyFill="1"/>
    <xf numFmtId="0" fontId="6" fillId="8" borderId="0" xfId="0" applyFont="1" applyFill="1"/>
    <xf numFmtId="0" fontId="20" fillId="9" borderId="2" xfId="0" applyFont="1" applyFill="1" applyBorder="1"/>
    <xf numFmtId="0" fontId="20" fillId="9" borderId="3" xfId="0" applyFont="1" applyFill="1" applyBorder="1"/>
    <xf numFmtId="0" fontId="20" fillId="9" borderId="4" xfId="0" applyFont="1" applyFill="1" applyBorder="1"/>
    <xf numFmtId="0" fontId="20" fillId="9" borderId="5" xfId="0" applyFont="1" applyFill="1" applyBorder="1"/>
    <xf numFmtId="0" fontId="20" fillId="9" borderId="0" xfId="0" applyFont="1" applyFill="1" applyBorder="1"/>
    <xf numFmtId="0" fontId="20" fillId="9" borderId="6" xfId="0" applyFont="1" applyFill="1" applyBorder="1"/>
    <xf numFmtId="0" fontId="20" fillId="9" borderId="1" xfId="0" applyFont="1" applyFill="1" applyBorder="1"/>
    <xf numFmtId="0" fontId="20" fillId="9" borderId="7" xfId="0" applyFont="1" applyFill="1" applyBorder="1"/>
    <xf numFmtId="0" fontId="20" fillId="9" borderId="8" xfId="0" applyFont="1" applyFill="1" applyBorder="1"/>
    <xf numFmtId="0" fontId="7" fillId="8" borderId="0" xfId="0" applyFont="1" applyFill="1"/>
    <xf numFmtId="0" fontId="6" fillId="0" borderId="0" xfId="0" applyFont="1" applyFill="1"/>
    <xf numFmtId="0" fontId="14" fillId="6" borderId="0" xfId="0" applyFont="1" applyFill="1"/>
    <xf numFmtId="0" fontId="21" fillId="6" borderId="0" xfId="0" applyFont="1" applyFill="1"/>
    <xf numFmtId="0" fontId="21" fillId="0" borderId="0" xfId="0" applyFont="1"/>
    <xf numFmtId="0" fontId="4" fillId="0" borderId="0" xfId="2" applyFont="1" applyFill="1" applyBorder="1" applyAlignment="1" applyProtection="1">
      <alignment horizontal="left" vertical="center"/>
    </xf>
    <xf numFmtId="0" fontId="6" fillId="5" borderId="0" xfId="0" applyFont="1" applyFill="1"/>
    <xf numFmtId="0" fontId="7" fillId="6" borderId="0" xfId="0" quotePrefix="1" applyFont="1" applyFill="1"/>
    <xf numFmtId="0" fontId="13" fillId="6" borderId="0" xfId="0" applyFont="1" applyFill="1"/>
    <xf numFmtId="0" fontId="22" fillId="6" borderId="0" xfId="0" applyFont="1" applyFill="1"/>
    <xf numFmtId="0" fontId="0" fillId="0" borderId="0" xfId="0" applyAlignment="1">
      <alignment vertical="top" wrapText="1"/>
    </xf>
    <xf numFmtId="0" fontId="1" fillId="0" borderId="0" xfId="0" applyFont="1" applyAlignment="1">
      <alignment vertical="top" wrapText="1"/>
    </xf>
    <xf numFmtId="0" fontId="23" fillId="6" borderId="0" xfId="0" applyFont="1" applyFill="1"/>
    <xf numFmtId="0" fontId="24" fillId="6" borderId="0" xfId="0" applyFont="1" applyFill="1"/>
    <xf numFmtId="0" fontId="10" fillId="0" borderId="0" xfId="2" applyAlignment="1" applyProtection="1">
      <alignment vertical="top" wrapText="1"/>
    </xf>
    <xf numFmtId="1" fontId="6" fillId="6" borderId="0" xfId="0" applyNumberFormat="1" applyFont="1" applyFill="1"/>
    <xf numFmtId="0" fontId="6" fillId="6" borderId="0" xfId="0" quotePrefix="1" applyFont="1" applyFill="1"/>
    <xf numFmtId="0" fontId="23" fillId="0" borderId="0" xfId="0" applyFont="1" applyFill="1"/>
    <xf numFmtId="0" fontId="22" fillId="0" borderId="0" xfId="0" applyFont="1" applyFill="1"/>
    <xf numFmtId="1" fontId="6" fillId="0" borderId="0" xfId="0" applyNumberFormat="1" applyFont="1" applyFill="1"/>
    <xf numFmtId="0" fontId="29" fillId="6" borderId="0" xfId="0" applyFont="1" applyFill="1"/>
    <xf numFmtId="0" fontId="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30" fillId="0" borderId="0" xfId="2" applyFont="1" applyAlignment="1" applyProtection="1">
      <alignment vertical="top" wrapText="1"/>
    </xf>
    <xf numFmtId="0" fontId="7" fillId="6" borderId="0" xfId="0" applyFont="1" applyFill="1"/>
    <xf numFmtId="0" fontId="6" fillId="6" borderId="0" xfId="0" applyFont="1" applyFill="1" applyBorder="1"/>
    <xf numFmtId="0" fontId="31" fillId="7" borderId="0" xfId="0" applyFont="1" applyFill="1" applyBorder="1"/>
    <xf numFmtId="1" fontId="6" fillId="5" borderId="0" xfId="0" applyNumberFormat="1" applyFont="1" applyFill="1"/>
    <xf numFmtId="1" fontId="6" fillId="9" borderId="0" xfId="0" applyNumberFormat="1" applyFont="1" applyFill="1"/>
    <xf numFmtId="0" fontId="34" fillId="3" borderId="1" xfId="0" applyFont="1" applyFill="1" applyBorder="1"/>
    <xf numFmtId="0" fontId="34" fillId="3" borderId="0" xfId="0" applyFont="1" applyFill="1" applyBorder="1"/>
    <xf numFmtId="0" fontId="6" fillId="0" borderId="0" xfId="3" applyFont="1"/>
    <xf numFmtId="0" fontId="12" fillId="0" borderId="0" xfId="3" applyFont="1" applyFill="1" applyBorder="1"/>
    <xf numFmtId="0" fontId="35" fillId="0" borderId="0" xfId="0" applyFont="1" applyFill="1"/>
    <xf numFmtId="0" fontId="14" fillId="0" borderId="0" xfId="3" applyFont="1"/>
    <xf numFmtId="0" fontId="14" fillId="10" borderId="9" xfId="3" applyFont="1" applyFill="1" applyBorder="1" applyAlignment="1">
      <alignment horizontal="left"/>
    </xf>
    <xf numFmtId="0" fontId="6" fillId="6" borderId="5" xfId="3" applyFont="1" applyFill="1" applyBorder="1"/>
    <xf numFmtId="0" fontId="6" fillId="6" borderId="3" xfId="3" applyFont="1" applyFill="1" applyBorder="1"/>
    <xf numFmtId="2" fontId="6" fillId="5" borderId="10" xfId="1" applyNumberFormat="1" applyFont="1" applyFill="1" applyBorder="1"/>
    <xf numFmtId="0" fontId="6" fillId="6" borderId="0" xfId="3" applyFont="1" applyFill="1" applyBorder="1"/>
    <xf numFmtId="2" fontId="6" fillId="5" borderId="10" xfId="3" applyNumberFormat="1" applyFont="1" applyFill="1" applyBorder="1"/>
    <xf numFmtId="0" fontId="24" fillId="0" borderId="0" xfId="3" applyFont="1"/>
    <xf numFmtId="1" fontId="6" fillId="5" borderId="10" xfId="4" applyNumberFormat="1" applyFont="1" applyFill="1" applyBorder="1"/>
    <xf numFmtId="10" fontId="6" fillId="5" borderId="10" xfId="3" applyNumberFormat="1" applyFont="1" applyFill="1" applyBorder="1"/>
    <xf numFmtId="10" fontId="6" fillId="5" borderId="10" xfId="4" applyNumberFormat="1" applyFont="1" applyFill="1" applyBorder="1"/>
    <xf numFmtId="0" fontId="6" fillId="6" borderId="1" xfId="3" applyFont="1" applyFill="1" applyBorder="1"/>
    <xf numFmtId="0" fontId="6" fillId="6" borderId="7" xfId="3" applyFont="1" applyFill="1" applyBorder="1"/>
    <xf numFmtId="10" fontId="6" fillId="5" borderId="11" xfId="4" applyNumberFormat="1" applyFont="1" applyFill="1" applyBorder="1"/>
    <xf numFmtId="0" fontId="6" fillId="0" borderId="0" xfId="3" applyFont="1" applyFill="1" applyBorder="1"/>
    <xf numFmtId="176" fontId="6" fillId="0" borderId="0" xfId="3" applyNumberFormat="1" applyFont="1"/>
    <xf numFmtId="0" fontId="14" fillId="11" borderId="9" xfId="3" applyFont="1" applyFill="1" applyBorder="1" applyAlignment="1">
      <alignment horizontal="left"/>
    </xf>
    <xf numFmtId="0" fontId="6" fillId="0" borderId="1" xfId="3" applyFont="1" applyBorder="1"/>
    <xf numFmtId="0" fontId="6" fillId="0" borderId="7" xfId="3" applyFont="1" applyBorder="1"/>
    <xf numFmtId="0" fontId="6" fillId="12" borderId="5" xfId="3" applyFont="1" applyFill="1" applyBorder="1"/>
    <xf numFmtId="0" fontId="6" fillId="12" borderId="0" xfId="3" applyFont="1" applyFill="1" applyBorder="1"/>
    <xf numFmtId="177" fontId="12" fillId="9" borderId="10" xfId="1" applyNumberFormat="1" applyFont="1" applyFill="1" applyBorder="1"/>
    <xf numFmtId="0" fontId="12" fillId="0" borderId="0" xfId="3" applyFont="1"/>
    <xf numFmtId="177" fontId="12" fillId="9" borderId="10" xfId="3" applyNumberFormat="1" applyFont="1" applyFill="1" applyBorder="1"/>
    <xf numFmtId="0" fontId="6" fillId="12" borderId="1" xfId="3" applyFont="1" applyFill="1" applyBorder="1"/>
    <xf numFmtId="0" fontId="6" fillId="12" borderId="7" xfId="3" applyFont="1" applyFill="1" applyBorder="1"/>
    <xf numFmtId="178" fontId="6" fillId="0" borderId="0" xfId="3" applyNumberFormat="1" applyFont="1"/>
    <xf numFmtId="0" fontId="6" fillId="6" borderId="0" xfId="3" applyFont="1" applyFill="1" applyAlignment="1">
      <alignment horizontal="right"/>
    </xf>
    <xf numFmtId="0" fontId="6" fillId="6" borderId="0" xfId="3" applyFont="1" applyFill="1"/>
    <xf numFmtId="177" fontId="6" fillId="12" borderId="0" xfId="3" applyNumberFormat="1" applyFont="1" applyFill="1"/>
    <xf numFmtId="9" fontId="6" fillId="5" borderId="0" xfId="3" applyNumberFormat="1" applyFont="1" applyFill="1"/>
    <xf numFmtId="0" fontId="6" fillId="9" borderId="0" xfId="3" applyFont="1" applyFill="1"/>
    <xf numFmtId="177" fontId="6" fillId="9" borderId="0" xfId="3" applyNumberFormat="1" applyFont="1" applyFill="1"/>
    <xf numFmtId="177" fontId="12" fillId="0" borderId="10" xfId="3" applyNumberFormat="1" applyFont="1" applyFill="1" applyBorder="1"/>
    <xf numFmtId="0" fontId="6" fillId="13" borderId="0" xfId="3" applyFont="1" applyFill="1"/>
    <xf numFmtId="0" fontId="38" fillId="0" borderId="0" xfId="0" applyFont="1"/>
    <xf numFmtId="0" fontId="1" fillId="7" borderId="0" xfId="0" applyFont="1" applyFill="1"/>
    <xf numFmtId="0" fontId="0" fillId="9" borderId="0" xfId="0" applyFill="1"/>
    <xf numFmtId="0" fontId="1" fillId="7" borderId="12" xfId="0" applyFont="1" applyFill="1" applyBorder="1" applyAlignment="1">
      <alignment horizontal="right"/>
    </xf>
    <xf numFmtId="2" fontId="0" fillId="5" borderId="12" xfId="0" applyNumberFormat="1" applyFill="1" applyBorder="1"/>
    <xf numFmtId="0" fontId="0" fillId="9" borderId="12" xfId="0" applyFill="1" applyBorder="1"/>
    <xf numFmtId="2" fontId="0" fillId="5" borderId="13" xfId="0" applyNumberFormat="1" applyFill="1" applyBorder="1"/>
    <xf numFmtId="0" fontId="0" fillId="9" borderId="13" xfId="0" applyFill="1" applyBorder="1"/>
    <xf numFmtId="2" fontId="0" fillId="0" borderId="0" xfId="0" applyNumberFormat="1" applyFill="1" applyBorder="1"/>
    <xf numFmtId="0" fontId="1" fillId="7" borderId="0" xfId="0" applyFont="1" applyFill="1" applyAlignment="1">
      <alignment wrapText="1"/>
    </xf>
    <xf numFmtId="0" fontId="0" fillId="7" borderId="0" xfId="0" applyFill="1"/>
    <xf numFmtId="0" fontId="39" fillId="0" borderId="0" xfId="0" applyFont="1"/>
    <xf numFmtId="0" fontId="40" fillId="0" borderId="0" xfId="3" applyFont="1" applyFill="1" applyBorder="1"/>
    <xf numFmtId="14" fontId="6" fillId="0" borderId="0" xfId="0" applyNumberFormat="1" applyFont="1"/>
    <xf numFmtId="0" fontId="46" fillId="0" borderId="0" xfId="0" applyFont="1"/>
    <xf numFmtId="0" fontId="0" fillId="0" borderId="0" xfId="0" applyAlignment="1">
      <alignment horizontal="right"/>
    </xf>
    <xf numFmtId="0" fontId="0" fillId="0" borderId="0" xfId="0" applyFill="1"/>
    <xf numFmtId="0" fontId="46" fillId="0" borderId="14" xfId="0" applyFont="1" applyBorder="1" applyAlignment="1">
      <alignment horizontal="center"/>
    </xf>
    <xf numFmtId="0" fontId="49" fillId="14" borderId="15" xfId="0" applyFont="1" applyFill="1" applyBorder="1"/>
    <xf numFmtId="0" fontId="50" fillId="14" borderId="15" xfId="0" applyFont="1" applyFill="1" applyBorder="1"/>
    <xf numFmtId="0" fontId="51" fillId="0" borderId="0" xfId="0" applyFont="1" applyAlignment="1">
      <alignment horizontal="right"/>
    </xf>
    <xf numFmtId="0" fontId="52" fillId="15" borderId="0" xfId="0" applyFont="1" applyFill="1"/>
    <xf numFmtId="0" fontId="0" fillId="13" borderId="0" xfId="0" applyFill="1"/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4" fillId="0" borderId="0" xfId="0" applyFont="1" applyAlignment="1">
      <alignment horizontal="center"/>
    </xf>
  </cellXfs>
  <cellStyles count="5">
    <cellStyle name="Comma" xfId="1" builtinId="3"/>
    <cellStyle name="Hyperlink" xfId="2" builtinId="8"/>
    <cellStyle name="Normal" xfId="0" builtinId="0"/>
    <cellStyle name="Normal_spreadmod_module3_VBA1_ans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Using NORMALINV</a:t>
            </a:r>
          </a:p>
        </c:rich>
      </c:tx>
      <c:layout>
        <c:manualLayout>
          <c:xMode val="edge"/>
          <c:yMode val="edge"/>
          <c:x val="0.34455958549222798"/>
          <c:y val="3.55871886120996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39896373056994"/>
          <c:y val="0.20996441281138825"/>
          <c:w val="0.85233160621761661"/>
          <c:h val="0.59786476868327398"/>
        </c:manualLayout>
      </c:layout>
      <c:lineChart>
        <c:grouping val="standard"/>
        <c:varyColors val="0"/>
        <c:ser>
          <c:idx val="0"/>
          <c:order val="0"/>
          <c:tx>
            <c:v>NORMALINV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'Box Muller'!$F$36:$F$48</c:f>
              <c:numCache>
                <c:formatCode>0.00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cat>
          <c:val>
            <c:numRef>
              <c:f>'Box Muller'!$G$36:$G$48</c:f>
              <c:numCache>
                <c:formatCode>General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15</c:v>
                </c:pt>
                <c:pt idx="3">
                  <c:v>42</c:v>
                </c:pt>
                <c:pt idx="4">
                  <c:v>86</c:v>
                </c:pt>
                <c:pt idx="5">
                  <c:v>146</c:v>
                </c:pt>
                <c:pt idx="6">
                  <c:v>194</c:v>
                </c:pt>
                <c:pt idx="7">
                  <c:v>186</c:v>
                </c:pt>
                <c:pt idx="8">
                  <c:v>163</c:v>
                </c:pt>
                <c:pt idx="9">
                  <c:v>84</c:v>
                </c:pt>
                <c:pt idx="10">
                  <c:v>55</c:v>
                </c:pt>
                <c:pt idx="11">
                  <c:v>20</c:v>
                </c:pt>
                <c:pt idx="12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rgbClr val="FF00FF"/>
              </a:solidFill>
              <a:prstDash val="solid"/>
            </a:ln>
          </c:spPr>
        </c:dropLines>
        <c:marker val="1"/>
        <c:smooth val="0"/>
        <c:axId val="189309440"/>
        <c:axId val="62925632"/>
      </c:lineChart>
      <c:catAx>
        <c:axId val="1893094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2925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925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9309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Box Muller</a:t>
            </a:r>
          </a:p>
        </c:rich>
      </c:tx>
      <c:layout>
        <c:manualLayout>
          <c:xMode val="edge"/>
          <c:yMode val="edge"/>
          <c:x val="0.41666772630749088"/>
          <c:y val="3.55871886120996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97945144513816"/>
          <c:y val="0.20640569395017794"/>
          <c:w val="0.85156466564093436"/>
          <c:h val="0.60142348754448482"/>
        </c:manualLayout>
      </c:layout>
      <c:lineChart>
        <c:grouping val="standard"/>
        <c:varyColors val="0"/>
        <c:ser>
          <c:idx val="1"/>
          <c:order val="0"/>
          <c:tx>
            <c:v>BOXMULLER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'Box Muller'!$F$62:$F$74</c:f>
              <c:numCache>
                <c:formatCode>0.00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cat>
          <c:val>
            <c:numRef>
              <c:f>'Box Muller'!$G$62:$G$74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13</c:v>
                </c:pt>
                <c:pt idx="3">
                  <c:v>35</c:v>
                </c:pt>
                <c:pt idx="4">
                  <c:v>84</c:v>
                </c:pt>
                <c:pt idx="5">
                  <c:v>142</c:v>
                </c:pt>
                <c:pt idx="6">
                  <c:v>210</c:v>
                </c:pt>
                <c:pt idx="7">
                  <c:v>189</c:v>
                </c:pt>
                <c:pt idx="8">
                  <c:v>153</c:v>
                </c:pt>
                <c:pt idx="9">
                  <c:v>98</c:v>
                </c:pt>
                <c:pt idx="10">
                  <c:v>43</c:v>
                </c:pt>
                <c:pt idx="11">
                  <c:v>16</c:v>
                </c:pt>
                <c:pt idx="12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rgbClr val="FF00FF"/>
              </a:solidFill>
              <a:prstDash val="solid"/>
            </a:ln>
          </c:spPr>
        </c:dropLines>
        <c:marker val="1"/>
        <c:smooth val="0"/>
        <c:axId val="189310464"/>
        <c:axId val="62927360"/>
      </c:lineChart>
      <c:catAx>
        <c:axId val="1893104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2927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927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9310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41573033707883E-2"/>
          <c:y val="9.9236826165960315E-2"/>
          <c:w val="0.86797752808988882"/>
          <c:h val="0.7290089922191690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[4]Solver!$I$14:$I$54</c:f>
              <c:numCache>
                <c:formatCode>General</c:formatCode>
                <c:ptCount val="41"/>
                <c:pt idx="0">
                  <c:v>-1</c:v>
                </c:pt>
                <c:pt idx="1">
                  <c:v>-0.85</c:v>
                </c:pt>
                <c:pt idx="2">
                  <c:v>-0.7</c:v>
                </c:pt>
                <c:pt idx="3">
                  <c:v>-0.55000000000000004</c:v>
                </c:pt>
                <c:pt idx="4">
                  <c:v>-0.4</c:v>
                </c:pt>
                <c:pt idx="5">
                  <c:v>-0.25</c:v>
                </c:pt>
                <c:pt idx="6">
                  <c:v>-9.9999999999999922E-2</c:v>
                </c:pt>
                <c:pt idx="7">
                  <c:v>5.0000000000000072E-2</c:v>
                </c:pt>
                <c:pt idx="8">
                  <c:v>0.2</c:v>
                </c:pt>
                <c:pt idx="9">
                  <c:v>0.35</c:v>
                </c:pt>
                <c:pt idx="10">
                  <c:v>0.5</c:v>
                </c:pt>
                <c:pt idx="11">
                  <c:v>0.65</c:v>
                </c:pt>
                <c:pt idx="12">
                  <c:v>0.8</c:v>
                </c:pt>
                <c:pt idx="13">
                  <c:v>0.95</c:v>
                </c:pt>
                <c:pt idx="14">
                  <c:v>1.1000000000000001</c:v>
                </c:pt>
                <c:pt idx="15">
                  <c:v>1.25</c:v>
                </c:pt>
                <c:pt idx="16">
                  <c:v>1.4</c:v>
                </c:pt>
                <c:pt idx="17">
                  <c:v>1.55</c:v>
                </c:pt>
                <c:pt idx="18">
                  <c:v>1.7</c:v>
                </c:pt>
                <c:pt idx="19">
                  <c:v>1.85</c:v>
                </c:pt>
                <c:pt idx="20">
                  <c:v>2</c:v>
                </c:pt>
                <c:pt idx="21">
                  <c:v>2.15</c:v>
                </c:pt>
                <c:pt idx="22">
                  <c:v>2.2999999999999998</c:v>
                </c:pt>
                <c:pt idx="23">
                  <c:v>2.4500000000000002</c:v>
                </c:pt>
                <c:pt idx="24">
                  <c:v>2.6</c:v>
                </c:pt>
                <c:pt idx="25">
                  <c:v>2.75</c:v>
                </c:pt>
                <c:pt idx="26">
                  <c:v>2.9</c:v>
                </c:pt>
                <c:pt idx="27">
                  <c:v>3.05</c:v>
                </c:pt>
                <c:pt idx="28">
                  <c:v>3.2</c:v>
                </c:pt>
                <c:pt idx="29">
                  <c:v>3.35</c:v>
                </c:pt>
                <c:pt idx="30">
                  <c:v>3.5</c:v>
                </c:pt>
                <c:pt idx="31">
                  <c:v>3.65</c:v>
                </c:pt>
                <c:pt idx="32">
                  <c:v>3.8</c:v>
                </c:pt>
                <c:pt idx="33">
                  <c:v>3.95</c:v>
                </c:pt>
                <c:pt idx="34">
                  <c:v>4.0999999999999996</c:v>
                </c:pt>
                <c:pt idx="35">
                  <c:v>4.25</c:v>
                </c:pt>
                <c:pt idx="36">
                  <c:v>4.4000000000000004</c:v>
                </c:pt>
                <c:pt idx="37">
                  <c:v>4.55</c:v>
                </c:pt>
                <c:pt idx="38">
                  <c:v>4.7</c:v>
                </c:pt>
                <c:pt idx="39">
                  <c:v>4.8499999999999996</c:v>
                </c:pt>
                <c:pt idx="40">
                  <c:v>5</c:v>
                </c:pt>
              </c:numCache>
            </c:numRef>
          </c:xVal>
          <c:yVal>
            <c:numRef>
              <c:f>[4]Solver!$J$14:$J$54</c:f>
              <c:numCache>
                <c:formatCode>General</c:formatCode>
                <c:ptCount val="41"/>
                <c:pt idx="0">
                  <c:v>4</c:v>
                </c:pt>
                <c:pt idx="1">
                  <c:v>3.5724999999999998</c:v>
                </c:pt>
                <c:pt idx="2">
                  <c:v>3.19</c:v>
                </c:pt>
                <c:pt idx="3">
                  <c:v>2.8525</c:v>
                </c:pt>
                <c:pt idx="4">
                  <c:v>2.56</c:v>
                </c:pt>
                <c:pt idx="5">
                  <c:v>2.3125</c:v>
                </c:pt>
                <c:pt idx="6">
                  <c:v>2.11</c:v>
                </c:pt>
                <c:pt idx="7">
                  <c:v>1.9524999999999999</c:v>
                </c:pt>
                <c:pt idx="8">
                  <c:v>1.84</c:v>
                </c:pt>
                <c:pt idx="9">
                  <c:v>1.7725</c:v>
                </c:pt>
                <c:pt idx="10">
                  <c:v>1.75</c:v>
                </c:pt>
                <c:pt idx="11">
                  <c:v>1.7725</c:v>
                </c:pt>
                <c:pt idx="12">
                  <c:v>1.84</c:v>
                </c:pt>
                <c:pt idx="13">
                  <c:v>1.9524999999999999</c:v>
                </c:pt>
                <c:pt idx="14">
                  <c:v>2.11</c:v>
                </c:pt>
                <c:pt idx="15">
                  <c:v>2.3125</c:v>
                </c:pt>
                <c:pt idx="16">
                  <c:v>2.56</c:v>
                </c:pt>
                <c:pt idx="17">
                  <c:v>2.8525</c:v>
                </c:pt>
                <c:pt idx="18">
                  <c:v>3.19</c:v>
                </c:pt>
                <c:pt idx="19">
                  <c:v>3.5724999999999998</c:v>
                </c:pt>
                <c:pt idx="20">
                  <c:v>4</c:v>
                </c:pt>
                <c:pt idx="21">
                  <c:v>4.4725000000000001</c:v>
                </c:pt>
                <c:pt idx="22">
                  <c:v>4.99</c:v>
                </c:pt>
                <c:pt idx="23">
                  <c:v>5.5525000000000002</c:v>
                </c:pt>
                <c:pt idx="24">
                  <c:v>6.16</c:v>
                </c:pt>
                <c:pt idx="25">
                  <c:v>6.8125</c:v>
                </c:pt>
                <c:pt idx="26">
                  <c:v>7.51</c:v>
                </c:pt>
                <c:pt idx="27">
                  <c:v>8.2524999999999942</c:v>
                </c:pt>
                <c:pt idx="28">
                  <c:v>9.0399999999999938</c:v>
                </c:pt>
                <c:pt idx="29">
                  <c:v>9.8724999999999916</c:v>
                </c:pt>
                <c:pt idx="30">
                  <c:v>10.75</c:v>
                </c:pt>
                <c:pt idx="31">
                  <c:v>11.672499999999999</c:v>
                </c:pt>
                <c:pt idx="32">
                  <c:v>12.64</c:v>
                </c:pt>
                <c:pt idx="33">
                  <c:v>13.6525</c:v>
                </c:pt>
                <c:pt idx="34">
                  <c:v>14.71</c:v>
                </c:pt>
                <c:pt idx="35">
                  <c:v>15.8125</c:v>
                </c:pt>
                <c:pt idx="36">
                  <c:v>16.96</c:v>
                </c:pt>
                <c:pt idx="37">
                  <c:v>18.1525</c:v>
                </c:pt>
                <c:pt idx="38">
                  <c:v>19.39</c:v>
                </c:pt>
                <c:pt idx="39">
                  <c:v>20.672499999999999</c:v>
                </c:pt>
                <c:pt idx="40">
                  <c:v>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29664"/>
        <c:axId val="62930240"/>
      </c:scatterChart>
      <c:valAx>
        <c:axId val="6292966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CN"/>
          </a:p>
        </c:txPr>
        <c:crossAx val="62930240"/>
        <c:crosses val="autoZero"/>
        <c:crossBetween val="midCat"/>
      </c:valAx>
      <c:valAx>
        <c:axId val="629302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CN"/>
          </a:p>
        </c:txPr>
        <c:crossAx val="629296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CN"/>
    </a:p>
  </c:txPr>
  <c:printSettings>
    <c:headerFooter alignWithMargins="0"/>
    <c:pageMargins b="1" l="0.75000000000000111" r="0.750000000000001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9</xdr:col>
          <xdr:colOff>76200</xdr:colOff>
          <xdr:row>4</xdr:row>
          <xdr:rowOff>19050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showFontSize</a:t>
              </a:r>
            </a:p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showFontSize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190500</xdr:rowOff>
        </xdr:from>
        <xdr:to>
          <xdr:col>9</xdr:col>
          <xdr:colOff>57150</xdr:colOff>
          <xdr:row>8</xdr:row>
          <xdr:rowOff>171450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190500</xdr:rowOff>
        </xdr:from>
        <xdr:to>
          <xdr:col>12</xdr:col>
          <xdr:colOff>19050</xdr:colOff>
          <xdr:row>8</xdr:row>
          <xdr:rowOff>171450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addBackContents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180975</xdr:rowOff>
        </xdr:from>
        <xdr:to>
          <xdr:col>12</xdr:col>
          <xdr:colOff>66675</xdr:colOff>
          <xdr:row>13</xdr:row>
          <xdr:rowOff>9525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openWorkbook</a:t>
              </a:r>
            </a:p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12</xdr:col>
          <xdr:colOff>76200</xdr:colOff>
          <xdr:row>15</xdr:row>
          <xdr:rowOff>19050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gotoMacroRecoder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9</xdr:col>
          <xdr:colOff>9525</xdr:colOff>
          <xdr:row>19</xdr:row>
          <xdr:rowOff>19050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listWorksheets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listYellowCells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</xdr:row>
          <xdr:rowOff>161925</xdr:rowOff>
        </xdr:from>
        <xdr:to>
          <xdr:col>12</xdr:col>
          <xdr:colOff>38100</xdr:colOff>
          <xdr:row>5</xdr:row>
          <xdr:rowOff>180975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addValue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28575</xdr:rowOff>
        </xdr:from>
        <xdr:to>
          <xdr:col>14</xdr:col>
          <xdr:colOff>600075</xdr:colOff>
          <xdr:row>1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34</xdr:row>
      <xdr:rowOff>0</xdr:rowOff>
    </xdr:from>
    <xdr:to>
      <xdr:col>14</xdr:col>
      <xdr:colOff>28575</xdr:colOff>
      <xdr:row>50</xdr:row>
      <xdr:rowOff>85725</xdr:rowOff>
    </xdr:to>
    <xdr:graphicFrame macro="">
      <xdr:nvGraphicFramePr>
        <xdr:cNvPr id="3790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0</xdr:colOff>
      <xdr:row>70</xdr:row>
      <xdr:rowOff>85725</xdr:rowOff>
    </xdr:to>
    <xdr:graphicFrame macro="">
      <xdr:nvGraphicFramePr>
        <xdr:cNvPr id="37905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9525</xdr:rowOff>
        </xdr:from>
        <xdr:to>
          <xdr:col>12</xdr:col>
          <xdr:colOff>600075</xdr:colOff>
          <xdr:row>0</xdr:row>
          <xdr:rowOff>333375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9525</xdr:rowOff>
        </xdr:from>
        <xdr:to>
          <xdr:col>10</xdr:col>
          <xdr:colOff>571500</xdr:colOff>
          <xdr:row>20</xdr:row>
          <xdr:rowOff>142875</xdr:rowOff>
        </xdr:to>
        <xdr:sp macro="" textlink="">
          <xdr:nvSpPr>
            <xdr:cNvPr id="37904" name="Object 16" hidden="1">
              <a:extLst>
                <a:ext uri="{63B3BB69-23CF-44E3-9099-C40C66FF867C}">
                  <a14:compatExt spid="_x0000_s3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49</xdr:row>
          <xdr:rowOff>66675</xdr:rowOff>
        </xdr:from>
        <xdr:to>
          <xdr:col>7</xdr:col>
          <xdr:colOff>0</xdr:colOff>
          <xdr:row>52</xdr:row>
          <xdr:rowOff>57150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Normal Variates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142875</xdr:rowOff>
        </xdr:from>
        <xdr:to>
          <xdr:col>12</xdr:col>
          <xdr:colOff>19050</xdr:colOff>
          <xdr:row>15</xdr:row>
          <xdr:rowOff>200025</xdr:rowOff>
        </xdr:to>
        <xdr:sp macro="" textlink="">
          <xdr:nvSpPr>
            <xdr:cNvPr id="35841" name="Object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19050</xdr:rowOff>
        </xdr:from>
        <xdr:to>
          <xdr:col>13</xdr:col>
          <xdr:colOff>0</xdr:colOff>
          <xdr:row>0</xdr:row>
          <xdr:rowOff>342900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6</xdr:row>
      <xdr:rowOff>28575</xdr:rowOff>
    </xdr:from>
    <xdr:to>
      <xdr:col>7</xdr:col>
      <xdr:colOff>9525</xdr:colOff>
      <xdr:row>19</xdr:row>
      <xdr:rowOff>19050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971550</xdr:colOff>
      <xdr:row>22</xdr:row>
      <xdr:rowOff>0</xdr:rowOff>
    </xdr:from>
    <xdr:to>
      <xdr:col>5</xdr:col>
      <xdr:colOff>276225</xdr:colOff>
      <xdr:row>34</xdr:row>
      <xdr:rowOff>133350</xdr:rowOff>
    </xdr:to>
    <xdr:pic>
      <xdr:nvPicPr>
        <xdr:cNvPr id="3" name="Picture 5" descr="Solver Parameter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14375" y="3590925"/>
          <a:ext cx="3657600" cy="207645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3</xdr:row>
          <xdr:rowOff>9525</xdr:rowOff>
        </xdr:from>
        <xdr:to>
          <xdr:col>5</xdr:col>
          <xdr:colOff>619125</xdr:colOff>
          <xdr:row>5</xdr:row>
          <xdr:rowOff>57150</xdr:rowOff>
        </xdr:to>
        <xdr:sp macro="" textlink="">
          <xdr:nvSpPr>
            <xdr:cNvPr id="39937" name="Object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38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intro_a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OtherSpreadSheets/AdvancedModelinginFinance/AMFExcel_an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vba_intro_2007_an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intro_20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.m"/>
      <sheetName val="Table of Contents"/>
      <sheetName val="Very Basics"/>
      <sheetName val="Navigating"/>
      <sheetName val="Copy &amp; Paste"/>
      <sheetName val="Formatting cells"/>
      <sheetName val="Formula"/>
      <sheetName val="Build-In Functions"/>
      <sheetName val="Build-In Functions (Time Value)"/>
      <sheetName val="Build-In Functions (Stat)"/>
      <sheetName val="Rand"/>
      <sheetName val="Security (Price Model)"/>
      <sheetName val="Data Table"/>
      <sheetName val="Pivot Table"/>
      <sheetName val="Misc"/>
      <sheetName val="Normal Variates"/>
      <sheetName val="Monte Carlo"/>
      <sheetName val="BS"/>
      <sheetName val="Security (Covar)"/>
      <sheetName val="Regression"/>
      <sheetName val="Customizing views"/>
      <sheetName val="Other Goodies"/>
      <sheetName val="Function Keys"/>
      <sheetName val="excel_intro_ans"/>
    </sheetNames>
    <definedNames>
      <definedName name="Go_Contents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E6">
            <v>100</v>
          </cell>
        </row>
        <row r="7">
          <cell r="E7">
            <v>0.1</v>
          </cell>
        </row>
        <row r="8">
          <cell r="E8">
            <v>0.03</v>
          </cell>
        </row>
        <row r="9">
          <cell r="E9">
            <v>0.3</v>
          </cell>
        </row>
        <row r="13">
          <cell r="E13">
            <v>1</v>
          </cell>
        </row>
        <row r="14">
          <cell r="E14">
            <v>100</v>
          </cell>
        </row>
        <row r="19">
          <cell r="E19">
            <v>2.7378507871321013E-3</v>
          </cell>
        </row>
        <row r="20">
          <cell r="E20">
            <v>9.5310179804324935E-2</v>
          </cell>
        </row>
        <row r="21">
          <cell r="E21">
            <v>2.9558802241544429E-2</v>
          </cell>
        </row>
      </sheetData>
      <sheetData sheetId="17">
        <row r="19">
          <cell r="E19">
            <v>0.99931553730321698</v>
          </cell>
        </row>
        <row r="20">
          <cell r="E20">
            <v>1.980262729617973E-2</v>
          </cell>
        </row>
        <row r="21">
          <cell r="E21">
            <v>0</v>
          </cell>
        </row>
        <row r="22">
          <cell r="E22">
            <v>1.0970204390145586</v>
          </cell>
        </row>
        <row r="23">
          <cell r="E23">
            <v>0.84710601149695597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ency"/>
      <sheetName val="SNorm"/>
      <sheetName val="Lookup"/>
      <sheetName val="Bonds"/>
      <sheetName val="CompoundDTab"/>
      <sheetName val="BSDTab"/>
      <sheetName val="Beta"/>
      <sheetName val="MatDef"/>
      <sheetName val="MatExs"/>
    </sheetNames>
    <sheetDataSet>
      <sheetData sheetId="0"/>
      <sheetData sheetId="1"/>
      <sheetData sheetId="2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3"/>
      <sheetData sheetId="4"/>
      <sheetData sheetId="5"/>
      <sheetData sheetId="6"/>
      <sheetData sheetId="7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.m"/>
      <sheetName val="Table of Contents"/>
      <sheetName val="Macro Recorder"/>
      <sheetName val="Object"/>
      <sheetName val="Basics"/>
      <sheetName val="Variables"/>
      <sheetName val="Constants"/>
      <sheetName val="Operators"/>
      <sheetName val="Statements"/>
      <sheetName val="Array"/>
      <sheetName val="Sub &amp; Function"/>
      <sheetName val="Built-In Function"/>
      <sheetName val="Box Muller"/>
      <sheetName val="BS"/>
      <sheetName val="Solver"/>
      <sheetName val="vba_intro_2007_ans"/>
    </sheetNames>
    <definedNames>
      <definedName name="Invoke_Solver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.m"/>
      <sheetName val="Table of Contents"/>
      <sheetName val="Very Basics"/>
      <sheetName val="Navigating"/>
      <sheetName val="Copy &amp; Paste"/>
      <sheetName val="Formatting cells"/>
      <sheetName val="Formula"/>
      <sheetName val="Build-In Functions"/>
      <sheetName val="Build-In Functions (Time Value)"/>
      <sheetName val="Build-In Functions (Stat)"/>
      <sheetName val="Rand"/>
      <sheetName val="Security (Price Model)"/>
      <sheetName val="Data Table"/>
      <sheetName val="Pivot Table"/>
      <sheetName val="Solver"/>
      <sheetName val="Misc"/>
      <sheetName val="Normal Variates"/>
      <sheetName val="Monte Carlo"/>
      <sheetName val="B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4">
          <cell r="I14">
            <v>-1</v>
          </cell>
          <cell r="J14">
            <v>4</v>
          </cell>
        </row>
        <row r="15">
          <cell r="I15">
            <v>-0.85</v>
          </cell>
          <cell r="J15">
            <v>3.5724999999999998</v>
          </cell>
        </row>
        <row r="16">
          <cell r="I16">
            <v>-0.7</v>
          </cell>
          <cell r="J16">
            <v>3.19</v>
          </cell>
        </row>
        <row r="17">
          <cell r="I17">
            <v>-0.55000000000000004</v>
          </cell>
          <cell r="J17">
            <v>2.8525</v>
          </cell>
        </row>
        <row r="18">
          <cell r="I18">
            <v>-0.4</v>
          </cell>
          <cell r="J18">
            <v>2.56</v>
          </cell>
        </row>
        <row r="19">
          <cell r="I19">
            <v>-0.25</v>
          </cell>
          <cell r="J19">
            <v>2.3125</v>
          </cell>
        </row>
        <row r="20">
          <cell r="I20">
            <v>-9.9999999999999922E-2</v>
          </cell>
          <cell r="J20">
            <v>2.11</v>
          </cell>
        </row>
        <row r="21">
          <cell r="I21">
            <v>5.0000000000000072E-2</v>
          </cell>
          <cell r="J21">
            <v>1.9524999999999999</v>
          </cell>
        </row>
        <row r="22">
          <cell r="I22">
            <v>0.2</v>
          </cell>
          <cell r="J22">
            <v>1.84</v>
          </cell>
        </row>
        <row r="23">
          <cell r="I23">
            <v>0.35</v>
          </cell>
          <cell r="J23">
            <v>1.7725</v>
          </cell>
        </row>
        <row r="24">
          <cell r="I24">
            <v>0.5</v>
          </cell>
          <cell r="J24">
            <v>1.75</v>
          </cell>
        </row>
        <row r="25">
          <cell r="I25">
            <v>0.65</v>
          </cell>
          <cell r="J25">
            <v>1.7725</v>
          </cell>
        </row>
        <row r="26">
          <cell r="I26">
            <v>0.8</v>
          </cell>
          <cell r="J26">
            <v>1.84</v>
          </cell>
        </row>
        <row r="27">
          <cell r="I27">
            <v>0.95</v>
          </cell>
          <cell r="J27">
            <v>1.9524999999999999</v>
          </cell>
        </row>
        <row r="28">
          <cell r="I28">
            <v>1.1000000000000001</v>
          </cell>
          <cell r="J28">
            <v>2.11</v>
          </cell>
        </row>
        <row r="29">
          <cell r="I29">
            <v>1.25</v>
          </cell>
          <cell r="J29">
            <v>2.3125</v>
          </cell>
        </row>
        <row r="30">
          <cell r="I30">
            <v>1.4</v>
          </cell>
          <cell r="J30">
            <v>2.56</v>
          </cell>
        </row>
        <row r="31">
          <cell r="I31">
            <v>1.55</v>
          </cell>
          <cell r="J31">
            <v>2.8525</v>
          </cell>
        </row>
        <row r="32">
          <cell r="I32">
            <v>1.7</v>
          </cell>
          <cell r="J32">
            <v>3.19</v>
          </cell>
        </row>
        <row r="33">
          <cell r="I33">
            <v>1.85</v>
          </cell>
          <cell r="J33">
            <v>3.5724999999999998</v>
          </cell>
        </row>
        <row r="34">
          <cell r="I34">
            <v>2</v>
          </cell>
          <cell r="J34">
            <v>4</v>
          </cell>
        </row>
        <row r="35">
          <cell r="I35">
            <v>2.15</v>
          </cell>
          <cell r="J35">
            <v>4.4725000000000001</v>
          </cell>
        </row>
        <row r="36">
          <cell r="I36">
            <v>2.2999999999999998</v>
          </cell>
          <cell r="J36">
            <v>4.99</v>
          </cell>
        </row>
        <row r="37">
          <cell r="I37">
            <v>2.4500000000000002</v>
          </cell>
          <cell r="J37">
            <v>5.5525000000000002</v>
          </cell>
        </row>
        <row r="38">
          <cell r="I38">
            <v>2.6</v>
          </cell>
          <cell r="J38">
            <v>6.16</v>
          </cell>
        </row>
        <row r="39">
          <cell r="I39">
            <v>2.75</v>
          </cell>
          <cell r="J39">
            <v>6.8125</v>
          </cell>
        </row>
        <row r="40">
          <cell r="I40">
            <v>2.9</v>
          </cell>
          <cell r="J40">
            <v>7.51</v>
          </cell>
        </row>
        <row r="41">
          <cell r="I41">
            <v>3.05</v>
          </cell>
          <cell r="J41">
            <v>8.2524999999999942</v>
          </cell>
        </row>
        <row r="42">
          <cell r="I42">
            <v>3.2</v>
          </cell>
          <cell r="J42">
            <v>9.0399999999999938</v>
          </cell>
        </row>
        <row r="43">
          <cell r="I43">
            <v>3.35</v>
          </cell>
          <cell r="J43">
            <v>9.8724999999999916</v>
          </cell>
        </row>
        <row r="44">
          <cell r="I44">
            <v>3.5</v>
          </cell>
          <cell r="J44">
            <v>10.75</v>
          </cell>
        </row>
        <row r="45">
          <cell r="I45">
            <v>3.65</v>
          </cell>
          <cell r="J45">
            <v>11.672499999999999</v>
          </cell>
        </row>
        <row r="46">
          <cell r="I46">
            <v>3.8</v>
          </cell>
          <cell r="J46">
            <v>12.64</v>
          </cell>
        </row>
        <row r="47">
          <cell r="I47">
            <v>3.95</v>
          </cell>
          <cell r="J47">
            <v>13.6525</v>
          </cell>
        </row>
        <row r="48">
          <cell r="I48">
            <v>4.0999999999999996</v>
          </cell>
          <cell r="J48">
            <v>14.71</v>
          </cell>
        </row>
        <row r="49">
          <cell r="I49">
            <v>4.25</v>
          </cell>
          <cell r="J49">
            <v>15.8125</v>
          </cell>
        </row>
        <row r="50">
          <cell r="I50">
            <v>4.4000000000000004</v>
          </cell>
          <cell r="J50">
            <v>16.96</v>
          </cell>
        </row>
        <row r="51">
          <cell r="I51">
            <v>4.55</v>
          </cell>
          <cell r="J51">
            <v>18.1525</v>
          </cell>
        </row>
        <row r="52">
          <cell r="I52">
            <v>4.7</v>
          </cell>
          <cell r="J52">
            <v>19.39</v>
          </cell>
        </row>
        <row r="53">
          <cell r="I53">
            <v>4.8499999999999996</v>
          </cell>
          <cell r="J53">
            <v>20.672499999999999</v>
          </cell>
        </row>
        <row r="54">
          <cell r="I54">
            <v>5</v>
          </cell>
          <cell r="J54">
            <v>22</v>
          </cell>
        </row>
      </sheetData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1.doc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1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2"/>
  <sheetViews>
    <sheetView showGridLines="0" tabSelected="1" workbookViewId="0">
      <selection activeCell="B2" sqref="B2"/>
    </sheetView>
  </sheetViews>
  <sheetFormatPr defaultRowHeight="12.75"/>
  <cols>
    <col min="1" max="1" width="3.7109375" customWidth="1"/>
    <col min="2" max="2" width="64.85546875" customWidth="1"/>
    <col min="3" max="3" width="3.42578125" customWidth="1"/>
  </cols>
  <sheetData>
    <row r="1" spans="1:12" ht="21" customHeight="1">
      <c r="A1" s="12"/>
      <c r="B1" s="12"/>
      <c r="C1" s="12"/>
    </row>
    <row r="2" spans="1:12" ht="42" customHeight="1">
      <c r="A2" s="9"/>
      <c r="B2" s="5" t="s">
        <v>434</v>
      </c>
      <c r="C2" s="9"/>
    </row>
    <row r="3" spans="1:12" ht="39" customHeight="1">
      <c r="A3" s="9"/>
      <c r="B3" s="13" t="s">
        <v>4</v>
      </c>
      <c r="C3" s="9"/>
    </row>
    <row r="4" spans="1:12" ht="31.5" customHeight="1">
      <c r="A4" s="9"/>
      <c r="B4" s="6" t="s">
        <v>5</v>
      </c>
      <c r="C4" s="9"/>
    </row>
    <row r="5" spans="1:12" ht="31.5" customHeight="1">
      <c r="A5" s="9"/>
      <c r="B5" s="6" t="s">
        <v>15</v>
      </c>
      <c r="C5" s="9"/>
    </row>
    <row r="6" spans="1:12" ht="31.5" customHeight="1">
      <c r="A6" s="9"/>
      <c r="B6" s="6" t="s">
        <v>40</v>
      </c>
      <c r="C6" s="9"/>
    </row>
    <row r="7" spans="1:12" ht="31.5" customHeight="1">
      <c r="A7" s="9"/>
      <c r="B7" s="6" t="s">
        <v>58</v>
      </c>
      <c r="C7" s="9"/>
    </row>
    <row r="8" spans="1:12" ht="31.5" customHeight="1">
      <c r="A8" s="9"/>
      <c r="B8" s="6" t="s">
        <v>82</v>
      </c>
      <c r="C8" s="9"/>
    </row>
    <row r="9" spans="1:12" ht="31.5" customHeight="1">
      <c r="A9" s="9"/>
      <c r="B9" s="6" t="s">
        <v>198</v>
      </c>
      <c r="C9" s="9"/>
      <c r="D9" s="4"/>
      <c r="E9" s="4"/>
      <c r="F9" s="4"/>
      <c r="G9" s="4"/>
      <c r="H9" s="1"/>
      <c r="I9" s="1"/>
      <c r="J9" s="1"/>
      <c r="K9" s="1"/>
      <c r="L9" s="1"/>
    </row>
    <row r="10" spans="1:12" ht="31.5" customHeight="1">
      <c r="A10" s="9"/>
      <c r="B10" s="6" t="s">
        <v>258</v>
      </c>
      <c r="C10" s="9"/>
      <c r="D10" s="4"/>
      <c r="E10" s="4"/>
      <c r="F10" s="4"/>
      <c r="G10" s="4"/>
      <c r="H10" s="1"/>
      <c r="I10" s="1"/>
      <c r="J10" s="1"/>
      <c r="K10" s="1"/>
      <c r="L10" s="1"/>
    </row>
    <row r="11" spans="1:12" ht="31.5" customHeight="1">
      <c r="A11" s="9"/>
      <c r="B11" s="6" t="s">
        <v>197</v>
      </c>
      <c r="C11" s="9"/>
      <c r="D11" s="4"/>
      <c r="E11" s="32"/>
      <c r="F11" s="4"/>
      <c r="G11" s="4"/>
      <c r="H11" s="1"/>
      <c r="I11" s="1"/>
      <c r="J11" s="1"/>
      <c r="K11" s="1"/>
      <c r="L11" s="1"/>
    </row>
    <row r="12" spans="1:12" ht="31.5" customHeight="1">
      <c r="A12" s="9"/>
      <c r="B12" s="6" t="s">
        <v>359</v>
      </c>
      <c r="C12" s="9"/>
      <c r="D12" s="4"/>
      <c r="E12" s="4"/>
      <c r="F12" s="4"/>
      <c r="G12" s="4"/>
      <c r="H12" s="1"/>
      <c r="I12" s="1"/>
      <c r="J12" s="1"/>
      <c r="K12" s="1"/>
      <c r="L12" s="1"/>
    </row>
    <row r="13" spans="1:12" ht="31.5" customHeight="1">
      <c r="A13" s="9"/>
      <c r="B13" s="6" t="s">
        <v>412</v>
      </c>
      <c r="C13" s="9"/>
      <c r="D13" s="4"/>
      <c r="E13" s="4"/>
      <c r="F13" s="4"/>
      <c r="G13" s="4"/>
      <c r="H13" s="1"/>
      <c r="I13" s="1"/>
      <c r="J13" s="1"/>
      <c r="K13" s="1"/>
      <c r="L13" s="1"/>
    </row>
    <row r="14" spans="1:12" ht="31.5" customHeight="1">
      <c r="A14" s="9"/>
      <c r="B14" s="7"/>
      <c r="C14" s="9"/>
    </row>
    <row r="15" spans="1:12" ht="19.5" customHeight="1">
      <c r="A15" s="9"/>
      <c r="B15" s="9"/>
      <c r="C15" s="9"/>
    </row>
    <row r="16" spans="1:12" ht="31.5" customHeight="1">
      <c r="B16" s="2"/>
    </row>
    <row r="17" spans="2:2" ht="31.5" customHeight="1">
      <c r="B17" s="2"/>
    </row>
    <row r="18" spans="2:2" ht="31.5" customHeight="1">
      <c r="B18" s="2"/>
    </row>
    <row r="19" spans="2:2" ht="31.5" customHeight="1">
      <c r="B19" s="2"/>
    </row>
    <row r="20" spans="2:2" ht="31.5" customHeight="1">
      <c r="B20" s="2"/>
    </row>
    <row r="21" spans="2:2" ht="31.5" customHeight="1">
      <c r="B21" s="2"/>
    </row>
    <row r="22" spans="2:2" ht="31.5" customHeight="1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</sheetData>
  <phoneticPr fontId="9" type="noConversion"/>
  <hyperlinks>
    <hyperlink ref="B4" location="'Macro Recorder'!A1" display="Macro Recorder"/>
    <hyperlink ref="B5" location="Object!A1" display="Object"/>
    <hyperlink ref="B6" location="Basics!A1" display="Basics"/>
    <hyperlink ref="B7" location="Variables!A1" display="Variables"/>
    <hyperlink ref="B8" location="Constants!A1" display="Constants"/>
    <hyperlink ref="B9" location="Operators!A1" display="Operators"/>
    <hyperlink ref="B10" location="Statements!A1" display="Statements"/>
    <hyperlink ref="B11" location="Array!A1" display="Array"/>
    <hyperlink ref="B12" location="'Sub &amp; Function'!A1" display="Sub &amp; Function"/>
    <hyperlink ref="B13" location="'Built-In Function'!A1" display="Built-In Function"/>
  </hyperlinks>
  <pageMargins left="0.75" right="0.75" top="1" bottom="1" header="0.5" footer="0.5"/>
  <pageSetup paperSize="9" orientation="portrait" horizontalDpi="4294967295" verticalDpi="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9"/>
  <sheetViews>
    <sheetView workbookViewId="0"/>
  </sheetViews>
  <sheetFormatPr defaultRowHeight="15"/>
  <cols>
    <col min="1" max="2" width="9.140625" style="3"/>
    <col min="3" max="4" width="10.42578125" style="3" bestFit="1" customWidth="1"/>
    <col min="5" max="16384" width="9.140625" style="3"/>
  </cols>
  <sheetData>
    <row r="1" spans="1:15" s="15" customFormat="1" ht="27.75">
      <c r="A1" s="8" t="s">
        <v>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29" t="s">
        <v>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444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445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446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11" t="s">
        <v>447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9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/>
      <c r="B12" s="16" t="s">
        <v>8</v>
      </c>
      <c r="C12" s="16"/>
      <c r="D12" s="11"/>
      <c r="E12" s="17"/>
      <c r="F12" s="17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 t="s">
        <v>448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11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10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 t="s">
        <v>11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</row>
    <row r="20" spans="1:15" ht="18">
      <c r="A20" s="29" t="s">
        <v>12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449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 t="s">
        <v>13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 t="s">
        <v>450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14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 t="s">
        <v>443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/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0"/>
      <c r="O28" s="11"/>
    </row>
    <row r="29" spans="1:15">
      <c r="A29" s="11"/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3"/>
      <c r="O29" s="11"/>
    </row>
    <row r="30" spans="1:15">
      <c r="A30" s="11"/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3"/>
      <c r="O30" s="11"/>
    </row>
    <row r="31" spans="1:15">
      <c r="A31" s="11"/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3"/>
      <c r="O31" s="11"/>
    </row>
    <row r="32" spans="1:15">
      <c r="A32" s="11"/>
      <c r="B32" s="24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6"/>
      <c r="O32" s="11"/>
    </row>
    <row r="33" spans="1:1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5" spans="1:15" ht="18">
      <c r="A35" s="29" t="s">
        <v>35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1" t="s">
        <v>36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 ht="15.75">
      <c r="A39" s="11"/>
      <c r="B39" s="11"/>
      <c r="C39" s="34" t="s">
        <v>332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/>
      <c r="B40" s="33"/>
      <c r="C40" s="11" t="str">
        <f>cellf(B40)</f>
        <v/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/>
      <c r="B41" s="33"/>
      <c r="C41" s="11" t="str">
        <f>cellf(B41)</f>
        <v/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1"/>
      <c r="B42" s="33"/>
      <c r="C42" s="11" t="str">
        <f>cellf(B42)</f>
        <v/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1"/>
      <c r="B43" s="33"/>
      <c r="C43" s="11" t="str">
        <f>cellf(B43)</f>
        <v/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/>
      <c r="B44" s="33"/>
      <c r="C44" s="11" t="str">
        <f>cellf(B44)</f>
        <v/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11" t="s">
        <v>37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50" spans="1:15" ht="18">
      <c r="A50" s="29" t="s">
        <v>42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 t="s">
        <v>435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 ht="15.75">
      <c r="A53" s="11" t="s">
        <v>451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1:15">
      <c r="A54" s="11" t="s">
        <v>452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1:15">
      <c r="A55" s="11" t="s">
        <v>453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</row>
    <row r="56" spans="1:15">
      <c r="A56" s="11" t="s">
        <v>43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1:1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1:15">
      <c r="A58" s="11" t="s">
        <v>454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</row>
    <row r="59" spans="1:1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O36"/>
  <sheetViews>
    <sheetView workbookViewId="0"/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16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s="31" customFormat="1" ht="18">
      <c r="A3" s="30" t="s">
        <v>15</v>
      </c>
      <c r="B3" s="30"/>
      <c r="C3" s="30"/>
      <c r="D3" s="30"/>
      <c r="E3" s="30"/>
      <c r="F3" s="30" t="s">
        <v>17</v>
      </c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25</v>
      </c>
      <c r="B4" s="11"/>
      <c r="C4" s="11"/>
      <c r="D4" s="11"/>
      <c r="E4" s="11"/>
      <c r="F4" s="11" t="s">
        <v>18</v>
      </c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33</v>
      </c>
      <c r="B6" s="11"/>
      <c r="C6" s="11"/>
      <c r="D6" s="11"/>
      <c r="E6" s="11"/>
      <c r="F6" s="11" t="s">
        <v>34</v>
      </c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</row>
    <row r="8" spans="1:15" s="31" customFormat="1" ht="18">
      <c r="A8" s="30" t="s">
        <v>15</v>
      </c>
      <c r="B8" s="30"/>
      <c r="C8" s="30"/>
      <c r="D8" s="30"/>
      <c r="E8" s="30"/>
      <c r="F8" s="30" t="s">
        <v>19</v>
      </c>
      <c r="G8" s="30"/>
      <c r="H8" s="30"/>
      <c r="I8" s="30"/>
      <c r="J8" s="30"/>
      <c r="K8" s="30"/>
      <c r="L8" s="30"/>
      <c r="M8" s="30"/>
      <c r="N8" s="30"/>
      <c r="O8" s="30"/>
    </row>
    <row r="9" spans="1:15">
      <c r="A9" s="11" t="s">
        <v>33</v>
      </c>
      <c r="B9" s="11"/>
      <c r="C9" s="11"/>
      <c r="D9" s="11"/>
      <c r="E9" s="11"/>
      <c r="F9" s="11" t="s">
        <v>20</v>
      </c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 ht="15.75">
      <c r="A11" s="11"/>
      <c r="B11" s="27"/>
      <c r="C11" s="17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22</v>
      </c>
      <c r="B13" s="11"/>
      <c r="C13" s="11"/>
      <c r="D13" s="11"/>
      <c r="E13" s="11" t="s">
        <v>21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23</v>
      </c>
      <c r="B15" s="11"/>
      <c r="C15" s="11"/>
      <c r="D15" s="11"/>
      <c r="E15" s="11" t="s">
        <v>24</v>
      </c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</row>
    <row r="18" spans="1:15" s="31" customFormat="1" ht="18">
      <c r="A18" s="30" t="s">
        <v>26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>
      <c r="A19" s="11" t="s">
        <v>27</v>
      </c>
      <c r="B19" s="11"/>
      <c r="C19" s="10" t="s">
        <v>29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28</v>
      </c>
      <c r="B21" s="11"/>
      <c r="C21" s="10" t="s">
        <v>31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/>
      <c r="B23" s="16"/>
      <c r="C23" s="16"/>
      <c r="D23" s="1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/>
      <c r="B24" s="16"/>
      <c r="C24" s="16"/>
      <c r="D24" s="16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/>
      <c r="B25" s="16"/>
      <c r="C25" s="16"/>
      <c r="D25" s="16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</row>
    <row r="28" spans="1:15" ht="18">
      <c r="A28" s="30" t="s">
        <v>30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0" t="s">
        <v>32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2" spans="1:15" ht="18">
      <c r="A32" s="30" t="s">
        <v>38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39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 t="s">
        <v>455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5" name="Button 80">
              <controlPr defaultSize="0" print="0" autoFill="0" autoPict="0" macro="[0]!Sheet20.showFontSize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6" name="Button 81">
              <controlPr defaultSize="0" print="0" autoFill="0" autoPict="0" macro="[0]!Sheet20.clearCell">
                <anchor moveWithCells="1">
                  <from>
                    <xdr:col>7</xdr:col>
                    <xdr:colOff>0</xdr:colOff>
                    <xdr:row>7</xdr:row>
                    <xdr:rowOff>190500</xdr:rowOff>
                  </from>
                  <to>
                    <xdr:col>9</xdr:col>
                    <xdr:colOff>57150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7" name="Button 82">
              <controlPr defaultSize="0" print="0" autoFill="0" autoPict="0" macro="[0]!Sheet20.addBackContents">
                <anchor moveWithCells="1">
                  <from>
                    <xdr:col>10</xdr:col>
                    <xdr:colOff>0</xdr:colOff>
                    <xdr:row>7</xdr:row>
                    <xdr:rowOff>190500</xdr:rowOff>
                  </from>
                  <to>
                    <xdr:col>12</xdr:col>
                    <xdr:colOff>19050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" name="Button 84">
              <controlPr defaultSize="0" print="0" autoFill="0" autoPict="0" macro="[0]!Sheet20.openExcelIntro">
                <anchor moveWithCells="1">
                  <from>
                    <xdr:col>10</xdr:col>
                    <xdr:colOff>0</xdr:colOff>
                    <xdr:row>11</xdr:row>
                    <xdr:rowOff>180975</xdr:rowOff>
                  </from>
                  <to>
                    <xdr:col>12</xdr:col>
                    <xdr:colOff>66675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9" name="Button 85">
              <controlPr defaultSize="0" print="0" autoFill="0" autoPict="0" macro="[0]!Sheet20.gotoMacroRecord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12</xdr:col>
                    <xdr:colOff>76200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10" name="Button 86">
              <controlPr defaultSize="0" print="0" autoFill="0" autoPict="0" macro="[0]!Sheet20.showWorksheets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9</xdr:col>
                    <xdr:colOff>9525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11" name="Button 87">
              <controlPr defaultSize="0" print="0" autoFill="0" autoPict="0" macro="[0]!Sheet20.cellsInRange">
                <anchor moveWithCells="1">
                  <from>
                    <xdr:col>7</xdr:col>
                    <xdr:colOff>9525</xdr:colOff>
                    <xdr:row>20</xdr:row>
                    <xdr:rowOff>0</xdr:rowOff>
                  </from>
                  <to>
                    <xdr:col>9</xdr:col>
                    <xdr:colOff>19050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12" name="Button 88">
              <controlPr defaultSize="0" print="0" autoFill="0" autoPict="0" macro="[0]!Sheet20.addBackContents">
                <anchor moveWithCells="1">
                  <from>
                    <xdr:col>10</xdr:col>
                    <xdr:colOff>19050</xdr:colOff>
                    <xdr:row>4</xdr:row>
                    <xdr:rowOff>161925</xdr:rowOff>
                  </from>
                  <to>
                    <xdr:col>12</xdr:col>
                    <xdr:colOff>38100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34"/>
  <sheetViews>
    <sheetView topLeftCell="A16" workbookViewId="0">
      <selection activeCell="A14" sqref="A14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40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s="31" customFormat="1" ht="18">
      <c r="A3" s="30" t="s">
        <v>41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456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</row>
    <row r="7" spans="1:15" s="31" customFormat="1" ht="18">
      <c r="A7" s="30" t="s">
        <v>48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ht="15.75">
      <c r="A8" s="11" t="s">
        <v>44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45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46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 ht="15.75">
      <c r="A12" s="11" t="s">
        <v>47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457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6" spans="1:15" ht="18">
      <c r="A16" s="30" t="s">
        <v>49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5">
      <c r="A17" s="11" t="s">
        <v>257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51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50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57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 s="28" customFormat="1"/>
    <row r="23" spans="1:15" ht="18">
      <c r="A23" s="30" t="s">
        <v>55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0" t="s">
        <v>52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53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8" spans="1:15" ht="18">
      <c r="A28" s="30" t="s">
        <v>54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</row>
    <row r="29" spans="1:15">
      <c r="A29" s="11" t="s">
        <v>56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2" spans="1:15" ht="18">
      <c r="A32" s="30" t="s">
        <v>72</v>
      </c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spans="1:15">
      <c r="A33" s="11" t="s">
        <v>73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O48"/>
  <sheetViews>
    <sheetView workbookViewId="0">
      <selection sqref="A1:A1048576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58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s="31" customFormat="1" ht="18">
      <c r="A3" s="30" t="s">
        <v>58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59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</row>
    <row r="7" spans="1:15" s="31" customFormat="1" ht="18">
      <c r="A7" s="30" t="s">
        <v>60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>
      <c r="A8" s="11" t="s">
        <v>63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61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64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 t="s">
        <v>62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35" t="s">
        <v>65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5" spans="1:15" ht="18">
      <c r="A15" s="30" t="s">
        <v>66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spans="1:15">
      <c r="A16" s="11" t="s">
        <v>67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 t="s">
        <v>68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74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69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70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75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76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 t="s">
        <v>77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 t="s">
        <v>78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71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 t="s">
        <v>80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35" t="s">
        <v>79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36" t="s">
        <v>81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 ht="18">
      <c r="A29" s="3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 s="28" customFormat="1"/>
    <row r="31" spans="1:15" ht="18">
      <c r="A31" s="30" t="s">
        <v>347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ht="18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spans="1:15">
      <c r="A33" s="10" t="s">
        <v>351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356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 t="s">
        <v>355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0" t="s">
        <v>348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 t="s">
        <v>354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>
      <c r="A39" s="35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0" t="s">
        <v>350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 t="s">
        <v>357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0" t="s">
        <v>349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 t="s">
        <v>353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 t="s">
        <v>352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35" t="s">
        <v>358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O88"/>
  <sheetViews>
    <sheetView topLeftCell="A34" workbookViewId="0">
      <selection activeCell="C16" sqref="C16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82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83</v>
      </c>
      <c r="B3" s="30"/>
      <c r="C3" s="1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84</v>
      </c>
      <c r="B4" s="11"/>
      <c r="C4" s="11"/>
      <c r="D4" s="11">
        <v>1</v>
      </c>
      <c r="E4" s="11"/>
      <c r="F4" s="11" t="s">
        <v>85</v>
      </c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86</v>
      </c>
      <c r="B5" s="11"/>
      <c r="C5" s="11"/>
      <c r="D5" s="11">
        <v>2</v>
      </c>
      <c r="E5" s="11"/>
      <c r="F5" s="11" t="s">
        <v>87</v>
      </c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88</v>
      </c>
      <c r="B6" s="11"/>
      <c r="C6" s="11"/>
      <c r="D6" s="11">
        <v>3</v>
      </c>
      <c r="E6" s="11"/>
      <c r="F6" s="11" t="s">
        <v>89</v>
      </c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90</v>
      </c>
      <c r="B7" s="11"/>
      <c r="C7" s="11"/>
      <c r="D7" s="11">
        <v>4</v>
      </c>
      <c r="E7" s="11"/>
      <c r="F7" s="11" t="s">
        <v>91</v>
      </c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11" t="s">
        <v>92</v>
      </c>
      <c r="B8" s="11"/>
      <c r="C8" s="11"/>
      <c r="D8" s="11">
        <v>5</v>
      </c>
      <c r="E8" s="11"/>
      <c r="F8" s="11" t="s">
        <v>93</v>
      </c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94</v>
      </c>
      <c r="B9" s="11"/>
      <c r="C9" s="11"/>
      <c r="D9" s="11">
        <v>6</v>
      </c>
      <c r="E9" s="11"/>
      <c r="F9" s="11" t="s">
        <v>95</v>
      </c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96</v>
      </c>
      <c r="B10" s="11"/>
      <c r="C10" s="11"/>
      <c r="D10" s="11">
        <v>7</v>
      </c>
      <c r="E10" s="11"/>
      <c r="F10" s="11" t="s">
        <v>97</v>
      </c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 s="28" customFormat="1"/>
    <row r="13" spans="1:15" ht="18">
      <c r="A13" s="30" t="s">
        <v>98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 t="s">
        <v>99</v>
      </c>
      <c r="B14" s="11"/>
      <c r="C14" s="11"/>
      <c r="D14" s="11" t="s">
        <v>100</v>
      </c>
      <c r="E14" s="11"/>
      <c r="F14" s="11" t="s">
        <v>101</v>
      </c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102</v>
      </c>
      <c r="B15" s="11"/>
      <c r="C15" s="11"/>
      <c r="D15" s="11" t="s">
        <v>103</v>
      </c>
      <c r="E15" s="11"/>
      <c r="F15" s="11" t="s">
        <v>104</v>
      </c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105</v>
      </c>
      <c r="B16" s="11"/>
      <c r="C16" s="11"/>
      <c r="D16" s="11" t="s">
        <v>106</v>
      </c>
      <c r="E16" s="11"/>
      <c r="F16" s="11" t="s">
        <v>107</v>
      </c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 t="s">
        <v>108</v>
      </c>
      <c r="B17" s="11"/>
      <c r="C17" s="11"/>
      <c r="D17" s="11" t="s">
        <v>109</v>
      </c>
      <c r="E17" s="11"/>
      <c r="F17" s="11" t="s">
        <v>110</v>
      </c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111</v>
      </c>
      <c r="B18" s="11"/>
      <c r="C18" s="11"/>
      <c r="D18" s="11" t="s">
        <v>112</v>
      </c>
      <c r="E18" s="11"/>
      <c r="F18" s="11" t="s">
        <v>113</v>
      </c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114</v>
      </c>
      <c r="B19" s="11"/>
      <c r="C19" s="11"/>
      <c r="D19" s="11" t="s">
        <v>115</v>
      </c>
      <c r="E19" s="11"/>
      <c r="F19" s="11" t="s">
        <v>116</v>
      </c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117</v>
      </c>
      <c r="B20" s="11"/>
      <c r="C20" s="11"/>
      <c r="D20" s="11" t="s">
        <v>118</v>
      </c>
      <c r="E20" s="11"/>
      <c r="F20" s="11" t="s">
        <v>119</v>
      </c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120</v>
      </c>
      <c r="B21" s="11"/>
      <c r="C21" s="11"/>
      <c r="D21" s="11" t="s">
        <v>121</v>
      </c>
      <c r="E21" s="11"/>
      <c r="F21" s="11" t="s">
        <v>122</v>
      </c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 s="28" customFormat="1"/>
    <row r="24" spans="1:15" ht="18">
      <c r="A24" s="30" t="s">
        <v>123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39" t="s">
        <v>136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 t="s">
        <v>124</v>
      </c>
      <c r="B26" s="11"/>
      <c r="C26" s="11"/>
      <c r="D26" s="11">
        <v>0</v>
      </c>
      <c r="E26" s="11"/>
      <c r="F26" s="11" t="s">
        <v>125</v>
      </c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 t="s">
        <v>126</v>
      </c>
      <c r="B27" s="11"/>
      <c r="C27" s="11"/>
      <c r="D27" s="11">
        <v>1</v>
      </c>
      <c r="E27" s="11"/>
      <c r="F27" s="11" t="s">
        <v>127</v>
      </c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 t="s">
        <v>128</v>
      </c>
      <c r="B28" s="11"/>
      <c r="C28" s="11"/>
      <c r="D28" s="11">
        <v>2</v>
      </c>
      <c r="E28" s="11"/>
      <c r="F28" s="11" t="s">
        <v>129</v>
      </c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 t="s">
        <v>130</v>
      </c>
      <c r="B29" s="11"/>
      <c r="C29" s="11"/>
      <c r="D29" s="11">
        <v>3</v>
      </c>
      <c r="E29" s="11"/>
      <c r="F29" s="11" t="s">
        <v>131</v>
      </c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 t="s">
        <v>133</v>
      </c>
      <c r="B30" s="11"/>
      <c r="C30" s="11"/>
      <c r="D30" s="11">
        <v>4</v>
      </c>
      <c r="E30" s="11"/>
      <c r="F30" s="11" t="s">
        <v>134</v>
      </c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 t="s">
        <v>132</v>
      </c>
      <c r="B31" s="11"/>
      <c r="C31" s="11"/>
      <c r="D31" s="11">
        <v>5</v>
      </c>
      <c r="E31" s="11"/>
      <c r="F31" s="11" t="s">
        <v>135</v>
      </c>
      <c r="G31" s="11"/>
      <c r="H31" s="11"/>
      <c r="I31" s="11"/>
      <c r="J31" s="11"/>
      <c r="K31" s="11"/>
      <c r="L31" s="11"/>
      <c r="M31" s="11"/>
      <c r="N31" s="11"/>
      <c r="O31" s="11"/>
    </row>
    <row r="32" spans="1:15">
      <c r="A32" s="11" t="s">
        <v>152</v>
      </c>
      <c r="B32" s="11"/>
      <c r="C32" s="11"/>
      <c r="D32" s="11">
        <v>16</v>
      </c>
      <c r="E32" s="11"/>
      <c r="F32" s="11" t="s">
        <v>153</v>
      </c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 t="s">
        <v>154</v>
      </c>
      <c r="B33" s="11"/>
      <c r="C33" s="11"/>
      <c r="D33" s="11">
        <v>32</v>
      </c>
      <c r="E33" s="11"/>
      <c r="F33" s="11" t="s">
        <v>155</v>
      </c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156</v>
      </c>
      <c r="B34" s="11"/>
      <c r="C34" s="11"/>
      <c r="D34" s="11">
        <v>48</v>
      </c>
      <c r="E34" s="11"/>
      <c r="F34" s="11" t="s">
        <v>157</v>
      </c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 t="s">
        <v>158</v>
      </c>
      <c r="B35" s="11"/>
      <c r="C35" s="11"/>
      <c r="D35" s="11">
        <v>64</v>
      </c>
      <c r="E35" s="11"/>
      <c r="F35" s="11" t="s">
        <v>159</v>
      </c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 t="s">
        <v>160</v>
      </c>
      <c r="B36" s="11"/>
      <c r="C36" s="11"/>
      <c r="D36" s="11">
        <v>65536</v>
      </c>
      <c r="E36" s="11"/>
      <c r="F36" s="11" t="s">
        <v>161</v>
      </c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>
      <c r="A39" s="39" t="s">
        <v>137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 t="s">
        <v>138</v>
      </c>
      <c r="B40" s="11"/>
      <c r="C40" s="11"/>
      <c r="D40" s="11">
        <v>1</v>
      </c>
      <c r="E40" s="11"/>
      <c r="F40" s="11" t="s">
        <v>139</v>
      </c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 t="s">
        <v>140</v>
      </c>
      <c r="B41" s="11"/>
      <c r="C41" s="11"/>
      <c r="D41" s="11">
        <v>2</v>
      </c>
      <c r="E41" s="11"/>
      <c r="F41" s="11" t="s">
        <v>141</v>
      </c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1" t="s">
        <v>142</v>
      </c>
      <c r="B42" s="11"/>
      <c r="C42" s="11"/>
      <c r="D42" s="11">
        <v>3</v>
      </c>
      <c r="E42" s="11"/>
      <c r="F42" s="11" t="s">
        <v>143</v>
      </c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1" t="s">
        <v>144</v>
      </c>
      <c r="B43" s="11"/>
      <c r="C43" s="11"/>
      <c r="D43" s="11">
        <v>4</v>
      </c>
      <c r="E43" s="11"/>
      <c r="F43" s="11" t="s">
        <v>145</v>
      </c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 t="s">
        <v>146</v>
      </c>
      <c r="B44" s="11"/>
      <c r="C44" s="11"/>
      <c r="D44" s="11">
        <v>5</v>
      </c>
      <c r="E44" s="11"/>
      <c r="F44" s="11" t="s">
        <v>147</v>
      </c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 t="s">
        <v>148</v>
      </c>
      <c r="B45" s="11"/>
      <c r="C45" s="11"/>
      <c r="D45" s="11">
        <v>6</v>
      </c>
      <c r="E45" s="11"/>
      <c r="F45" s="11" t="s">
        <v>149</v>
      </c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 t="s">
        <v>150</v>
      </c>
      <c r="B46" s="11"/>
      <c r="C46" s="11"/>
      <c r="D46" s="11">
        <v>7</v>
      </c>
      <c r="E46" s="11"/>
      <c r="F46" s="11" t="s">
        <v>151</v>
      </c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9" spans="1:15" ht="18">
      <c r="A49" s="30" t="s">
        <v>162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>
      <c r="A50" s="11" t="s">
        <v>163</v>
      </c>
      <c r="B50" s="11"/>
      <c r="C50" s="11"/>
      <c r="D50" s="42">
        <v>0</v>
      </c>
      <c r="E50" s="11"/>
      <c r="F50" s="11" t="s">
        <v>164</v>
      </c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11" t="s">
        <v>165</v>
      </c>
      <c r="B51" s="11"/>
      <c r="C51" s="11"/>
      <c r="D51" s="42">
        <v>1</v>
      </c>
      <c r="E51" s="11"/>
      <c r="F51" s="11" t="s">
        <v>166</v>
      </c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 t="s">
        <v>167</v>
      </c>
      <c r="B52" s="11"/>
      <c r="C52" s="11"/>
      <c r="D52" s="42">
        <v>2</v>
      </c>
      <c r="E52" s="11"/>
      <c r="F52" s="11" t="s">
        <v>168</v>
      </c>
      <c r="G52" s="11"/>
      <c r="H52" s="11"/>
      <c r="I52" s="11"/>
      <c r="J52" s="11"/>
      <c r="K52" s="11"/>
      <c r="L52" s="11"/>
      <c r="M52" s="11"/>
      <c r="N52" s="11"/>
      <c r="O52" s="11"/>
    </row>
    <row r="53" spans="1:15">
      <c r="A53" s="11" t="s">
        <v>169</v>
      </c>
      <c r="B53" s="11"/>
      <c r="C53" s="11"/>
      <c r="D53" s="42">
        <v>3</v>
      </c>
      <c r="E53" s="11"/>
      <c r="F53" s="11" t="s">
        <v>170</v>
      </c>
      <c r="G53" s="11"/>
      <c r="H53" s="11"/>
      <c r="I53" s="11"/>
      <c r="J53" s="11"/>
      <c r="K53" s="11"/>
      <c r="L53" s="11"/>
      <c r="M53" s="11"/>
      <c r="N53" s="11"/>
      <c r="O53" s="11"/>
    </row>
    <row r="54" spans="1:15">
      <c r="A54" s="11" t="s">
        <v>171</v>
      </c>
      <c r="B54" s="11"/>
      <c r="C54" s="11"/>
      <c r="D54" s="42">
        <v>4</v>
      </c>
      <c r="E54" s="11"/>
      <c r="F54" s="11" t="s">
        <v>172</v>
      </c>
      <c r="G54" s="11"/>
      <c r="H54" s="11"/>
      <c r="I54" s="11"/>
      <c r="J54" s="11"/>
      <c r="K54" s="11"/>
      <c r="L54" s="11"/>
      <c r="M54" s="11"/>
      <c r="N54" s="11"/>
      <c r="O54" s="11"/>
    </row>
    <row r="55" spans="1:15">
      <c r="A55" s="11" t="s">
        <v>173</v>
      </c>
      <c r="B55" s="11"/>
      <c r="C55" s="11"/>
      <c r="D55" s="42">
        <v>5</v>
      </c>
      <c r="E55" s="11"/>
      <c r="F55" s="11" t="s">
        <v>174</v>
      </c>
      <c r="G55" s="11"/>
      <c r="H55" s="11"/>
      <c r="I55" s="11"/>
      <c r="J55" s="11"/>
      <c r="K55" s="11"/>
      <c r="L55" s="11"/>
      <c r="M55" s="11"/>
      <c r="N55" s="11"/>
      <c r="O55" s="11"/>
    </row>
    <row r="56" spans="1:15">
      <c r="A56" s="11" t="s">
        <v>175</v>
      </c>
      <c r="B56" s="11"/>
      <c r="C56" s="11"/>
      <c r="D56" s="42">
        <v>6</v>
      </c>
      <c r="E56" s="11"/>
      <c r="F56" s="11" t="s">
        <v>176</v>
      </c>
      <c r="G56" s="11"/>
      <c r="H56" s="11"/>
      <c r="I56" s="11"/>
      <c r="J56" s="11"/>
      <c r="K56" s="11"/>
      <c r="L56" s="11"/>
      <c r="M56" s="11"/>
      <c r="N56" s="11"/>
      <c r="O56" s="11"/>
    </row>
    <row r="57" spans="1:15">
      <c r="A57" s="11" t="s">
        <v>177</v>
      </c>
      <c r="B57" s="11"/>
      <c r="C57" s="11"/>
      <c r="D57" s="42">
        <v>7</v>
      </c>
      <c r="E57" s="11"/>
      <c r="F57" s="11" t="s">
        <v>178</v>
      </c>
      <c r="G57" s="11"/>
      <c r="H57" s="11"/>
      <c r="I57" s="11"/>
      <c r="J57" s="11"/>
      <c r="K57" s="11"/>
      <c r="L57" s="11"/>
      <c r="M57" s="11"/>
      <c r="N57" s="11"/>
      <c r="O57" s="11"/>
    </row>
    <row r="58" spans="1:15">
      <c r="A58" s="11" t="s">
        <v>179</v>
      </c>
      <c r="B58" s="11"/>
      <c r="C58" s="11"/>
      <c r="D58" s="42">
        <v>8</v>
      </c>
      <c r="E58" s="11"/>
      <c r="F58" s="11" t="s">
        <v>180</v>
      </c>
      <c r="G58" s="11"/>
      <c r="H58" s="11"/>
      <c r="I58" s="11"/>
      <c r="J58" s="11"/>
      <c r="K58" s="11"/>
      <c r="L58" s="11"/>
      <c r="M58" s="11"/>
      <c r="N58" s="11"/>
      <c r="O58" s="11"/>
    </row>
    <row r="59" spans="1:15">
      <c r="A59" s="11" t="s">
        <v>181</v>
      </c>
      <c r="B59" s="11"/>
      <c r="C59" s="11"/>
      <c r="D59" s="42">
        <v>9</v>
      </c>
      <c r="E59" s="11"/>
      <c r="F59" s="11" t="s">
        <v>15</v>
      </c>
      <c r="G59" s="11"/>
      <c r="H59" s="11"/>
      <c r="I59" s="11"/>
      <c r="J59" s="11"/>
      <c r="K59" s="11"/>
      <c r="L59" s="11"/>
      <c r="M59" s="11"/>
      <c r="N59" s="11"/>
      <c r="O59" s="11"/>
    </row>
    <row r="60" spans="1:15">
      <c r="A60" s="11" t="s">
        <v>182</v>
      </c>
      <c r="B60" s="11"/>
      <c r="C60" s="11"/>
      <c r="D60" s="42">
        <v>10</v>
      </c>
      <c r="E60" s="11"/>
      <c r="F60" s="11" t="s">
        <v>183</v>
      </c>
      <c r="G60" s="11"/>
      <c r="H60" s="11"/>
      <c r="I60" s="11"/>
      <c r="J60" s="11"/>
      <c r="K60" s="11"/>
      <c r="L60" s="11"/>
      <c r="M60" s="11"/>
      <c r="N60" s="11"/>
      <c r="O60" s="11"/>
    </row>
    <row r="61" spans="1:15">
      <c r="A61" s="11" t="s">
        <v>184</v>
      </c>
      <c r="B61" s="11"/>
      <c r="C61" s="11"/>
      <c r="D61" s="42">
        <v>11</v>
      </c>
      <c r="E61" s="11"/>
      <c r="F61" s="11" t="s">
        <v>185</v>
      </c>
      <c r="G61" s="11"/>
      <c r="H61" s="11"/>
      <c r="I61" s="11"/>
      <c r="J61" s="11"/>
      <c r="K61" s="11"/>
      <c r="L61" s="11"/>
      <c r="M61" s="11"/>
      <c r="N61" s="11"/>
      <c r="O61" s="11"/>
    </row>
    <row r="62" spans="1:15">
      <c r="A62" s="11" t="s">
        <v>186</v>
      </c>
      <c r="B62" s="11"/>
      <c r="C62" s="11"/>
      <c r="D62" s="42">
        <v>12</v>
      </c>
      <c r="E62" s="11"/>
      <c r="F62" s="11" t="s">
        <v>187</v>
      </c>
      <c r="G62" s="11"/>
      <c r="H62" s="11"/>
      <c r="I62" s="11"/>
      <c r="J62" s="11"/>
      <c r="K62" s="11"/>
      <c r="L62" s="11"/>
      <c r="M62" s="11"/>
      <c r="N62" s="11"/>
      <c r="O62" s="11"/>
    </row>
    <row r="63" spans="1:15">
      <c r="A63" s="11" t="s">
        <v>188</v>
      </c>
      <c r="B63" s="11"/>
      <c r="C63" s="11"/>
      <c r="D63" s="42">
        <v>13</v>
      </c>
      <c r="E63" s="11"/>
      <c r="F63" s="11" t="s">
        <v>189</v>
      </c>
      <c r="G63" s="11"/>
      <c r="H63" s="11"/>
      <c r="I63" s="11"/>
      <c r="J63" s="11"/>
      <c r="K63" s="11"/>
      <c r="L63" s="11"/>
      <c r="M63" s="11"/>
      <c r="N63" s="11"/>
      <c r="O63" s="11"/>
    </row>
    <row r="64" spans="1:15">
      <c r="A64" s="39" t="s">
        <v>190</v>
      </c>
      <c r="B64" s="11"/>
      <c r="C64" s="11"/>
      <c r="D64" s="42">
        <v>14</v>
      </c>
      <c r="E64" s="11"/>
      <c r="F64" s="11" t="s">
        <v>191</v>
      </c>
      <c r="G64" s="11"/>
      <c r="H64" s="11"/>
      <c r="I64" s="11"/>
      <c r="J64" s="11"/>
      <c r="K64" s="11"/>
      <c r="L64" s="11"/>
      <c r="M64" s="11"/>
      <c r="N64" s="11"/>
      <c r="O64" s="11"/>
    </row>
    <row r="65" spans="1:15">
      <c r="A65" s="11" t="s">
        <v>192</v>
      </c>
      <c r="B65" s="11"/>
      <c r="C65" s="11"/>
      <c r="D65" s="42">
        <v>17</v>
      </c>
      <c r="E65" s="11"/>
      <c r="F65" s="11" t="s">
        <v>193</v>
      </c>
      <c r="G65" s="11"/>
      <c r="H65" s="11"/>
      <c r="I65" s="11"/>
      <c r="J65" s="11"/>
      <c r="K65" s="11"/>
      <c r="L65" s="11"/>
      <c r="M65" s="11"/>
      <c r="N65" s="11"/>
      <c r="O65" s="11"/>
    </row>
    <row r="66" spans="1:15">
      <c r="A66" s="11" t="s">
        <v>194</v>
      </c>
      <c r="B66" s="11"/>
      <c r="C66" s="11"/>
      <c r="D66" s="42">
        <v>36</v>
      </c>
      <c r="E66" s="11"/>
      <c r="F66" s="11" t="s">
        <v>195</v>
      </c>
      <c r="G66" s="11"/>
      <c r="H66" s="11"/>
      <c r="I66" s="11"/>
      <c r="J66" s="11"/>
      <c r="K66" s="11"/>
      <c r="L66" s="11"/>
      <c r="M66" s="11"/>
      <c r="N66" s="11"/>
      <c r="O66" s="11"/>
    </row>
    <row r="67" spans="1:15">
      <c r="A67" s="11" t="s">
        <v>196</v>
      </c>
      <c r="B67" s="11"/>
      <c r="C67" s="11"/>
      <c r="D67" s="42">
        <v>8192</v>
      </c>
      <c r="E67" s="11"/>
      <c r="F67" s="11" t="s">
        <v>197</v>
      </c>
      <c r="G67" s="11"/>
      <c r="H67" s="11"/>
      <c r="I67" s="11"/>
      <c r="J67" s="11"/>
      <c r="K67" s="11"/>
      <c r="L67" s="11"/>
      <c r="M67" s="11"/>
      <c r="N67" s="11"/>
      <c r="O67" s="11"/>
    </row>
    <row r="68" spans="1:1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</row>
    <row r="70" spans="1:15">
      <c r="A70" s="45" t="s">
        <v>256</v>
      </c>
    </row>
    <row r="71" spans="1:15">
      <c r="A71" s="38"/>
      <c r="B71" s="37"/>
      <c r="C71" s="37"/>
    </row>
    <row r="72" spans="1:15">
      <c r="A72" s="38"/>
      <c r="B72" s="37"/>
      <c r="C72" s="37"/>
    </row>
    <row r="73" spans="1:15">
      <c r="A73" s="38"/>
      <c r="B73" s="37"/>
      <c r="C73" s="41"/>
    </row>
    <row r="74" spans="1:15">
      <c r="A74" s="38"/>
      <c r="B74" s="37"/>
      <c r="C74" s="37"/>
    </row>
    <row r="75" spans="1:15">
      <c r="A75" s="38"/>
      <c r="B75" s="37"/>
      <c r="C75" s="37"/>
    </row>
    <row r="76" spans="1:15">
      <c r="A76" s="38"/>
      <c r="B76" s="37"/>
      <c r="C76" s="37"/>
    </row>
    <row r="77" spans="1:15">
      <c r="A77" s="38"/>
      <c r="B77" s="37"/>
      <c r="C77" s="41"/>
    </row>
    <row r="78" spans="1:15">
      <c r="A78" s="38"/>
      <c r="B78" s="37"/>
      <c r="C78" s="41"/>
    </row>
    <row r="79" spans="1:15">
      <c r="A79" s="38"/>
      <c r="B79" s="37"/>
      <c r="C79" s="41"/>
    </row>
    <row r="80" spans="1:15">
      <c r="A80" s="38"/>
      <c r="B80" s="37"/>
      <c r="C80" s="37"/>
    </row>
    <row r="81" spans="1:3">
      <c r="A81" s="38"/>
      <c r="B81" s="37"/>
      <c r="C81" s="37"/>
    </row>
    <row r="82" spans="1:3">
      <c r="A82" s="38"/>
      <c r="B82" s="37"/>
      <c r="C82" s="41"/>
    </row>
    <row r="83" spans="1:3">
      <c r="A83" s="38"/>
      <c r="B83" s="37"/>
      <c r="C83" s="37"/>
    </row>
    <row r="84" spans="1:3">
      <c r="A84" s="38"/>
      <c r="B84" s="37"/>
      <c r="C84" s="37"/>
    </row>
    <row r="85" spans="1:3">
      <c r="A85" s="38"/>
      <c r="B85" s="37"/>
      <c r="C85" s="41"/>
    </row>
    <row r="86" spans="1:3">
      <c r="A86" s="38"/>
      <c r="B86" s="37"/>
      <c r="C86" s="41"/>
    </row>
    <row r="87" spans="1:3">
      <c r="A87" s="38"/>
      <c r="B87" s="37"/>
      <c r="C87" s="37"/>
    </row>
    <row r="88" spans="1:3">
      <c r="A88" s="38"/>
      <c r="B88" s="37"/>
      <c r="C88" s="37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O72"/>
  <sheetViews>
    <sheetView topLeftCell="A22" workbookViewId="0">
      <selection activeCell="I50" sqref="I50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198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238</v>
      </c>
      <c r="B3" s="30"/>
      <c r="C3" s="1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 t="s">
        <v>199</v>
      </c>
      <c r="B4" s="11"/>
      <c r="C4" s="11" t="s">
        <v>203</v>
      </c>
      <c r="D4" s="11"/>
      <c r="E4" s="11"/>
      <c r="F4" s="11" t="s">
        <v>200</v>
      </c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202</v>
      </c>
      <c r="B5" s="11"/>
      <c r="C5" s="11" t="s">
        <v>204</v>
      </c>
      <c r="D5" s="11"/>
      <c r="E5" s="11"/>
      <c r="F5" s="11" t="s">
        <v>201</v>
      </c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 t="s">
        <v>206</v>
      </c>
      <c r="B6" s="11"/>
      <c r="C6" s="11" t="s">
        <v>207</v>
      </c>
      <c r="D6" s="11"/>
      <c r="E6" s="11"/>
      <c r="F6" s="11" t="s">
        <v>205</v>
      </c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208</v>
      </c>
      <c r="B7" s="11"/>
      <c r="C7" s="11" t="s">
        <v>209</v>
      </c>
      <c r="D7" s="11"/>
      <c r="E7" s="11"/>
      <c r="F7" s="11" t="s">
        <v>210</v>
      </c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43" t="s">
        <v>213</v>
      </c>
      <c r="B8" s="11"/>
      <c r="C8" s="11" t="s">
        <v>212</v>
      </c>
      <c r="D8" s="11"/>
      <c r="E8" s="11"/>
      <c r="F8" s="11" t="s">
        <v>211</v>
      </c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214</v>
      </c>
      <c r="B9" s="11"/>
      <c r="C9" s="11" t="s">
        <v>216</v>
      </c>
      <c r="D9" s="11"/>
      <c r="E9" s="11"/>
      <c r="F9" s="11" t="s">
        <v>215</v>
      </c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229</v>
      </c>
      <c r="B10" s="11"/>
      <c r="C10" s="11" t="s">
        <v>230</v>
      </c>
      <c r="D10" s="11"/>
      <c r="E10" s="11"/>
      <c r="F10" s="11" t="s">
        <v>231</v>
      </c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 t="s">
        <v>219</v>
      </c>
      <c r="B11" s="11"/>
      <c r="C11" s="11" t="s">
        <v>218</v>
      </c>
      <c r="D11" s="11"/>
      <c r="E11" s="11"/>
      <c r="F11" s="11" t="s">
        <v>217</v>
      </c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 t="s">
        <v>221</v>
      </c>
      <c r="B12" s="11"/>
      <c r="C12" s="11" t="s">
        <v>222</v>
      </c>
      <c r="D12" s="11"/>
      <c r="E12" s="11"/>
      <c r="F12" s="11" t="s">
        <v>220</v>
      </c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223</v>
      </c>
      <c r="B13" s="11"/>
      <c r="C13" s="11" t="s">
        <v>224</v>
      </c>
      <c r="D13" s="11"/>
      <c r="E13" s="11"/>
      <c r="F13" s="11" t="s">
        <v>225</v>
      </c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 t="s">
        <v>226</v>
      </c>
      <c r="B14" s="11"/>
      <c r="C14" s="11" t="s">
        <v>227</v>
      </c>
      <c r="D14" s="11"/>
      <c r="E14" s="11"/>
      <c r="F14" s="11" t="s">
        <v>228</v>
      </c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232</v>
      </c>
      <c r="B15" s="11"/>
      <c r="C15" s="11" t="s">
        <v>233</v>
      </c>
      <c r="D15" s="11"/>
      <c r="E15" s="11"/>
      <c r="F15" s="11" t="s">
        <v>234</v>
      </c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235</v>
      </c>
      <c r="B16" s="11"/>
      <c r="C16" s="11" t="s">
        <v>236</v>
      </c>
      <c r="D16" s="11"/>
      <c r="E16" s="11"/>
      <c r="F16" s="11" t="s">
        <v>237</v>
      </c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 s="28" customFormat="1"/>
    <row r="19" spans="1:15" ht="18">
      <c r="A19" s="30" t="s">
        <v>239</v>
      </c>
      <c r="B19" s="11"/>
      <c r="C19" s="11"/>
      <c r="D19" s="11"/>
      <c r="E19" s="11"/>
      <c r="F19" s="11" t="s">
        <v>251</v>
      </c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 t="s">
        <v>240</v>
      </c>
      <c r="B20" s="11"/>
      <c r="C20" s="11" t="s">
        <v>241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242</v>
      </c>
      <c r="B21" s="11"/>
      <c r="C21" s="11" t="s">
        <v>243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245</v>
      </c>
      <c r="B22" s="11"/>
      <c r="C22" s="11" t="s">
        <v>247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 t="s">
        <v>244</v>
      </c>
      <c r="B23" s="11"/>
      <c r="C23" s="11" t="s">
        <v>246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 t="s">
        <v>221</v>
      </c>
      <c r="B24" s="11"/>
      <c r="C24" s="11" t="s">
        <v>248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 t="s">
        <v>249</v>
      </c>
      <c r="B25" s="11"/>
      <c r="C25" s="11" t="s">
        <v>250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 s="28" customFormat="1"/>
    <row r="28" spans="1:15" ht="18">
      <c r="A28" s="30" t="s">
        <v>252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 t="s">
        <v>253</v>
      </c>
      <c r="B29" s="11"/>
      <c r="C29" s="11" t="s">
        <v>254</v>
      </c>
      <c r="D29" s="11"/>
      <c r="E29" s="11"/>
      <c r="F29" s="11" t="s">
        <v>255</v>
      </c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</row>
    <row r="32" spans="1:1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</row>
    <row r="33" spans="1:1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</row>
    <row r="34" spans="1:1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spans="1:1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</row>
    <row r="36" spans="1:1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37" spans="1:1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1:1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</row>
    <row r="39" spans="1:1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</row>
    <row r="40" spans="1:1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</row>
    <row r="41" spans="1:1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</row>
    <row r="42" spans="1:1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</row>
    <row r="43" spans="1:15">
      <c r="A43" s="44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</row>
    <row r="44" spans="1:1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</row>
    <row r="45" spans="1:1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</row>
    <row r="46" spans="1:1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</row>
    <row r="47" spans="1:1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</row>
    <row r="48" spans="1:1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</row>
    <row r="50" spans="1:1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</row>
    <row r="51" spans="1:1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</row>
    <row r="55" spans="1:15">
      <c r="A55" s="38"/>
      <c r="B55" s="37"/>
      <c r="C55" s="37"/>
    </row>
    <row r="56" spans="1:15">
      <c r="A56" s="38"/>
      <c r="B56" s="37"/>
      <c r="C56" s="37"/>
    </row>
    <row r="57" spans="1:15">
      <c r="A57" s="38"/>
      <c r="B57" s="37"/>
      <c r="C57" s="41"/>
    </row>
    <row r="58" spans="1:15">
      <c r="A58" s="38"/>
      <c r="B58" s="37"/>
      <c r="C58" s="37"/>
    </row>
    <row r="59" spans="1:15">
      <c r="A59" s="38"/>
      <c r="B59" s="37"/>
      <c r="C59" s="37"/>
    </row>
    <row r="60" spans="1:15">
      <c r="A60" s="38"/>
      <c r="B60" s="37"/>
      <c r="C60" s="37"/>
    </row>
    <row r="61" spans="1:15">
      <c r="A61" s="38"/>
      <c r="B61" s="37"/>
      <c r="C61" s="41"/>
    </row>
    <row r="62" spans="1:15">
      <c r="A62" s="38"/>
      <c r="B62" s="37"/>
      <c r="C62" s="41"/>
    </row>
    <row r="63" spans="1:15">
      <c r="A63" s="38"/>
      <c r="B63" s="37"/>
      <c r="C63" s="41"/>
    </row>
    <row r="64" spans="1:15">
      <c r="A64" s="38"/>
      <c r="B64" s="37"/>
      <c r="C64" s="37"/>
    </row>
    <row r="65" spans="1:3">
      <c r="A65" s="38"/>
      <c r="B65" s="37"/>
      <c r="C65" s="37"/>
    </row>
    <row r="66" spans="1:3">
      <c r="A66" s="38"/>
      <c r="B66" s="37"/>
      <c r="C66" s="41"/>
    </row>
    <row r="67" spans="1:3">
      <c r="A67" s="38"/>
      <c r="B67" s="37"/>
      <c r="C67" s="37"/>
    </row>
    <row r="68" spans="1:3">
      <c r="A68" s="38"/>
      <c r="B68" s="37"/>
      <c r="C68" s="37"/>
    </row>
    <row r="69" spans="1:3">
      <c r="A69" s="38"/>
      <c r="B69" s="37"/>
      <c r="C69" s="41"/>
    </row>
    <row r="70" spans="1:3">
      <c r="A70" s="38"/>
      <c r="B70" s="37"/>
      <c r="C70" s="41"/>
    </row>
    <row r="71" spans="1:3">
      <c r="A71" s="38"/>
      <c r="B71" s="37"/>
      <c r="C71" s="37"/>
    </row>
    <row r="72" spans="1:3">
      <c r="A72" s="38"/>
      <c r="B72" s="37"/>
      <c r="C72" s="37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O73"/>
  <sheetViews>
    <sheetView workbookViewId="0">
      <selection activeCell="C66" sqref="C66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258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259</v>
      </c>
      <c r="B3" s="30"/>
      <c r="C3" s="1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 t="s">
        <v>262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</row>
    <row r="7" spans="1:15">
      <c r="A7" s="11" t="s">
        <v>263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43"/>
      <c r="B8" s="43" t="s">
        <v>264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 t="s">
        <v>267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/>
      <c r="B10" s="11" t="s">
        <v>265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1" t="s">
        <v>261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11"/>
      <c r="B12" s="11" t="s">
        <v>266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260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 s="28" customFormat="1"/>
    <row r="16" spans="1:15" ht="18">
      <c r="A16" s="30" t="s">
        <v>268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 t="s">
        <v>270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/>
      <c r="B19" s="11" t="s">
        <v>272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/>
      <c r="B20" s="11"/>
      <c r="C20" s="11" t="s">
        <v>273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/>
      <c r="B21" s="11" t="s">
        <v>271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 t="s">
        <v>266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 s="28" customFormat="1">
      <c r="A23" s="11" t="s">
        <v>269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 ht="18">
      <c r="A24" s="3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</row>
    <row r="26" spans="1:15" ht="18">
      <c r="A26" s="30" t="s">
        <v>274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 t="s">
        <v>275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/>
      <c r="B29" s="11" t="s">
        <v>264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 t="s">
        <v>276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/>
      <c r="B31" s="11" t="s">
        <v>264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</row>
    <row r="32" spans="1:15">
      <c r="A32" s="11" t="s">
        <v>277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spans="1:15" ht="18">
      <c r="A35" s="30" t="s">
        <v>278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>
      <c r="A37" s="11" t="s">
        <v>279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>
      <c r="A38" s="11"/>
      <c r="B38" s="11" t="s">
        <v>264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>
      <c r="A39" s="11"/>
      <c r="B39" s="11" t="s">
        <v>276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/>
      <c r="B40" s="11" t="s">
        <v>264</v>
      </c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11" t="s">
        <v>280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4" spans="1:15" ht="18">
      <c r="A44" s="30" t="s">
        <v>281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/>
      <c r="B45" s="11"/>
      <c r="C45" s="11"/>
      <c r="D45" s="4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>
      <c r="A46" s="11" t="s">
        <v>283</v>
      </c>
      <c r="B46" s="11"/>
      <c r="C46" s="11"/>
      <c r="D46" s="42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>
      <c r="A47" s="11"/>
      <c r="B47" s="11" t="s">
        <v>264</v>
      </c>
      <c r="C47" s="11"/>
      <c r="D47" s="4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 t="s">
        <v>284</v>
      </c>
      <c r="C48" s="11"/>
      <c r="D48" s="4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1:15">
      <c r="A49" s="11"/>
      <c r="B49" s="11" t="s">
        <v>264</v>
      </c>
      <c r="C49" s="11"/>
      <c r="D49" s="4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>
      <c r="A50" s="11" t="s">
        <v>282</v>
      </c>
      <c r="B50" s="11"/>
      <c r="C50" s="11"/>
      <c r="D50" s="4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11"/>
      <c r="B51" s="11"/>
      <c r="C51" s="11"/>
      <c r="D51" s="4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 t="s">
        <v>285</v>
      </c>
      <c r="B52" s="11"/>
      <c r="C52" s="11"/>
      <c r="D52" s="42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>
      <c r="A53" s="11"/>
      <c r="B53" s="11" t="s">
        <v>264</v>
      </c>
      <c r="C53" s="11"/>
      <c r="D53" s="4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1:15">
      <c r="A54" s="11"/>
      <c r="B54" s="11" t="s">
        <v>284</v>
      </c>
      <c r="C54" s="11"/>
      <c r="D54" s="4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1:15">
      <c r="A55" s="11"/>
      <c r="B55" s="11" t="s">
        <v>264</v>
      </c>
      <c r="C55" s="11"/>
      <c r="D55" s="42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</row>
    <row r="56" spans="1:15">
      <c r="A56" s="11" t="s">
        <v>286</v>
      </c>
      <c r="B56" s="11"/>
      <c r="C56" s="11"/>
      <c r="D56" s="4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1:15">
      <c r="A57" s="39"/>
      <c r="B57" s="11"/>
      <c r="C57" s="11"/>
      <c r="D57" s="4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1:15" s="28" customFormat="1">
      <c r="D58" s="46"/>
    </row>
    <row r="59" spans="1:15">
      <c r="A59" s="38"/>
      <c r="B59" s="37"/>
      <c r="C59" s="37"/>
    </row>
    <row r="60" spans="1:15">
      <c r="A60" s="38"/>
      <c r="B60" s="37"/>
      <c r="C60" s="37"/>
    </row>
    <row r="61" spans="1:15">
      <c r="A61" s="38"/>
      <c r="B61" s="37"/>
      <c r="C61" s="37"/>
    </row>
    <row r="62" spans="1:15">
      <c r="A62" s="38"/>
      <c r="B62" s="37"/>
      <c r="C62" s="41"/>
    </row>
    <row r="63" spans="1:15">
      <c r="A63" s="38"/>
      <c r="B63" s="37"/>
      <c r="C63" s="41"/>
    </row>
    <row r="64" spans="1:15">
      <c r="A64" s="38"/>
      <c r="B64" s="37"/>
      <c r="C64" s="41"/>
    </row>
    <row r="65" spans="1:3">
      <c r="A65" s="38"/>
      <c r="B65" s="37"/>
      <c r="C65" s="37"/>
    </row>
    <row r="66" spans="1:3">
      <c r="A66" s="38"/>
      <c r="B66" s="37"/>
      <c r="C66" s="37"/>
    </row>
    <row r="67" spans="1:3">
      <c r="A67" s="38"/>
      <c r="B67" s="37"/>
      <c r="C67" s="41"/>
    </row>
    <row r="68" spans="1:3">
      <c r="A68" s="38"/>
      <c r="B68" s="37"/>
      <c r="C68" s="37"/>
    </row>
    <row r="69" spans="1:3">
      <c r="A69" s="38"/>
      <c r="B69" s="37"/>
      <c r="C69" s="37"/>
    </row>
    <row r="70" spans="1:3">
      <c r="A70" s="38"/>
      <c r="B70" s="37"/>
      <c r="C70" s="41"/>
    </row>
    <row r="71" spans="1:3">
      <c r="A71" s="38"/>
      <c r="B71" s="37"/>
      <c r="C71" s="41"/>
    </row>
    <row r="72" spans="1:3">
      <c r="A72" s="38"/>
      <c r="B72" s="37"/>
      <c r="C72" s="37"/>
    </row>
    <row r="73" spans="1:3">
      <c r="A73" s="38"/>
      <c r="B73" s="37"/>
      <c r="C73" s="37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O103"/>
  <sheetViews>
    <sheetView topLeftCell="A70" workbookViewId="0">
      <selection activeCell="B77" sqref="B77"/>
    </sheetView>
  </sheetViews>
  <sheetFormatPr defaultRowHeight="15"/>
  <cols>
    <col min="1" max="1" width="9.140625" style="3"/>
    <col min="2" max="2" width="10.42578125" style="3" bestFit="1" customWidth="1"/>
    <col min="3" max="16384" width="9.140625" style="3"/>
  </cols>
  <sheetData>
    <row r="1" spans="1:15" s="15" customFormat="1" ht="27.75">
      <c r="A1" s="8" t="s">
        <v>197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287</v>
      </c>
      <c r="B3" s="30"/>
      <c r="C3" s="11"/>
      <c r="D3" s="11" t="s">
        <v>302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spans="1:15" ht="18">
      <c r="A4" s="30" t="s">
        <v>288</v>
      </c>
      <c r="B4" s="11"/>
      <c r="C4" s="11"/>
      <c r="D4" s="11" t="s">
        <v>303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 s="28" customFormat="1"/>
    <row r="7" spans="1:15" ht="18">
      <c r="A7" s="30" t="s">
        <v>289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</row>
    <row r="8" spans="1:15">
      <c r="A8" s="11" t="s">
        <v>304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47" t="s">
        <v>287</v>
      </c>
      <c r="B10" s="47"/>
      <c r="C10" s="47"/>
      <c r="D10" s="47" t="s">
        <v>309</v>
      </c>
      <c r="E10" s="47"/>
      <c r="F10" s="47"/>
      <c r="G10" s="47"/>
      <c r="H10" s="47"/>
      <c r="I10" s="11"/>
      <c r="J10" s="11"/>
      <c r="K10" s="11"/>
      <c r="L10" s="11"/>
      <c r="M10" s="11"/>
      <c r="N10" s="11"/>
      <c r="O10" s="11"/>
    </row>
    <row r="11" spans="1:15">
      <c r="A11" s="47" t="s">
        <v>288</v>
      </c>
      <c r="B11" s="47"/>
      <c r="C11" s="47"/>
      <c r="D11" s="47" t="s">
        <v>305</v>
      </c>
      <c r="E11" s="47"/>
      <c r="F11" s="47"/>
      <c r="G11" s="47"/>
      <c r="H11" s="47"/>
      <c r="I11" s="11"/>
      <c r="J11" s="11"/>
      <c r="K11" s="11"/>
      <c r="L11" s="11"/>
      <c r="M11" s="11"/>
      <c r="N11" s="11"/>
      <c r="O11" s="11"/>
    </row>
    <row r="12" spans="1:1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</row>
    <row r="14" spans="1:15" ht="18">
      <c r="A14" s="30" t="s">
        <v>295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290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0" t="s">
        <v>291</v>
      </c>
      <c r="B17" s="11"/>
      <c r="C17" s="11" t="s">
        <v>292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1"/>
      <c r="B18" s="11"/>
      <c r="C18" s="11" t="s">
        <v>293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/>
      <c r="B19" s="11"/>
      <c r="C19" s="11" t="s">
        <v>294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11" t="s">
        <v>296</v>
      </c>
      <c r="B21" s="11"/>
      <c r="C21" s="11" t="s">
        <v>297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/>
      <c r="B22" s="11"/>
      <c r="C22" s="11" t="s">
        <v>298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11"/>
      <c r="B23" s="11"/>
      <c r="C23" s="11" t="s">
        <v>299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1"/>
      <c r="B24" s="11"/>
      <c r="C24" s="11" t="s">
        <v>300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5" spans="1:15">
      <c r="A25" s="11"/>
      <c r="B25" s="11"/>
      <c r="C25" s="11" t="s">
        <v>301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</row>
    <row r="26" spans="1: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35" t="s">
        <v>319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36" t="s">
        <v>331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30" spans="1:15" ht="18">
      <c r="A30" s="30" t="s">
        <v>306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 t="s">
        <v>307</v>
      </c>
      <c r="B31" s="11"/>
      <c r="C31" s="11"/>
      <c r="D31" s="4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</row>
    <row r="32" spans="1:15">
      <c r="A32" s="11"/>
      <c r="B32" s="11"/>
      <c r="C32" s="11"/>
      <c r="D32" s="4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>
      <c r="A33" s="11" t="s">
        <v>308</v>
      </c>
      <c r="B33" s="11"/>
      <c r="C33" s="11" t="s">
        <v>310</v>
      </c>
      <c r="D33" s="4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>
      <c r="A34" s="11" t="s">
        <v>311</v>
      </c>
      <c r="B34" s="11"/>
      <c r="C34" s="11" t="s">
        <v>312</v>
      </c>
      <c r="D34" s="4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>
      <c r="A35" s="11"/>
      <c r="B35" s="11"/>
      <c r="C35" s="11"/>
      <c r="D35" s="4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 s="28" customFormat="1">
      <c r="D36" s="46"/>
    </row>
    <row r="37" spans="1:15" s="28" customFormat="1" ht="18">
      <c r="A37" s="30" t="s">
        <v>318</v>
      </c>
      <c r="B37" s="11"/>
      <c r="C37" s="11"/>
      <c r="D37" s="42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 s="28" customFormat="1">
      <c r="A38" s="11"/>
      <c r="B38" s="11"/>
      <c r="C38" s="11"/>
      <c r="D38" s="42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</row>
    <row r="39" spans="1:15" s="28" customFormat="1" ht="15.75">
      <c r="A39" s="51" t="s">
        <v>323</v>
      </c>
      <c r="B39" s="11"/>
      <c r="C39" s="11"/>
      <c r="D39" s="42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 s="28" customFormat="1">
      <c r="A40" s="11"/>
      <c r="B40" s="47" t="s">
        <v>320</v>
      </c>
      <c r="C40" s="11"/>
      <c r="D40" s="42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 s="28" customFormat="1">
      <c r="A41" s="11"/>
      <c r="B41" s="47" t="s">
        <v>321</v>
      </c>
      <c r="C41" s="11"/>
      <c r="D41" s="4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 s="28" customFormat="1">
      <c r="A42" s="11"/>
      <c r="B42" s="40" t="s">
        <v>322</v>
      </c>
      <c r="C42" s="11"/>
      <c r="D42" s="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 s="28" customFormat="1">
      <c r="A43" s="11"/>
      <c r="B43" s="11"/>
      <c r="C43" s="11"/>
      <c r="D43" s="42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 s="28" customFormat="1" ht="15.75">
      <c r="A44" s="11" t="s">
        <v>327</v>
      </c>
      <c r="B44" s="11"/>
      <c r="C44" s="11"/>
      <c r="D44" s="42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 s="28" customFormat="1">
      <c r="A45" s="11"/>
      <c r="B45" s="47" t="s">
        <v>320</v>
      </c>
      <c r="C45" s="11"/>
      <c r="D45" s="4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 s="28" customFormat="1">
      <c r="A46" s="11"/>
      <c r="B46" s="47" t="s">
        <v>324</v>
      </c>
      <c r="C46" s="11"/>
      <c r="D46" s="42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 s="28" customFormat="1">
      <c r="A47" s="11"/>
      <c r="B47" s="47" t="s">
        <v>325</v>
      </c>
      <c r="C47" s="11"/>
      <c r="D47" s="4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 s="28" customFormat="1">
      <c r="A48" s="11"/>
      <c r="B48" s="11"/>
      <c r="C48" s="11"/>
      <c r="D48" s="4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1:15" s="28" customFormat="1" ht="15.75">
      <c r="A49" s="11" t="s">
        <v>326</v>
      </c>
      <c r="B49" s="11"/>
      <c r="C49" s="11"/>
      <c r="D49" s="4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 s="28" customFormat="1">
      <c r="A50" s="11"/>
      <c r="B50" s="47" t="s">
        <v>320</v>
      </c>
      <c r="C50" s="11"/>
      <c r="D50" s="4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 s="28" customFormat="1">
      <c r="A51" s="11"/>
      <c r="B51" s="47" t="s">
        <v>328</v>
      </c>
      <c r="C51" s="11"/>
      <c r="D51" s="4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 s="28" customFormat="1">
      <c r="A52" s="11"/>
      <c r="B52" s="47" t="s">
        <v>329</v>
      </c>
      <c r="C52" s="11"/>
      <c r="D52" s="42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 s="28" customFormat="1">
      <c r="A53" s="11"/>
      <c r="B53" s="47"/>
      <c r="C53" s="11"/>
      <c r="D53" s="4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1:15" s="28" customFormat="1">
      <c r="A54" s="36" t="s">
        <v>330</v>
      </c>
      <c r="B54" s="11"/>
      <c r="C54" s="11"/>
      <c r="D54" s="4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1:15" s="28" customFormat="1">
      <c r="D55" s="46"/>
    </row>
    <row r="56" spans="1:15" s="28" customFormat="1" ht="18">
      <c r="A56" s="30" t="s">
        <v>333</v>
      </c>
      <c r="B56" s="11"/>
      <c r="C56" s="11"/>
      <c r="D56" s="4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1:15" s="28" customFormat="1">
      <c r="A57" s="11"/>
      <c r="B57" s="11"/>
      <c r="C57" s="11"/>
      <c r="D57" s="4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1:15" s="28" customFormat="1" ht="15.75">
      <c r="A58" s="11" t="s">
        <v>336</v>
      </c>
      <c r="B58" s="11"/>
      <c r="C58" s="11"/>
      <c r="D58" s="42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</row>
    <row r="59" spans="1:15" s="28" customFormat="1">
      <c r="A59" s="11"/>
      <c r="B59" s="47" t="s">
        <v>328</v>
      </c>
      <c r="C59" s="11"/>
      <c r="D59" s="42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</row>
    <row r="60" spans="1:15" s="28" customFormat="1">
      <c r="A60" s="11"/>
      <c r="B60" s="47" t="s">
        <v>335</v>
      </c>
      <c r="C60" s="11"/>
      <c r="D60" s="42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</row>
    <row r="61" spans="1:15" s="28" customFormat="1">
      <c r="A61" s="11"/>
      <c r="B61" s="47" t="s">
        <v>334</v>
      </c>
      <c r="C61" s="11"/>
      <c r="D61" s="42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</row>
    <row r="62" spans="1:15" s="28" customFormat="1">
      <c r="A62" s="11"/>
      <c r="B62" s="47"/>
      <c r="C62" s="11"/>
      <c r="D62" s="42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</row>
    <row r="63" spans="1:15" s="28" customFormat="1" ht="15.75">
      <c r="A63" s="11" t="s">
        <v>337</v>
      </c>
      <c r="B63" s="47"/>
      <c r="C63" s="11"/>
      <c r="D63" s="42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</row>
    <row r="64" spans="1:15" s="28" customFormat="1">
      <c r="A64" s="11"/>
      <c r="B64" s="47" t="s">
        <v>338</v>
      </c>
      <c r="C64" s="11"/>
      <c r="D64" s="42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</row>
    <row r="65" spans="1:15" s="28" customFormat="1">
      <c r="A65" s="11"/>
      <c r="B65" s="47" t="s">
        <v>339</v>
      </c>
      <c r="C65" s="11"/>
      <c r="D65" s="42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</row>
    <row r="66" spans="1:15" s="28" customFormat="1">
      <c r="A66" s="11"/>
      <c r="B66" s="11"/>
      <c r="C66" s="11"/>
      <c r="D66" s="42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</row>
    <row r="67" spans="1:15" s="28" customFormat="1" ht="15.75">
      <c r="A67" s="11" t="s">
        <v>340</v>
      </c>
      <c r="B67" s="11"/>
      <c r="C67" s="11"/>
      <c r="D67" s="42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</row>
    <row r="68" spans="1:15" s="28" customFormat="1">
      <c r="A68" s="11"/>
      <c r="B68" s="47" t="s">
        <v>341</v>
      </c>
      <c r="C68" s="11"/>
      <c r="D68" s="42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</row>
    <row r="69" spans="1:15" s="28" customFormat="1">
      <c r="A69" s="11"/>
      <c r="B69" s="47" t="s">
        <v>342</v>
      </c>
      <c r="C69" s="11"/>
      <c r="D69" s="42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</row>
    <row r="70" spans="1:15" s="28" customFormat="1">
      <c r="A70" s="11"/>
      <c r="B70" s="11"/>
      <c r="C70" s="11"/>
      <c r="D70" s="42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</row>
    <row r="71" spans="1:15" s="28" customFormat="1" ht="15.75">
      <c r="A71" s="51" t="s">
        <v>323</v>
      </c>
      <c r="B71" s="11"/>
      <c r="C71" s="11"/>
      <c r="D71" s="42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</row>
    <row r="72" spans="1:15" s="28" customFormat="1" ht="15.75">
      <c r="A72" s="51"/>
      <c r="B72" s="11" t="s">
        <v>343</v>
      </c>
      <c r="C72" s="11"/>
      <c r="D72" s="42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</row>
    <row r="73" spans="1:15" s="28" customFormat="1" ht="15.75">
      <c r="A73" s="51"/>
      <c r="B73" s="40" t="s">
        <v>344</v>
      </c>
      <c r="C73" s="11"/>
      <c r="D73" s="42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</row>
    <row r="74" spans="1:15" s="28" customFormat="1" ht="15.75">
      <c r="A74" s="51"/>
      <c r="B74" s="11"/>
      <c r="C74" s="11"/>
      <c r="D74" s="42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</row>
    <row r="75" spans="1:15" s="28" customFormat="1">
      <c r="A75" s="36" t="s">
        <v>345</v>
      </c>
      <c r="B75" s="11"/>
      <c r="C75" s="11"/>
      <c r="D75" s="42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</row>
    <row r="76" spans="1:15" s="28" customFormat="1">
      <c r="A76" s="36"/>
      <c r="B76" s="11"/>
      <c r="C76" s="11"/>
      <c r="D76" s="42"/>
      <c r="E76" s="11"/>
      <c r="F76" s="11"/>
      <c r="G76" s="52"/>
      <c r="H76" s="11"/>
      <c r="I76" s="11"/>
      <c r="J76" s="11"/>
      <c r="K76" s="11"/>
      <c r="L76" s="11"/>
      <c r="M76" s="11"/>
      <c r="N76" s="11"/>
      <c r="O76" s="11"/>
    </row>
    <row r="77" spans="1:15" s="28" customFormat="1" ht="15.75">
      <c r="A77" s="36"/>
      <c r="B77" s="53" t="s">
        <v>346</v>
      </c>
      <c r="C77" s="11"/>
      <c r="D77" s="42"/>
      <c r="E77" s="11"/>
      <c r="F77" s="11"/>
      <c r="G77" s="52"/>
      <c r="H77" s="11"/>
      <c r="I77" s="11"/>
      <c r="J77" s="11"/>
      <c r="K77" s="11"/>
      <c r="L77" s="11"/>
      <c r="M77" s="11"/>
      <c r="N77" s="11"/>
      <c r="O77" s="11"/>
    </row>
    <row r="78" spans="1:15" s="28" customFormat="1">
      <c r="A78" s="36"/>
      <c r="B78" s="11"/>
      <c r="C78" s="11"/>
      <c r="D78" s="42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</row>
    <row r="79" spans="1:15" s="28" customFormat="1">
      <c r="A79" s="36"/>
      <c r="B79" s="11"/>
      <c r="C79" s="11"/>
      <c r="D79" s="42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</row>
    <row r="80" spans="1:15" s="28" customFormat="1">
      <c r="A80" s="36"/>
      <c r="B80" s="11"/>
      <c r="C80" s="11"/>
      <c r="D80" s="42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</row>
    <row r="81" spans="1:15" s="28" customFormat="1">
      <c r="D81" s="46"/>
    </row>
    <row r="82" spans="1:15" ht="18">
      <c r="A82" s="30" t="s">
        <v>314</v>
      </c>
      <c r="B82" s="11"/>
      <c r="C82" s="11"/>
      <c r="D82" s="42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</row>
    <row r="83" spans="1:15">
      <c r="A83" s="11" t="s">
        <v>313</v>
      </c>
      <c r="B83" s="11"/>
      <c r="C83" s="11"/>
      <c r="D83" s="42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</row>
    <row r="84" spans="1:15">
      <c r="A84" s="11"/>
      <c r="B84" s="11"/>
      <c r="C84" s="11"/>
      <c r="D84" s="42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</row>
    <row r="85" spans="1:15">
      <c r="A85" s="47" t="s">
        <v>315</v>
      </c>
      <c r="B85" s="11"/>
      <c r="C85" s="47" t="s">
        <v>316</v>
      </c>
      <c r="D85" s="42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</row>
    <row r="86" spans="1:15">
      <c r="A86" s="11"/>
      <c r="B86" s="11"/>
      <c r="C86" s="47" t="s">
        <v>317</v>
      </c>
      <c r="D86" s="42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</row>
    <row r="87" spans="1:15">
      <c r="A87" s="11"/>
      <c r="B87" s="11"/>
      <c r="C87" s="11"/>
      <c r="D87" s="42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</row>
    <row r="88" spans="1:15" s="28" customFormat="1">
      <c r="D88" s="46"/>
    </row>
    <row r="89" spans="1:15">
      <c r="B89" s="49"/>
      <c r="C89" s="49"/>
    </row>
    <row r="90" spans="1:15" ht="15.75">
      <c r="A90" s="48"/>
      <c r="B90" s="49"/>
      <c r="C90" s="49"/>
    </row>
    <row r="91" spans="1:15" ht="15.75">
      <c r="A91" s="48"/>
      <c r="B91" s="49"/>
      <c r="C91" s="49"/>
    </row>
    <row r="92" spans="1:15" ht="15.75">
      <c r="A92" s="48"/>
      <c r="B92" s="49"/>
      <c r="C92" s="50"/>
    </row>
    <row r="93" spans="1:15" ht="15.75">
      <c r="A93" s="48"/>
      <c r="B93" s="49"/>
      <c r="C93" s="50"/>
    </row>
    <row r="94" spans="1:15" ht="15.75">
      <c r="A94" s="48"/>
      <c r="B94" s="49"/>
      <c r="C94" s="50"/>
    </row>
    <row r="95" spans="1:15" ht="15.75">
      <c r="A95" s="48"/>
      <c r="B95" s="49"/>
      <c r="C95" s="49"/>
    </row>
    <row r="96" spans="1:15" ht="15.75">
      <c r="A96" s="48"/>
      <c r="B96" s="49"/>
      <c r="C96" s="49"/>
    </row>
    <row r="97" spans="1:3" ht="15.75">
      <c r="A97" s="48"/>
      <c r="B97" s="49"/>
      <c r="C97" s="50"/>
    </row>
    <row r="98" spans="1:3" ht="15.75">
      <c r="A98" s="48"/>
      <c r="B98" s="49"/>
      <c r="C98" s="49"/>
    </row>
    <row r="99" spans="1:3" ht="15.75">
      <c r="A99" s="48"/>
      <c r="B99" s="49"/>
      <c r="C99" s="49"/>
    </row>
    <row r="100" spans="1:3" ht="15.75">
      <c r="A100" s="48"/>
      <c r="B100" s="49"/>
      <c r="C100" s="50"/>
    </row>
    <row r="101" spans="1:3" ht="15.75">
      <c r="A101" s="48"/>
      <c r="B101" s="49"/>
      <c r="C101" s="50"/>
    </row>
    <row r="102" spans="1:3" ht="15.75">
      <c r="A102" s="48"/>
      <c r="B102" s="49"/>
      <c r="C102" s="49"/>
    </row>
    <row r="103" spans="1:3" ht="15.75">
      <c r="A103" s="48"/>
      <c r="B103" s="49"/>
      <c r="C103" s="49"/>
    </row>
  </sheetData>
  <dataConsolidate/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O53"/>
  <sheetViews>
    <sheetView topLeftCell="A40" workbookViewId="0">
      <selection activeCell="A23" sqref="A23"/>
    </sheetView>
  </sheetViews>
  <sheetFormatPr defaultRowHeight="15"/>
  <cols>
    <col min="1" max="1" width="9.140625" style="3"/>
    <col min="2" max="4" width="11" style="3" bestFit="1" customWidth="1"/>
    <col min="5" max="6" width="10.85546875" style="3" bestFit="1" customWidth="1"/>
    <col min="7" max="16384" width="9.140625" style="3"/>
  </cols>
  <sheetData>
    <row r="1" spans="1:15" s="15" customFormat="1" ht="27.75">
      <c r="A1" s="8" t="s">
        <v>359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 ht="18">
      <c r="A3" s="30" t="s">
        <v>360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>
      <c r="A4" s="11" t="s">
        <v>366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>
      <c r="A5" s="11"/>
      <c r="B5" s="11" t="s">
        <v>264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11"/>
      <c r="B6" s="11" t="s">
        <v>362</v>
      </c>
      <c r="C6" s="47"/>
      <c r="D6" s="47"/>
      <c r="E6" s="47"/>
      <c r="F6" s="47"/>
      <c r="G6" s="47"/>
      <c r="H6" s="47"/>
      <c r="I6" s="11"/>
      <c r="J6" s="11"/>
      <c r="K6" s="11"/>
      <c r="L6" s="11"/>
      <c r="M6" s="11"/>
      <c r="N6" s="11"/>
      <c r="O6" s="11"/>
    </row>
    <row r="7" spans="1:15">
      <c r="A7" s="11"/>
      <c r="B7" s="11" t="s">
        <v>264</v>
      </c>
      <c r="C7" s="47"/>
      <c r="D7" s="47"/>
      <c r="E7" s="47"/>
      <c r="F7" s="47"/>
      <c r="G7" s="47"/>
      <c r="H7" s="47"/>
      <c r="I7" s="11"/>
      <c r="J7" s="11"/>
      <c r="K7" s="11"/>
      <c r="L7" s="11"/>
      <c r="M7" s="11"/>
      <c r="N7" s="11"/>
      <c r="O7" s="11"/>
    </row>
    <row r="8" spans="1:15">
      <c r="A8" s="11" t="s">
        <v>361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0" t="s">
        <v>363</v>
      </c>
      <c r="B10" s="11"/>
      <c r="C10" s="11" t="s">
        <v>367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0" t="s">
        <v>364</v>
      </c>
      <c r="B11" s="11"/>
      <c r="C11" s="11" t="s">
        <v>365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 ht="15.75">
      <c r="A12" s="10" t="s">
        <v>348</v>
      </c>
      <c r="B12" s="11"/>
      <c r="C12" s="11" t="s">
        <v>368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39" t="s">
        <v>369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11" t="s">
        <v>370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0" t="s">
        <v>371</v>
      </c>
      <c r="B17" s="11"/>
      <c r="C17" s="11" t="s">
        <v>372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10" t="s">
        <v>373</v>
      </c>
      <c r="B18" s="11"/>
      <c r="C18" s="11" t="s">
        <v>374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36" t="s">
        <v>375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 ht="15.75">
      <c r="A21" s="10" t="s">
        <v>381</v>
      </c>
      <c r="B21" s="11"/>
      <c r="C21" s="11" t="s">
        <v>384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 ht="15.75">
      <c r="A22" s="10" t="s">
        <v>382</v>
      </c>
      <c r="B22" s="11"/>
      <c r="C22" s="11" t="s">
        <v>383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36" t="s">
        <v>385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6" spans="1:15" ht="18">
      <c r="A26" s="30" t="s">
        <v>376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11" t="s">
        <v>380</v>
      </c>
      <c r="B27" s="11"/>
      <c r="C27" s="11"/>
      <c r="D27" s="4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/>
      <c r="B28" s="11" t="s">
        <v>264</v>
      </c>
      <c r="C28" s="11"/>
      <c r="D28" s="4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</row>
    <row r="29" spans="1:15">
      <c r="A29" s="11"/>
      <c r="B29" s="11" t="s">
        <v>379</v>
      </c>
      <c r="C29" s="11"/>
      <c r="D29" s="4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pans="1:15">
      <c r="A30" s="11"/>
      <c r="B30" s="11" t="s">
        <v>378</v>
      </c>
      <c r="C30" s="11"/>
      <c r="D30" s="4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</row>
    <row r="31" spans="1:15">
      <c r="A31" s="11"/>
      <c r="B31" s="11" t="s">
        <v>264</v>
      </c>
      <c r="C31" s="11"/>
      <c r="D31" s="4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</row>
    <row r="32" spans="1:15" s="28" customFormat="1">
      <c r="A32" s="11"/>
      <c r="B32" s="11" t="s">
        <v>379</v>
      </c>
      <c r="C32" s="11"/>
      <c r="D32" s="4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</row>
    <row r="33" spans="1:15" s="28" customFormat="1">
      <c r="A33" s="11" t="s">
        <v>377</v>
      </c>
      <c r="B33" s="11"/>
      <c r="C33" s="11"/>
      <c r="D33" s="4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</row>
    <row r="34" spans="1:15" s="28" customFormat="1">
      <c r="A34" s="11"/>
      <c r="B34" s="11"/>
      <c r="C34" s="11"/>
      <c r="D34" s="4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</row>
    <row r="35" spans="1:15" s="28" customFormat="1">
      <c r="A35" s="39" t="s">
        <v>369</v>
      </c>
      <c r="B35" s="11"/>
      <c r="C35" s="11"/>
      <c r="D35" s="4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</row>
    <row r="36" spans="1:15" s="28" customFormat="1">
      <c r="A36" s="11" t="s">
        <v>370</v>
      </c>
      <c r="B36" s="11"/>
      <c r="C36" s="11"/>
      <c r="D36" s="4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</row>
    <row r="37" spans="1:15" s="28" customFormat="1">
      <c r="A37" s="11"/>
      <c r="B37" s="11"/>
      <c r="C37" s="11"/>
      <c r="D37" s="42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</row>
    <row r="38" spans="1:15" ht="15.75">
      <c r="A38" s="48"/>
      <c r="B38" s="49"/>
      <c r="C38" s="49"/>
    </row>
    <row r="39" spans="1:15" ht="18">
      <c r="A39" s="30" t="s">
        <v>386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</row>
    <row r="40" spans="1:15">
      <c r="A40" s="11"/>
      <c r="B40" s="11"/>
      <c r="C40" s="11"/>
      <c r="D40" s="42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>
      <c r="A41" s="47" t="s">
        <v>387</v>
      </c>
      <c r="B41" s="11"/>
      <c r="C41" s="11"/>
      <c r="D41" s="4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</row>
    <row r="42" spans="1:15">
      <c r="A42" s="47" t="s">
        <v>388</v>
      </c>
      <c r="B42" s="11"/>
      <c r="C42" s="11"/>
      <c r="D42" s="4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</row>
    <row r="43" spans="1:15">
      <c r="A43" s="11"/>
      <c r="B43" s="33">
        <f t="array" ref="B43:D44">returnarray()</f>
        <v>1</v>
      </c>
      <c r="C43" s="33">
        <v>2</v>
      </c>
      <c r="D43" s="54">
        <v>3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</row>
    <row r="44" spans="1:15">
      <c r="A44" s="11"/>
      <c r="B44" s="33">
        <v>4</v>
      </c>
      <c r="C44" s="33">
        <v>5</v>
      </c>
      <c r="D44" s="54">
        <v>6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>
      <c r="A45" s="11"/>
      <c r="B45" s="11"/>
      <c r="C45" s="11"/>
      <c r="D45" s="4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 s="28" customFormat="1">
      <c r="D46" s="46"/>
    </row>
    <row r="47" spans="1:15" ht="18">
      <c r="A47" s="30" t="s">
        <v>389</v>
      </c>
      <c r="B47" s="11"/>
      <c r="C47" s="11"/>
      <c r="D47" s="4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>
      <c r="A48" s="11"/>
      <c r="B48" s="11"/>
      <c r="C48" s="11"/>
      <c r="D48" s="4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1:15">
      <c r="A49" s="47" t="s">
        <v>390</v>
      </c>
      <c r="B49" s="11"/>
      <c r="C49" s="11"/>
      <c r="D49" s="4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>
      <c r="A50" s="11"/>
      <c r="B50" s="33">
        <v>10</v>
      </c>
      <c r="C50" s="33">
        <v>20</v>
      </c>
      <c r="D50" s="54">
        <v>30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>
      <c r="A51" s="39"/>
      <c r="B51" s="33">
        <v>40</v>
      </c>
      <c r="C51" s="33">
        <v>50</v>
      </c>
      <c r="D51" s="54">
        <v>60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>
      <c r="A52" s="11"/>
      <c r="B52" s="11"/>
      <c r="C52" s="11"/>
      <c r="D52" s="55">
        <f>sumof(B50:D51)</f>
        <v>210</v>
      </c>
      <c r="E52" s="11" t="str">
        <f>cellf(D52)</f>
        <v>=sumof(B50:D51)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>
      <c r="A53" s="11"/>
      <c r="B53" s="11"/>
      <c r="C53" s="11"/>
      <c r="D53" s="4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</sheetData>
  <dataConsolidate/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O35"/>
  <sheetViews>
    <sheetView topLeftCell="A13" workbookViewId="0">
      <selection activeCell="G29" sqref="G29"/>
    </sheetView>
  </sheetViews>
  <sheetFormatPr defaultRowHeight="15"/>
  <cols>
    <col min="1" max="1" width="9.140625" style="3"/>
    <col min="2" max="4" width="11" style="3" bestFit="1" customWidth="1"/>
    <col min="5" max="6" width="10.85546875" style="3" bestFit="1" customWidth="1"/>
    <col min="7" max="16384" width="9.140625" style="3"/>
  </cols>
  <sheetData>
    <row r="1" spans="1:15" s="15" customFormat="1" ht="27.75">
      <c r="A1" s="8" t="s">
        <v>412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3" spans="1:15">
      <c r="A3" s="11" t="s">
        <v>414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5" spans="1:15" ht="18">
      <c r="A5" s="30" t="s">
        <v>413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5">
      <c r="A6" s="39" t="s">
        <v>415</v>
      </c>
      <c r="B6" s="11"/>
      <c r="C6" s="47"/>
      <c r="D6" s="47"/>
      <c r="E6" s="47"/>
      <c r="F6" s="47"/>
      <c r="G6" s="47"/>
      <c r="H6" s="47"/>
      <c r="I6" s="11"/>
      <c r="J6" s="11"/>
      <c r="K6" s="11"/>
      <c r="L6" s="11"/>
      <c r="M6" s="11"/>
      <c r="N6" s="11"/>
      <c r="O6" s="11"/>
    </row>
    <row r="7" spans="1:15">
      <c r="A7" s="11" t="s">
        <v>416</v>
      </c>
      <c r="B7" s="11"/>
      <c r="C7" s="47"/>
      <c r="D7" s="47"/>
      <c r="E7" s="47"/>
      <c r="F7" s="47"/>
      <c r="G7" s="47"/>
      <c r="H7" s="47"/>
      <c r="I7" s="11"/>
      <c r="J7" s="11"/>
      <c r="K7" s="11"/>
      <c r="L7" s="11"/>
      <c r="M7" s="11"/>
      <c r="N7" s="11"/>
      <c r="O7" s="11"/>
    </row>
    <row r="8" spans="1:1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1:15">
      <c r="A9" s="39" t="s">
        <v>417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>
      <c r="A10" s="11" t="s">
        <v>418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</row>
    <row r="11" spans="1:15">
      <c r="A11" s="10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>
      <c r="A12" s="39" t="s">
        <v>419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>
      <c r="A13" s="11" t="s">
        <v>420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>
      <c r="A14" s="39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>
      <c r="A15" s="39" t="s">
        <v>421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>
      <c r="A16" s="11" t="s">
        <v>422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1:15">
      <c r="A17" s="10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1:15">
      <c r="A18" s="39" t="s">
        <v>423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1:15">
      <c r="A19" s="11" t="s">
        <v>424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1:15">
      <c r="A20" s="10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1:15">
      <c r="A21" s="39" t="s">
        <v>425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1:15">
      <c r="A22" s="11" t="s">
        <v>426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1:15">
      <c r="A23" s="36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1:1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  <row r="26" spans="1:15" ht="18">
      <c r="A26" s="30" t="s">
        <v>427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</row>
    <row r="27" spans="1:15">
      <c r="A27" s="39" t="s">
        <v>428</v>
      </c>
      <c r="B27" s="11"/>
      <c r="C27" s="11"/>
      <c r="D27" s="4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</row>
    <row r="28" spans="1:15">
      <c r="A28" s="11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</row>
    <row r="29" spans="1:1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</row>
    <row r="30" spans="1:1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</row>
    <row r="31" spans="1:15">
      <c r="A31" s="36" t="s">
        <v>442</v>
      </c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</row>
    <row r="32" spans="1:1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</row>
    <row r="35" spans="3:3">
      <c r="C35" s="109"/>
    </row>
  </sheetData>
  <dataConsolidate/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Line="0" autoPict="0" macro="[0]!Go_Contents">
                <anchor moveWithCells="1" sizeWithCells="1">
                  <from>
                    <xdr:col>13</xdr:col>
                    <xdr:colOff>47625</xdr:colOff>
                    <xdr:row>0</xdr:row>
                    <xdr:rowOff>28575</xdr:rowOff>
                  </from>
                  <to>
                    <xdr:col>14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28"/>
  <sheetViews>
    <sheetView workbookViewId="0">
      <selection activeCell="G31" sqref="G31"/>
    </sheetView>
  </sheetViews>
  <sheetFormatPr defaultRowHeight="12.75"/>
  <cols>
    <col min="3" max="3" width="12.5703125" bestFit="1" customWidth="1"/>
    <col min="4" max="4" width="11.140625" customWidth="1"/>
    <col min="5" max="5" width="11.42578125" bestFit="1" customWidth="1"/>
  </cols>
  <sheetData>
    <row r="1" spans="1:13" ht="27">
      <c r="A1" s="56" t="s">
        <v>1</v>
      </c>
      <c r="B1" s="56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4" spans="1:13" ht="18.75">
      <c r="B4" s="96"/>
      <c r="I4" s="1"/>
      <c r="J4" s="1"/>
      <c r="K4" s="1"/>
      <c r="L4" s="1"/>
    </row>
    <row r="5" spans="1:13">
      <c r="I5" s="1"/>
      <c r="J5" s="1"/>
      <c r="K5" s="1"/>
      <c r="L5" s="1"/>
    </row>
    <row r="6" spans="1:13" ht="18">
      <c r="B6" s="31"/>
      <c r="I6" s="1"/>
      <c r="J6" s="1"/>
      <c r="K6" s="1"/>
      <c r="L6" s="1"/>
    </row>
    <row r="7" spans="1:13">
      <c r="I7" s="1"/>
      <c r="J7" s="1"/>
      <c r="K7" s="1"/>
      <c r="L7" s="1"/>
    </row>
    <row r="8" spans="1:13">
      <c r="I8" s="1"/>
      <c r="J8" s="1"/>
      <c r="K8" s="1"/>
      <c r="L8" s="1"/>
    </row>
    <row r="9" spans="1:13">
      <c r="I9" s="1"/>
      <c r="J9" s="1"/>
      <c r="K9" s="1"/>
      <c r="L9" s="1"/>
    </row>
    <row r="10" spans="1:13">
      <c r="I10" s="1"/>
      <c r="J10" s="1"/>
      <c r="K10" s="1"/>
      <c r="L10" s="1"/>
    </row>
    <row r="11" spans="1:13">
      <c r="I11" s="1"/>
      <c r="J11" s="1"/>
      <c r="K11" s="1"/>
      <c r="L11" s="1"/>
    </row>
    <row r="12" spans="1:13">
      <c r="I12" s="1"/>
      <c r="J12" s="1"/>
      <c r="K12" s="1"/>
      <c r="L12" s="1"/>
    </row>
    <row r="13" spans="1:13">
      <c r="I13" s="1"/>
      <c r="J13" s="1"/>
      <c r="K13" s="1"/>
      <c r="L13" s="1"/>
    </row>
    <row r="14" spans="1:13">
      <c r="I14" s="1"/>
      <c r="J14" s="1"/>
      <c r="K14" s="1"/>
      <c r="L14" s="1"/>
    </row>
    <row r="15" spans="1:13">
      <c r="I15" s="1"/>
      <c r="J15" s="1"/>
      <c r="K15" s="1"/>
      <c r="L15" s="1"/>
    </row>
    <row r="16" spans="1:13">
      <c r="I16" s="1"/>
      <c r="J16" s="1"/>
      <c r="K16" s="1"/>
      <c r="L16" s="1"/>
    </row>
    <row r="24" spans="1:7" ht="15.75">
      <c r="A24" s="107" t="s">
        <v>436</v>
      </c>
    </row>
    <row r="25" spans="1:7" ht="15.75">
      <c r="A25" s="107" t="s">
        <v>441</v>
      </c>
    </row>
    <row r="28" spans="1:7" ht="25.5">
      <c r="B28" s="97" t="s">
        <v>429</v>
      </c>
      <c r="C28" s="105" t="s">
        <v>0</v>
      </c>
      <c r="D28" s="105" t="s">
        <v>2</v>
      </c>
    </row>
    <row r="29" spans="1:7">
      <c r="A29">
        <v>1</v>
      </c>
      <c r="B29" s="98">
        <v>0.67793947458267212</v>
      </c>
      <c r="C29" s="98">
        <f>NORMINV(B29,0,1)</f>
        <v>0.46194459793642695</v>
      </c>
      <c r="D29" s="98">
        <v>0.93946164261642584</v>
      </c>
      <c r="F29" s="97" t="s">
        <v>3</v>
      </c>
      <c r="G29" s="106"/>
    </row>
    <row r="30" spans="1:7">
      <c r="A30">
        <v>2</v>
      </c>
      <c r="B30" s="98">
        <v>0.12643742561340332</v>
      </c>
      <c r="C30" s="98">
        <f t="shared" ref="C30:C93" si="0">NORMINV(B30,0,1)</f>
        <v>-1.1433944609236908</v>
      </c>
      <c r="D30" s="98">
        <v>0.82657111197541555</v>
      </c>
    </row>
    <row r="31" spans="1:7">
      <c r="A31">
        <v>3</v>
      </c>
      <c r="B31" s="98">
        <v>0.60296398401260376</v>
      </c>
      <c r="C31" s="98">
        <f t="shared" si="0"/>
        <v>0.26102655116597256</v>
      </c>
      <c r="D31" s="98">
        <v>0.64005328045228083</v>
      </c>
      <c r="F31" s="97" t="s">
        <v>430</v>
      </c>
      <c r="G31" s="98">
        <f>MAX(nvNI)</f>
        <v>2.6514206609248139</v>
      </c>
    </row>
    <row r="32" spans="1:7">
      <c r="A32">
        <v>4</v>
      </c>
      <c r="B32" s="98">
        <v>0.82408821582794189</v>
      </c>
      <c r="C32" s="98">
        <f t="shared" si="0"/>
        <v>0.93105798921245364</v>
      </c>
      <c r="D32" s="98">
        <v>1.9002791187112922</v>
      </c>
      <c r="F32" s="97" t="s">
        <v>431</v>
      </c>
      <c r="G32" s="98">
        <f>MIN(nvNI)</f>
        <v>-3.1830718766215056</v>
      </c>
    </row>
    <row r="33" spans="1:7">
      <c r="A33">
        <v>5</v>
      </c>
      <c r="B33" s="98">
        <v>0.30801862478256226</v>
      </c>
      <c r="C33" s="98">
        <f t="shared" si="0"/>
        <v>-0.50147445770624643</v>
      </c>
      <c r="D33" s="98">
        <v>0.60829461459550493</v>
      </c>
    </row>
    <row r="34" spans="1:7">
      <c r="A34">
        <v>6</v>
      </c>
      <c r="B34" s="98">
        <v>3.87115478515625E-2</v>
      </c>
      <c r="C34" s="98">
        <f t="shared" si="0"/>
        <v>-1.7658376160886786</v>
      </c>
      <c r="D34" s="98">
        <v>0.60438652731631681</v>
      </c>
    </row>
    <row r="35" spans="1:7">
      <c r="A35">
        <v>7</v>
      </c>
      <c r="B35" s="98">
        <v>0.10852557420730591</v>
      </c>
      <c r="C35" s="98">
        <f t="shared" si="0"/>
        <v>-1.2344073584650399</v>
      </c>
      <c r="D35" s="98">
        <v>1.2803913127945779</v>
      </c>
      <c r="F35" s="99" t="s">
        <v>432</v>
      </c>
      <c r="G35" s="99" t="s">
        <v>433</v>
      </c>
    </row>
    <row r="36" spans="1:7">
      <c r="A36">
        <v>8</v>
      </c>
      <c r="B36" s="98">
        <v>0.22592723369598389</v>
      </c>
      <c r="C36" s="98">
        <f t="shared" si="0"/>
        <v>-0.75232694558242441</v>
      </c>
      <c r="D36" s="98">
        <v>1.3418313997614355</v>
      </c>
      <c r="F36" s="100">
        <v>-3</v>
      </c>
      <c r="G36" s="101">
        <f t="array" ref="G36:G48">FREQUENCY(C29:C1028,F36:F48)</f>
        <v>2</v>
      </c>
    </row>
    <row r="37" spans="1:7">
      <c r="A37">
        <v>9</v>
      </c>
      <c r="B37" s="98">
        <v>0.9850042462348938</v>
      </c>
      <c r="C37" s="98">
        <f t="shared" si="0"/>
        <v>2.1702025165668255</v>
      </c>
      <c r="D37" s="98">
        <v>-0.54209213195031603</v>
      </c>
      <c r="F37" s="100">
        <v>-2.5</v>
      </c>
      <c r="G37" s="101">
        <v>5</v>
      </c>
    </row>
    <row r="38" spans="1:7">
      <c r="A38">
        <v>10</v>
      </c>
      <c r="B38" s="98">
        <v>0.65426480770111084</v>
      </c>
      <c r="C38" s="98">
        <f t="shared" si="0"/>
        <v>0.39686043102603269</v>
      </c>
      <c r="D38" s="98">
        <v>0.15125289993813215</v>
      </c>
      <c r="F38" s="100">
        <v>-2</v>
      </c>
      <c r="G38" s="101">
        <v>15</v>
      </c>
    </row>
    <row r="39" spans="1:7">
      <c r="A39">
        <v>11</v>
      </c>
      <c r="B39" s="98">
        <v>0.22113150358200073</v>
      </c>
      <c r="C39" s="98">
        <f t="shared" si="0"/>
        <v>-0.76837739314476372</v>
      </c>
      <c r="D39" s="98">
        <v>-0.36761274354997486</v>
      </c>
      <c r="F39" s="100">
        <v>-1.5</v>
      </c>
      <c r="G39" s="101">
        <v>42</v>
      </c>
    </row>
    <row r="40" spans="1:7">
      <c r="A40">
        <v>12</v>
      </c>
      <c r="B40" s="98">
        <v>0.78188061714172363</v>
      </c>
      <c r="C40" s="98">
        <f t="shared" si="0"/>
        <v>0.77856031197385289</v>
      </c>
      <c r="D40" s="98">
        <v>-0.81705645450022446</v>
      </c>
      <c r="F40" s="100">
        <v>-1</v>
      </c>
      <c r="G40" s="101">
        <v>86</v>
      </c>
    </row>
    <row r="41" spans="1:7">
      <c r="A41">
        <v>13</v>
      </c>
      <c r="B41" s="98">
        <v>0.56810718774795532</v>
      </c>
      <c r="C41" s="98">
        <f t="shared" si="0"/>
        <v>0.17155724251073923</v>
      </c>
      <c r="D41" s="98">
        <v>-0.33488946223826077</v>
      </c>
      <c r="F41" s="100">
        <v>-0.5</v>
      </c>
      <c r="G41" s="101">
        <v>146</v>
      </c>
    </row>
    <row r="42" spans="1:7">
      <c r="A42">
        <v>14</v>
      </c>
      <c r="B42" s="98">
        <v>0.88826858997344971</v>
      </c>
      <c r="C42" s="98">
        <f t="shared" si="0"/>
        <v>1.217371714150475</v>
      </c>
      <c r="D42" s="98">
        <v>-0.3422741522356848</v>
      </c>
      <c r="F42" s="100">
        <v>0</v>
      </c>
      <c r="G42" s="101">
        <v>194</v>
      </c>
    </row>
    <row r="43" spans="1:7">
      <c r="A43">
        <v>15</v>
      </c>
      <c r="B43" s="98">
        <v>0.25288289785385132</v>
      </c>
      <c r="C43" s="98">
        <f t="shared" si="0"/>
        <v>-0.66544517998077857</v>
      </c>
      <c r="D43" s="98">
        <v>-0.6769066255106726</v>
      </c>
      <c r="F43" s="100">
        <v>0.5</v>
      </c>
      <c r="G43" s="101">
        <v>186</v>
      </c>
    </row>
    <row r="44" spans="1:7">
      <c r="A44">
        <v>16</v>
      </c>
      <c r="B44" s="98">
        <v>0.22854804992675781</v>
      </c>
      <c r="C44" s="98">
        <f t="shared" si="0"/>
        <v>-0.74363702108580343</v>
      </c>
      <c r="D44" s="98">
        <v>-0.96094827815237593</v>
      </c>
      <c r="F44" s="100">
        <v>1</v>
      </c>
      <c r="G44" s="101">
        <v>163</v>
      </c>
    </row>
    <row r="45" spans="1:7">
      <c r="A45">
        <v>17</v>
      </c>
      <c r="B45" s="98">
        <v>5.1299393177032471E-2</v>
      </c>
      <c r="C45" s="98">
        <f t="shared" si="0"/>
        <v>-1.6323831982920507</v>
      </c>
      <c r="D45" s="98">
        <v>0.78252437244005602</v>
      </c>
      <c r="F45" s="100">
        <v>1.5</v>
      </c>
      <c r="G45" s="101">
        <v>84</v>
      </c>
    </row>
    <row r="46" spans="1:7">
      <c r="A46">
        <v>18</v>
      </c>
      <c r="B46" s="98">
        <v>0.9253309965133667</v>
      </c>
      <c r="C46" s="98">
        <f t="shared" si="0"/>
        <v>1.441873699421852</v>
      </c>
      <c r="D46" s="98">
        <v>1.9305518325614519</v>
      </c>
      <c r="F46" s="100">
        <v>2</v>
      </c>
      <c r="G46" s="101">
        <v>55</v>
      </c>
    </row>
    <row r="47" spans="1:7">
      <c r="A47">
        <v>19</v>
      </c>
      <c r="B47" s="98">
        <v>0.75439518690109253</v>
      </c>
      <c r="C47" s="98">
        <f t="shared" si="0"/>
        <v>0.688386177079645</v>
      </c>
      <c r="D47" s="98">
        <v>1.0144839299924415</v>
      </c>
      <c r="F47" s="102">
        <v>2.5</v>
      </c>
      <c r="G47" s="103">
        <v>20</v>
      </c>
    </row>
    <row r="48" spans="1:7">
      <c r="A48">
        <v>20</v>
      </c>
      <c r="B48" s="98">
        <v>0.87839007377624512</v>
      </c>
      <c r="C48" s="98">
        <f t="shared" si="0"/>
        <v>1.1669765185005074</v>
      </c>
      <c r="D48" s="98">
        <v>4.4686019824798522E-2</v>
      </c>
      <c r="F48" s="100">
        <v>3</v>
      </c>
      <c r="G48" s="101">
        <v>2</v>
      </c>
    </row>
    <row r="49" spans="1:7">
      <c r="A49">
        <v>21</v>
      </c>
      <c r="B49" s="98">
        <v>0.10737138986587524</v>
      </c>
      <c r="C49" s="98">
        <f t="shared" si="0"/>
        <v>-1.2406291462149108</v>
      </c>
      <c r="D49" s="98">
        <v>-2.7070761530045308E-2</v>
      </c>
      <c r="E49" s="104"/>
      <c r="F49" s="4"/>
    </row>
    <row r="50" spans="1:7">
      <c r="A50">
        <v>22</v>
      </c>
      <c r="B50" s="98">
        <v>0.91260778903961182</v>
      </c>
      <c r="C50" s="98">
        <f t="shared" si="0"/>
        <v>1.3569898931090791</v>
      </c>
      <c r="D50" s="98">
        <v>0.26390290239679676</v>
      </c>
      <c r="E50" s="104"/>
      <c r="F50" s="4"/>
    </row>
    <row r="51" spans="1:7">
      <c r="A51">
        <v>23</v>
      </c>
      <c r="B51" s="98">
        <v>0.31496280431747437</v>
      </c>
      <c r="C51" s="98">
        <f t="shared" si="0"/>
        <v>-0.4818315587683567</v>
      </c>
      <c r="D51" s="98">
        <v>-0.25162900303337699</v>
      </c>
      <c r="E51" s="104"/>
      <c r="F51" s="4"/>
    </row>
    <row r="52" spans="1:7">
      <c r="A52">
        <v>24</v>
      </c>
      <c r="B52" s="98">
        <v>0.63295698165893555</v>
      </c>
      <c r="C52" s="98">
        <f t="shared" si="0"/>
        <v>0.3396952533626672</v>
      </c>
      <c r="D52" s="98">
        <v>-0.22496268623443505</v>
      </c>
    </row>
    <row r="53" spans="1:7">
      <c r="A53">
        <v>25</v>
      </c>
      <c r="B53" s="98">
        <v>0.33861631155014038</v>
      </c>
      <c r="C53" s="98">
        <f t="shared" si="0"/>
        <v>-0.41624241830320707</v>
      </c>
      <c r="D53" s="98">
        <v>1.587479955939626</v>
      </c>
    </row>
    <row r="54" spans="1:7">
      <c r="A54">
        <v>26</v>
      </c>
      <c r="B54" s="98">
        <v>0.36491775512695313</v>
      </c>
      <c r="C54" s="98">
        <f t="shared" si="0"/>
        <v>-0.34534434790299795</v>
      </c>
      <c r="D54" s="98">
        <v>-0.43350458269247877</v>
      </c>
    </row>
    <row r="55" spans="1:7">
      <c r="A55">
        <v>27</v>
      </c>
      <c r="B55" s="98">
        <v>0.18767672777175903</v>
      </c>
      <c r="C55" s="98">
        <f t="shared" si="0"/>
        <v>-0.88649015763117212</v>
      </c>
      <c r="D55" s="98">
        <v>0.58040970465763875</v>
      </c>
      <c r="F55" s="97" t="s">
        <v>1</v>
      </c>
      <c r="G55" s="106"/>
    </row>
    <row r="56" spans="1:7">
      <c r="A56">
        <v>28</v>
      </c>
      <c r="B56" s="98">
        <v>0.14743983745574951</v>
      </c>
      <c r="C56" s="98">
        <f t="shared" si="0"/>
        <v>-1.0474769126523877</v>
      </c>
      <c r="D56" s="98">
        <v>-2.0573677309437368</v>
      </c>
    </row>
    <row r="57" spans="1:7">
      <c r="A57">
        <v>29</v>
      </c>
      <c r="B57" s="98">
        <v>0.32697278261184692</v>
      </c>
      <c r="C57" s="98">
        <f t="shared" si="0"/>
        <v>-0.44828771549444635</v>
      </c>
      <c r="D57" s="98">
        <v>-0.83374412219064531</v>
      </c>
      <c r="F57" s="97" t="s">
        <v>430</v>
      </c>
      <c r="G57" s="98">
        <f>MAX(nvBM)</f>
        <v>3.2101613497115036</v>
      </c>
    </row>
    <row r="58" spans="1:7">
      <c r="A58">
        <v>30</v>
      </c>
      <c r="B58" s="98">
        <v>0.85470807552337646</v>
      </c>
      <c r="C58" s="98">
        <f t="shared" si="0"/>
        <v>1.056841679105794</v>
      </c>
      <c r="D58" s="98">
        <v>0.79114332303474766</v>
      </c>
      <c r="F58" s="97" t="s">
        <v>431</v>
      </c>
      <c r="G58" s="98">
        <f>MIN(nvBM)</f>
        <v>-4.4210893950586962</v>
      </c>
    </row>
    <row r="59" spans="1:7">
      <c r="A59">
        <v>31</v>
      </c>
      <c r="B59" s="98">
        <v>0.10213202238082886</v>
      </c>
      <c r="C59" s="98">
        <f t="shared" si="0"/>
        <v>-1.2694964812055221</v>
      </c>
      <c r="D59" s="98">
        <v>-0.39196199983983826</v>
      </c>
    </row>
    <row r="60" spans="1:7">
      <c r="A60">
        <v>32</v>
      </c>
      <c r="B60" s="98">
        <v>8.4710359573364258E-2</v>
      </c>
      <c r="C60" s="98">
        <f t="shared" si="0"/>
        <v>-1.37406752837157</v>
      </c>
      <c r="D60" s="98">
        <v>-0.11358776950818786</v>
      </c>
    </row>
    <row r="61" spans="1:7">
      <c r="A61">
        <v>33</v>
      </c>
      <c r="B61" s="98">
        <v>0.96592289209365845</v>
      </c>
      <c r="C61" s="98">
        <f t="shared" si="0"/>
        <v>1.8239858213007138</v>
      </c>
      <c r="D61" s="98">
        <v>-3.53227946066531E-2</v>
      </c>
      <c r="F61" s="99" t="s">
        <v>432</v>
      </c>
      <c r="G61" s="99" t="s">
        <v>433</v>
      </c>
    </row>
    <row r="62" spans="1:7">
      <c r="A62">
        <v>34</v>
      </c>
      <c r="B62" s="98">
        <v>0.64333832263946533</v>
      </c>
      <c r="C62" s="98">
        <f t="shared" si="0"/>
        <v>0.36739640240439625</v>
      </c>
      <c r="D62" s="98">
        <v>1.26224545984966</v>
      </c>
      <c r="F62" s="100">
        <v>-3</v>
      </c>
      <c r="G62" s="101">
        <f t="array" ref="G62:G74">FREQUENCY(D29:D1028,F62:F74)</f>
        <v>1</v>
      </c>
    </row>
    <row r="63" spans="1:7">
      <c r="A63">
        <v>35</v>
      </c>
      <c r="B63" s="98">
        <v>0.47146886587142944</v>
      </c>
      <c r="C63" s="98">
        <f t="shared" si="0"/>
        <v>-7.157802119947064E-2</v>
      </c>
      <c r="D63" s="98">
        <v>0.12210760660821607</v>
      </c>
      <c r="F63" s="100">
        <v>-2.5</v>
      </c>
      <c r="G63" s="101">
        <v>5</v>
      </c>
    </row>
    <row r="64" spans="1:7">
      <c r="A64">
        <v>36</v>
      </c>
      <c r="B64" s="98">
        <v>0.94662249088287354</v>
      </c>
      <c r="C64" s="98">
        <f t="shared" si="0"/>
        <v>1.6129516238753987</v>
      </c>
      <c r="D64" s="98">
        <v>0.50157178015243142</v>
      </c>
      <c r="F64" s="100">
        <v>-2</v>
      </c>
      <c r="G64" s="101">
        <v>13</v>
      </c>
    </row>
    <row r="65" spans="1:7">
      <c r="A65">
        <v>37</v>
      </c>
      <c r="B65" s="98">
        <v>0.37046104669570923</v>
      </c>
      <c r="C65" s="98">
        <f t="shared" si="0"/>
        <v>-0.330632501027947</v>
      </c>
      <c r="D65" s="98">
        <v>-1.2777783005017203</v>
      </c>
      <c r="F65" s="100">
        <v>-1.5</v>
      </c>
      <c r="G65" s="101">
        <v>35</v>
      </c>
    </row>
    <row r="66" spans="1:7">
      <c r="A66">
        <v>38</v>
      </c>
      <c r="B66" s="98">
        <v>0.43820607662200928</v>
      </c>
      <c r="C66" s="98">
        <f t="shared" si="0"/>
        <v>-0.15551902929465103</v>
      </c>
      <c r="D66" s="98">
        <v>1.8880019433086745</v>
      </c>
      <c r="F66" s="100">
        <v>-1</v>
      </c>
      <c r="G66" s="101">
        <v>84</v>
      </c>
    </row>
    <row r="67" spans="1:7">
      <c r="A67">
        <v>39</v>
      </c>
      <c r="B67" s="98">
        <v>9.7046196460723877E-2</v>
      </c>
      <c r="C67" s="98">
        <f t="shared" si="0"/>
        <v>-1.2985675132133339</v>
      </c>
      <c r="D67" s="98">
        <v>1.2640124735527498</v>
      </c>
      <c r="F67" s="100">
        <v>-0.5</v>
      </c>
      <c r="G67" s="101">
        <v>142</v>
      </c>
    </row>
    <row r="68" spans="1:7">
      <c r="A68">
        <v>40</v>
      </c>
      <c r="B68" s="98">
        <v>0.35715949535369873</v>
      </c>
      <c r="C68" s="98">
        <f t="shared" si="0"/>
        <v>-0.3660617605757403</v>
      </c>
      <c r="D68" s="98">
        <v>1.2522750198368597</v>
      </c>
      <c r="F68" s="100">
        <v>0</v>
      </c>
      <c r="G68" s="101">
        <v>210</v>
      </c>
    </row>
    <row r="69" spans="1:7">
      <c r="A69">
        <v>41</v>
      </c>
      <c r="B69" s="98">
        <v>8.6236655712127686E-2</v>
      </c>
      <c r="C69" s="98">
        <f t="shared" si="0"/>
        <v>-1.3642995374686639</v>
      </c>
      <c r="D69" s="98">
        <v>0.95522333896501621</v>
      </c>
      <c r="F69" s="100">
        <v>0.5</v>
      </c>
      <c r="G69" s="101">
        <v>189</v>
      </c>
    </row>
    <row r="70" spans="1:7">
      <c r="A70">
        <v>42</v>
      </c>
      <c r="B70" s="98">
        <v>0.1559751033782959</v>
      </c>
      <c r="C70" s="98">
        <f t="shared" si="0"/>
        <v>-1.0111383726173282</v>
      </c>
      <c r="D70" s="98">
        <v>8.7126183516232886E-2</v>
      </c>
      <c r="F70" s="100">
        <v>1</v>
      </c>
      <c r="G70" s="101">
        <v>153</v>
      </c>
    </row>
    <row r="71" spans="1:7">
      <c r="A71">
        <v>43</v>
      </c>
      <c r="B71" s="98">
        <v>0.20534902811050415</v>
      </c>
      <c r="C71" s="98">
        <f t="shared" si="0"/>
        <v>-0.8226658223048483</v>
      </c>
      <c r="D71" s="98">
        <v>2.2590134730304485</v>
      </c>
      <c r="F71" s="100">
        <v>1.5</v>
      </c>
      <c r="G71" s="101">
        <v>98</v>
      </c>
    </row>
    <row r="72" spans="1:7">
      <c r="A72">
        <v>44</v>
      </c>
      <c r="B72" s="98">
        <v>0.26232874393463135</v>
      </c>
      <c r="C72" s="98">
        <f t="shared" si="0"/>
        <v>-0.63618248490530271</v>
      </c>
      <c r="D72" s="98">
        <v>0.62779154693631001</v>
      </c>
      <c r="F72" s="100">
        <v>2</v>
      </c>
      <c r="G72" s="101">
        <v>43</v>
      </c>
    </row>
    <row r="73" spans="1:7">
      <c r="A73">
        <v>45</v>
      </c>
      <c r="B73" s="98">
        <v>4.3329596519470215E-3</v>
      </c>
      <c r="C73" s="98">
        <f t="shared" si="0"/>
        <v>-2.6249598196577528</v>
      </c>
      <c r="D73" s="98">
        <v>-1.4074662720309177</v>
      </c>
      <c r="F73" s="102">
        <v>2.5</v>
      </c>
      <c r="G73" s="103">
        <v>16</v>
      </c>
    </row>
    <row r="74" spans="1:7">
      <c r="A74">
        <v>46</v>
      </c>
      <c r="B74" s="98">
        <v>0.46039247512817383</v>
      </c>
      <c r="C74" s="98">
        <f t="shared" si="0"/>
        <v>-9.944500594752255E-2</v>
      </c>
      <c r="D74" s="98">
        <v>-0.58999291410582066</v>
      </c>
      <c r="F74" s="100">
        <v>3</v>
      </c>
      <c r="G74" s="101">
        <v>10</v>
      </c>
    </row>
    <row r="75" spans="1:7">
      <c r="A75">
        <v>47</v>
      </c>
      <c r="B75" s="98">
        <v>0.89776796102523804</v>
      </c>
      <c r="C75" s="98">
        <f t="shared" si="0"/>
        <v>1.2689354765314009</v>
      </c>
      <c r="D75" s="98">
        <v>-0.66264901010480404</v>
      </c>
    </row>
    <row r="76" spans="1:7">
      <c r="A76">
        <v>48</v>
      </c>
      <c r="B76" s="98">
        <v>0.92700290679931641</v>
      </c>
      <c r="C76" s="98">
        <f t="shared" si="0"/>
        <v>1.4538273224403793</v>
      </c>
      <c r="D76" s="98">
        <v>-0.79550413196509273</v>
      </c>
    </row>
    <row r="77" spans="1:7">
      <c r="A77">
        <v>49</v>
      </c>
      <c r="B77" s="98">
        <v>0.82246822118759155</v>
      </c>
      <c r="C77" s="98">
        <f t="shared" si="0"/>
        <v>0.92481228806553051</v>
      </c>
      <c r="D77" s="98">
        <v>0.2204543065204134</v>
      </c>
    </row>
    <row r="78" spans="1:7">
      <c r="A78">
        <v>50</v>
      </c>
      <c r="B78" s="98">
        <v>0.44235336780548096</v>
      </c>
      <c r="C78" s="98">
        <f t="shared" si="0"/>
        <v>-0.14500523871737944</v>
      </c>
      <c r="D78" s="98">
        <v>0.62328150981804598</v>
      </c>
    </row>
    <row r="79" spans="1:7">
      <c r="A79">
        <v>51</v>
      </c>
      <c r="B79" s="98">
        <v>0.50353139638900757</v>
      </c>
      <c r="C79" s="98">
        <f t="shared" si="0"/>
        <v>8.8520136408195525E-3</v>
      </c>
      <c r="D79" s="98">
        <v>-0.36159387978260965</v>
      </c>
    </row>
    <row r="80" spans="1:7">
      <c r="A80">
        <v>52</v>
      </c>
      <c r="B80" s="98">
        <v>0.76572608947753906</v>
      </c>
      <c r="C80" s="98">
        <f t="shared" si="0"/>
        <v>0.72484386640472642</v>
      </c>
      <c r="D80" s="98">
        <v>-0.17219311808189816</v>
      </c>
    </row>
    <row r="81" spans="1:4">
      <c r="A81">
        <v>53</v>
      </c>
      <c r="B81" s="98">
        <v>0.32092982530593872</v>
      </c>
      <c r="C81" s="98">
        <f t="shared" si="0"/>
        <v>-0.46510027284897026</v>
      </c>
      <c r="D81" s="98">
        <v>-0.91332791521269296</v>
      </c>
    </row>
    <row r="82" spans="1:4">
      <c r="A82">
        <v>54</v>
      </c>
      <c r="B82" s="98">
        <v>0.76249682903289795</v>
      </c>
      <c r="C82" s="98">
        <f t="shared" si="0"/>
        <v>0.71435718152085514</v>
      </c>
      <c r="D82" s="98">
        <v>-0.24195952994932793</v>
      </c>
    </row>
    <row r="83" spans="1:4">
      <c r="A83">
        <v>55</v>
      </c>
      <c r="B83" s="98">
        <v>0.98685520887374878</v>
      </c>
      <c r="C83" s="98">
        <f t="shared" si="0"/>
        <v>2.2219071331347573</v>
      </c>
      <c r="D83" s="98">
        <v>-1.3271600674321757</v>
      </c>
    </row>
    <row r="84" spans="1:4">
      <c r="A84">
        <v>56</v>
      </c>
      <c r="B84" s="98">
        <v>3.1656980514526367E-2</v>
      </c>
      <c r="C84" s="98">
        <f t="shared" si="0"/>
        <v>-1.8569802709002279</v>
      </c>
      <c r="D84" s="98">
        <v>-1.0021693201759332</v>
      </c>
    </row>
    <row r="85" spans="1:4">
      <c r="A85">
        <v>57</v>
      </c>
      <c r="B85" s="98">
        <v>0.83757323026657104</v>
      </c>
      <c r="C85" s="98">
        <f t="shared" si="0"/>
        <v>0.98453294845056472</v>
      </c>
      <c r="D85" s="98">
        <v>-0.20871136392585776</v>
      </c>
    </row>
    <row r="86" spans="1:4">
      <c r="A86">
        <v>58</v>
      </c>
      <c r="B86" s="98">
        <v>0.4875633716583252</v>
      </c>
      <c r="C86" s="98">
        <f t="shared" si="0"/>
        <v>-3.1179055206357453E-2</v>
      </c>
      <c r="D86" s="98">
        <v>0.15770774404381785</v>
      </c>
    </row>
    <row r="87" spans="1:4">
      <c r="A87">
        <v>59</v>
      </c>
      <c r="B87" s="98">
        <v>0.21524137258529663</v>
      </c>
      <c r="C87" s="98">
        <f t="shared" si="0"/>
        <v>-0.7883658414081699</v>
      </c>
      <c r="D87" s="98">
        <v>0.55620286706708666</v>
      </c>
    </row>
    <row r="88" spans="1:4">
      <c r="A88">
        <v>60</v>
      </c>
      <c r="B88" s="98">
        <v>7.28607177734375E-4</v>
      </c>
      <c r="C88" s="98">
        <f t="shared" si="0"/>
        <v>-3.1830718766215056</v>
      </c>
      <c r="D88" s="98">
        <v>-0.70699715357497106</v>
      </c>
    </row>
    <row r="89" spans="1:4">
      <c r="A89">
        <v>61</v>
      </c>
      <c r="B89" s="98">
        <v>0.79422122240066528</v>
      </c>
      <c r="C89" s="98">
        <f t="shared" si="0"/>
        <v>0.82115575471398083</v>
      </c>
      <c r="D89" s="98">
        <v>0.72002730251070912</v>
      </c>
    </row>
    <row r="90" spans="1:4">
      <c r="A90">
        <v>62</v>
      </c>
      <c r="B90" s="98">
        <v>0.88792598247528076</v>
      </c>
      <c r="C90" s="98">
        <f t="shared" si="0"/>
        <v>1.2155719232279167</v>
      </c>
      <c r="D90" s="98">
        <v>0.78104264570122672</v>
      </c>
    </row>
    <row r="91" spans="1:4">
      <c r="A91">
        <v>63</v>
      </c>
      <c r="B91" s="98">
        <v>0.18425244092941284</v>
      </c>
      <c r="C91" s="98">
        <f t="shared" si="0"/>
        <v>-0.89927747563038396</v>
      </c>
      <c r="D91" s="98">
        <v>-2.6423641979008001E-2</v>
      </c>
    </row>
    <row r="92" spans="1:4">
      <c r="A92">
        <v>64</v>
      </c>
      <c r="B92" s="98">
        <v>0.52982044219970703</v>
      </c>
      <c r="C92" s="98">
        <f t="shared" si="0"/>
        <v>7.481850829580651E-2</v>
      </c>
      <c r="D92" s="98">
        <v>-0.18873834816047944</v>
      </c>
    </row>
    <row r="93" spans="1:4">
      <c r="A93">
        <v>65</v>
      </c>
      <c r="B93" s="98">
        <v>0.57417136430740356</v>
      </c>
      <c r="C93" s="98">
        <f t="shared" si="0"/>
        <v>0.18700428740403147</v>
      </c>
      <c r="D93" s="98">
        <v>8.4721360074966237E-2</v>
      </c>
    </row>
    <row r="94" spans="1:4">
      <c r="A94">
        <v>66</v>
      </c>
      <c r="B94" s="98">
        <v>6.2670588493347168E-2</v>
      </c>
      <c r="C94" s="98">
        <f t="shared" ref="C94:C157" si="1">NORMINV(B94,0,1)</f>
        <v>-1.5327349382685818</v>
      </c>
      <c r="D94" s="98">
        <v>-1.2471541929790015</v>
      </c>
    </row>
    <row r="95" spans="1:4">
      <c r="A95">
        <v>67</v>
      </c>
      <c r="B95" s="98">
        <v>0.93859559297561646</v>
      </c>
      <c r="C95" s="98">
        <f t="shared" si="1"/>
        <v>1.5430905220493301</v>
      </c>
      <c r="D95" s="98">
        <v>1.6621005706520013</v>
      </c>
    </row>
    <row r="96" spans="1:4">
      <c r="A96">
        <v>68</v>
      </c>
      <c r="B96" s="98">
        <v>0.53522813320159912</v>
      </c>
      <c r="C96" s="98">
        <f t="shared" si="1"/>
        <v>8.8418908180699141E-2</v>
      </c>
      <c r="D96" s="98">
        <v>-0.50397723161729668</v>
      </c>
    </row>
    <row r="97" spans="1:4">
      <c r="A97">
        <v>69</v>
      </c>
      <c r="B97" s="98">
        <v>0.48102015256881714</v>
      </c>
      <c r="C97" s="98">
        <f t="shared" si="1"/>
        <v>-4.7593383650856136E-2</v>
      </c>
      <c r="D97" s="98">
        <v>6.8306548441279827E-2</v>
      </c>
    </row>
    <row r="98" spans="1:4">
      <c r="A98">
        <v>70</v>
      </c>
      <c r="B98" s="98">
        <v>0.52562928199768066</v>
      </c>
      <c r="C98" s="98">
        <f t="shared" si="1"/>
        <v>6.4287337255133331E-2</v>
      </c>
      <c r="D98" s="98">
        <v>-0.11626251070569402</v>
      </c>
    </row>
    <row r="99" spans="1:4">
      <c r="A99">
        <v>71</v>
      </c>
      <c r="B99" s="98">
        <v>0.94685417413711548</v>
      </c>
      <c r="C99" s="98">
        <f t="shared" si="1"/>
        <v>1.6150879424055131</v>
      </c>
      <c r="D99" s="98">
        <v>0.1440794499053078</v>
      </c>
    </row>
    <row r="100" spans="1:4">
      <c r="A100">
        <v>72</v>
      </c>
      <c r="B100" s="98">
        <v>0.24315464496612549</v>
      </c>
      <c r="C100" s="98">
        <f t="shared" si="1"/>
        <v>-0.6961908934257337</v>
      </c>
      <c r="D100" s="98">
        <v>1.7420995744323255</v>
      </c>
    </row>
    <row r="101" spans="1:4">
      <c r="A101">
        <v>73</v>
      </c>
      <c r="B101" s="98">
        <v>0.98248285055160522</v>
      </c>
      <c r="C101" s="98">
        <f t="shared" si="1"/>
        <v>2.107961741362431</v>
      </c>
      <c r="D101" s="98">
        <v>0.65161469480662282</v>
      </c>
    </row>
    <row r="102" spans="1:4">
      <c r="A102">
        <v>74</v>
      </c>
      <c r="B102" s="98">
        <v>0.11821651458740234</v>
      </c>
      <c r="C102" s="98">
        <f t="shared" si="1"/>
        <v>-1.1839495623369236</v>
      </c>
      <c r="D102" s="98">
        <v>-1.0347308574465897</v>
      </c>
    </row>
    <row r="103" spans="1:4">
      <c r="A103">
        <v>75</v>
      </c>
      <c r="B103" s="98">
        <v>0.55873340368270874</v>
      </c>
      <c r="C103" s="98">
        <f t="shared" si="1"/>
        <v>0.1477587145355316</v>
      </c>
      <c r="D103" s="98">
        <v>-1.5662181134559603</v>
      </c>
    </row>
    <row r="104" spans="1:4">
      <c r="A104">
        <v>76</v>
      </c>
      <c r="B104" s="98">
        <v>0.64514839649200439</v>
      </c>
      <c r="C104" s="98">
        <f t="shared" si="1"/>
        <v>0.37225472144781491</v>
      </c>
      <c r="D104" s="98">
        <v>-0.45621540906284569</v>
      </c>
    </row>
    <row r="105" spans="1:4">
      <c r="A105">
        <v>77</v>
      </c>
      <c r="B105" s="98">
        <v>0.56126874685287476</v>
      </c>
      <c r="C105" s="98">
        <f t="shared" si="1"/>
        <v>0.15418672835423763</v>
      </c>
      <c r="D105" s="98">
        <v>1.8073517970965354</v>
      </c>
    </row>
    <row r="106" spans="1:4">
      <c r="A106">
        <v>78</v>
      </c>
      <c r="B106" s="98">
        <v>0.810333251953125</v>
      </c>
      <c r="C106" s="98">
        <f t="shared" si="1"/>
        <v>0.87912501455560854</v>
      </c>
      <c r="D106" s="98">
        <v>0.10393094585164482</v>
      </c>
    </row>
    <row r="107" spans="1:4">
      <c r="A107">
        <v>79</v>
      </c>
      <c r="B107" s="98">
        <v>0.82161456346511841</v>
      </c>
      <c r="C107" s="98">
        <f t="shared" si="1"/>
        <v>0.92153558190810048</v>
      </c>
      <c r="D107" s="98">
        <v>-0.78163703936645501</v>
      </c>
    </row>
    <row r="108" spans="1:4">
      <c r="A108">
        <v>80</v>
      </c>
      <c r="B108" s="98">
        <v>0.46265840530395508</v>
      </c>
      <c r="C108" s="98">
        <f t="shared" si="1"/>
        <v>-9.3738595324472956E-2</v>
      </c>
      <c r="D108" s="98">
        <v>0.3116430832773478</v>
      </c>
    </row>
    <row r="109" spans="1:4">
      <c r="A109">
        <v>81</v>
      </c>
      <c r="B109" s="98">
        <v>0.19870942831039429</v>
      </c>
      <c r="C109" s="98">
        <f t="shared" si="1"/>
        <v>-0.84624002711939994</v>
      </c>
      <c r="D109" s="98">
        <v>-2.3412065297880176</v>
      </c>
    </row>
    <row r="110" spans="1:4">
      <c r="A110">
        <v>82</v>
      </c>
      <c r="B110" s="98">
        <v>0.60627079010009766</v>
      </c>
      <c r="C110" s="98">
        <f t="shared" si="1"/>
        <v>0.26961245185215599</v>
      </c>
      <c r="D110" s="98">
        <v>-0.48195268434615146</v>
      </c>
    </row>
    <row r="111" spans="1:4">
      <c r="A111">
        <v>83</v>
      </c>
      <c r="B111" s="98">
        <v>0.14673072099685669</v>
      </c>
      <c r="C111" s="98">
        <f t="shared" si="1"/>
        <v>-1.0505584296970845</v>
      </c>
      <c r="D111" s="98">
        <v>-0.23986399423248703</v>
      </c>
    </row>
    <row r="112" spans="1:4">
      <c r="A112">
        <v>84</v>
      </c>
      <c r="B112" s="98">
        <v>0.41216170787811279</v>
      </c>
      <c r="C112" s="98">
        <f t="shared" si="1"/>
        <v>-0.22198775483549715</v>
      </c>
      <c r="D112" s="98">
        <v>-0.47576542956356488</v>
      </c>
    </row>
    <row r="113" spans="1:4">
      <c r="A113">
        <v>85</v>
      </c>
      <c r="B113" s="98">
        <v>0.896098792552948</v>
      </c>
      <c r="C113" s="98">
        <f t="shared" si="1"/>
        <v>1.2596312555033773</v>
      </c>
      <c r="D113" s="98">
        <v>-1.2863809218365154</v>
      </c>
    </row>
    <row r="114" spans="1:4">
      <c r="A114">
        <v>86</v>
      </c>
      <c r="B114" s="98">
        <v>0.32680678367614746</v>
      </c>
      <c r="C114" s="98">
        <f t="shared" si="1"/>
        <v>-0.44874784317451161</v>
      </c>
      <c r="D114" s="98">
        <v>2.1629025004773363</v>
      </c>
    </row>
    <row r="115" spans="1:4">
      <c r="A115">
        <v>87</v>
      </c>
      <c r="B115" s="98">
        <v>1.9132494926452637E-3</v>
      </c>
      <c r="C115" s="98">
        <f t="shared" si="1"/>
        <v>-2.8921215308484762</v>
      </c>
      <c r="D115" s="98">
        <v>0.61425610528798513</v>
      </c>
    </row>
    <row r="116" spans="1:4">
      <c r="A116">
        <v>88</v>
      </c>
      <c r="B116" s="98">
        <v>0.30135941505432129</v>
      </c>
      <c r="C116" s="98">
        <f t="shared" si="1"/>
        <v>-0.52049468687165701</v>
      </c>
      <c r="D116" s="98">
        <v>-0.58110056264362797</v>
      </c>
    </row>
    <row r="117" spans="1:4">
      <c r="A117">
        <v>89</v>
      </c>
      <c r="B117" s="98">
        <v>0.41072148084640503</v>
      </c>
      <c r="C117" s="98">
        <f t="shared" si="1"/>
        <v>-0.22568945307470051</v>
      </c>
      <c r="D117" s="98">
        <v>-1.6192133985295001</v>
      </c>
    </row>
    <row r="118" spans="1:4">
      <c r="A118">
        <v>90</v>
      </c>
      <c r="B118" s="98">
        <v>1.6955137252807617E-2</v>
      </c>
      <c r="C118" s="98">
        <f t="shared" si="1"/>
        <v>-2.1211370065808461</v>
      </c>
      <c r="D118" s="98">
        <v>-1.866170695710583</v>
      </c>
    </row>
    <row r="119" spans="1:4">
      <c r="A119">
        <v>91</v>
      </c>
      <c r="B119" s="98">
        <v>0.16298967599868774</v>
      </c>
      <c r="C119" s="98">
        <f t="shared" si="1"/>
        <v>-0.98224461653060779</v>
      </c>
      <c r="D119" s="98">
        <v>0.52530549143819216</v>
      </c>
    </row>
    <row r="120" spans="1:4">
      <c r="A120">
        <v>92</v>
      </c>
      <c r="B120" s="98">
        <v>0.89528906345367432</v>
      </c>
      <c r="C120" s="98">
        <f t="shared" si="1"/>
        <v>1.255156720946405</v>
      </c>
      <c r="D120" s="98">
        <v>-0.49437915640915575</v>
      </c>
    </row>
    <row r="121" spans="1:4">
      <c r="A121">
        <v>93</v>
      </c>
      <c r="B121" s="98">
        <v>0.70444339513778687</v>
      </c>
      <c r="C121" s="98">
        <f t="shared" si="1"/>
        <v>0.53722354451323362</v>
      </c>
      <c r="D121" s="98">
        <v>-0.98637808614579203</v>
      </c>
    </row>
    <row r="122" spans="1:4">
      <c r="A122">
        <v>94</v>
      </c>
      <c r="B122" s="98">
        <v>0.22635602951049805</v>
      </c>
      <c r="C122" s="98">
        <f t="shared" si="1"/>
        <v>-0.75090129817157436</v>
      </c>
      <c r="D122" s="98">
        <v>-4.0555153757476668E-2</v>
      </c>
    </row>
    <row r="123" spans="1:4">
      <c r="A123">
        <v>95</v>
      </c>
      <c r="B123" s="98">
        <v>0.84577268362045288</v>
      </c>
      <c r="C123" s="98">
        <f t="shared" si="1"/>
        <v>1.0184700378417963</v>
      </c>
      <c r="D123" s="98">
        <v>1.0407845233388362</v>
      </c>
    </row>
    <row r="124" spans="1:4">
      <c r="A124">
        <v>96</v>
      </c>
      <c r="B124" s="98">
        <v>0.28107070922851563</v>
      </c>
      <c r="C124" s="98">
        <f t="shared" si="1"/>
        <v>-0.57966371287689267</v>
      </c>
      <c r="D124" s="98">
        <v>0.61433813662491488</v>
      </c>
    </row>
    <row r="125" spans="1:4">
      <c r="A125">
        <v>97</v>
      </c>
      <c r="B125" s="98">
        <v>0.83581405878067017</v>
      </c>
      <c r="C125" s="98">
        <f t="shared" si="1"/>
        <v>0.97739854624897415</v>
      </c>
      <c r="D125" s="98">
        <v>-0.81378919689218732</v>
      </c>
    </row>
    <row r="126" spans="1:4">
      <c r="A126">
        <v>98</v>
      </c>
      <c r="B126" s="98">
        <v>0.73537838459014893</v>
      </c>
      <c r="C126" s="98">
        <f t="shared" si="1"/>
        <v>0.62916165318430461</v>
      </c>
      <c r="D126" s="98">
        <v>-0.34814322548532262</v>
      </c>
    </row>
    <row r="127" spans="1:4">
      <c r="A127">
        <v>99</v>
      </c>
      <c r="B127" s="98">
        <v>0.96107965707778931</v>
      </c>
      <c r="C127" s="98">
        <f t="shared" si="1"/>
        <v>1.7633546949264942</v>
      </c>
      <c r="D127" s="98">
        <v>-0.17334775262492297</v>
      </c>
    </row>
    <row r="128" spans="1:4">
      <c r="A128">
        <v>100</v>
      </c>
      <c r="B128" s="98">
        <v>0.78240644931793213</v>
      </c>
      <c r="C128" s="98">
        <f t="shared" si="1"/>
        <v>0.78034624166843303</v>
      </c>
      <c r="D128" s="98">
        <v>-1.290592337532718</v>
      </c>
    </row>
    <row r="129" spans="1:4">
      <c r="A129">
        <v>101</v>
      </c>
      <c r="B129" s="98">
        <v>0.99250835180282593</v>
      </c>
      <c r="C129" s="98">
        <f t="shared" si="1"/>
        <v>2.4327825441041107</v>
      </c>
      <c r="D129" s="98">
        <v>-1.0322918297648411</v>
      </c>
    </row>
    <row r="130" spans="1:4">
      <c r="A130">
        <v>102</v>
      </c>
      <c r="B130" s="98">
        <v>0.96227407455444336</v>
      </c>
      <c r="C130" s="98">
        <f t="shared" si="1"/>
        <v>1.7777078429886564</v>
      </c>
      <c r="D130" s="98">
        <v>-1.6533518012010064</v>
      </c>
    </row>
    <row r="131" spans="1:4">
      <c r="A131">
        <v>103</v>
      </c>
      <c r="B131" s="98">
        <v>0.74313813447952271</v>
      </c>
      <c r="C131" s="98">
        <f t="shared" si="1"/>
        <v>0.65305048681244282</v>
      </c>
      <c r="D131" s="98">
        <v>0.29228154277100565</v>
      </c>
    </row>
    <row r="132" spans="1:4">
      <c r="A132">
        <v>104</v>
      </c>
      <c r="B132" s="98">
        <v>0.37363970279693604</v>
      </c>
      <c r="C132" s="98">
        <f t="shared" si="1"/>
        <v>-0.32222875017139641</v>
      </c>
      <c r="D132" s="98">
        <v>-0.53271724075426574</v>
      </c>
    </row>
    <row r="133" spans="1:4">
      <c r="A133">
        <v>105</v>
      </c>
      <c r="B133" s="98">
        <v>5.5577695369720459E-2</v>
      </c>
      <c r="C133" s="98">
        <f t="shared" si="1"/>
        <v>-1.5930213983261166</v>
      </c>
      <c r="D133" s="98">
        <v>-0.76275074260923104</v>
      </c>
    </row>
    <row r="134" spans="1:4">
      <c r="A134">
        <v>106</v>
      </c>
      <c r="B134" s="98">
        <v>0.54748773574829102</v>
      </c>
      <c r="C134" s="98">
        <f t="shared" si="1"/>
        <v>0.11931660510635624</v>
      </c>
      <c r="D134" s="98">
        <v>-1.6546978637289729</v>
      </c>
    </row>
    <row r="135" spans="1:4">
      <c r="A135">
        <v>107</v>
      </c>
      <c r="B135" s="98">
        <v>0.16404896974563599</v>
      </c>
      <c r="C135" s="98">
        <f t="shared" si="1"/>
        <v>-0.97795225332893376</v>
      </c>
      <c r="D135" s="98">
        <v>0.29541161807850447</v>
      </c>
    </row>
    <row r="136" spans="1:4">
      <c r="A136">
        <v>108</v>
      </c>
      <c r="B136" s="98">
        <v>0.82982289791107178</v>
      </c>
      <c r="C136" s="98">
        <f t="shared" si="1"/>
        <v>0.95346562650601252</v>
      </c>
      <c r="D136" s="98">
        <v>-1.3172931689290288</v>
      </c>
    </row>
    <row r="137" spans="1:4">
      <c r="A137">
        <v>109</v>
      </c>
      <c r="B137" s="98">
        <v>0.51228362321853638</v>
      </c>
      <c r="C137" s="98">
        <f t="shared" si="1"/>
        <v>3.0795344059423569E-2</v>
      </c>
      <c r="D137" s="98">
        <v>-1.7338590758478327</v>
      </c>
    </row>
    <row r="138" spans="1:4">
      <c r="A138">
        <v>110</v>
      </c>
      <c r="B138" s="98">
        <v>0.94941282272338867</v>
      </c>
      <c r="C138" s="98">
        <f t="shared" si="1"/>
        <v>1.6391868360234352</v>
      </c>
      <c r="D138" s="98">
        <v>0.3357653008696615</v>
      </c>
    </row>
    <row r="139" spans="1:4">
      <c r="A139">
        <v>111</v>
      </c>
      <c r="B139" s="98">
        <v>0.31875318288803101</v>
      </c>
      <c r="C139" s="98">
        <f t="shared" si="1"/>
        <v>-0.47118817019877562</v>
      </c>
      <c r="D139" s="98">
        <v>-1.4635884789404221</v>
      </c>
    </row>
    <row r="140" spans="1:4">
      <c r="A140">
        <v>112</v>
      </c>
      <c r="B140" s="98">
        <v>0.66294097900390625</v>
      </c>
      <c r="C140" s="98">
        <f t="shared" si="1"/>
        <v>0.4205029949102646</v>
      </c>
      <c r="D140" s="98">
        <v>1.6284383142748919</v>
      </c>
    </row>
    <row r="141" spans="1:4">
      <c r="A141">
        <v>113</v>
      </c>
      <c r="B141" s="98">
        <v>0.57464343309402466</v>
      </c>
      <c r="C141" s="98">
        <f t="shared" si="1"/>
        <v>0.18820859658699382</v>
      </c>
      <c r="D141" s="98">
        <v>0.72034450822524776</v>
      </c>
    </row>
    <row r="142" spans="1:4">
      <c r="A142">
        <v>114</v>
      </c>
      <c r="B142" s="98">
        <v>0.99230754375457764</v>
      </c>
      <c r="C142" s="98">
        <f t="shared" si="1"/>
        <v>2.4231891799628782</v>
      </c>
      <c r="D142" s="98">
        <v>-0.77817472032090484</v>
      </c>
    </row>
    <row r="143" spans="1:4">
      <c r="A143">
        <v>115</v>
      </c>
      <c r="B143" s="98">
        <v>0.61985653638839722</v>
      </c>
      <c r="C143" s="98">
        <f t="shared" si="1"/>
        <v>0.30510402308452567</v>
      </c>
      <c r="D143" s="98">
        <v>1.3711360365948269</v>
      </c>
    </row>
    <row r="144" spans="1:4">
      <c r="A144">
        <v>116</v>
      </c>
      <c r="B144" s="98">
        <v>0.31757426261901855</v>
      </c>
      <c r="C144" s="98">
        <f t="shared" si="1"/>
        <v>-0.4744928082240551</v>
      </c>
      <c r="D144" s="98">
        <v>1.555607329959012E-2</v>
      </c>
    </row>
    <row r="145" spans="1:4">
      <c r="A145">
        <v>117</v>
      </c>
      <c r="B145" s="98">
        <v>0.47010141611099243</v>
      </c>
      <c r="C145" s="98">
        <f t="shared" si="1"/>
        <v>-7.5014930903653007E-2</v>
      </c>
      <c r="D145" s="98">
        <v>-0.92203885562242238</v>
      </c>
    </row>
    <row r="146" spans="1:4">
      <c r="A146">
        <v>118</v>
      </c>
      <c r="B146" s="98">
        <v>0.15991270542144775</v>
      </c>
      <c r="C146" s="98">
        <f t="shared" si="1"/>
        <v>-0.99481672391629605</v>
      </c>
      <c r="D146" s="98">
        <v>0.75557217955424694</v>
      </c>
    </row>
    <row r="147" spans="1:4">
      <c r="A147">
        <v>119</v>
      </c>
      <c r="B147" s="98">
        <v>0.53030818700790405</v>
      </c>
      <c r="C147" s="98">
        <f t="shared" si="1"/>
        <v>7.6044586484257645E-2</v>
      </c>
      <c r="D147" s="98">
        <v>0.58551293283780792</v>
      </c>
    </row>
    <row r="148" spans="1:4">
      <c r="A148">
        <v>120</v>
      </c>
      <c r="B148" s="98">
        <v>7.7866673469543457E-2</v>
      </c>
      <c r="C148" s="98">
        <f t="shared" si="1"/>
        <v>-1.4195684809421669</v>
      </c>
      <c r="D148" s="98">
        <v>1.2605026722903594</v>
      </c>
    </row>
    <row r="149" spans="1:4">
      <c r="A149">
        <v>121</v>
      </c>
      <c r="B149" s="98">
        <v>0.76654714345932007</v>
      </c>
      <c r="C149" s="98">
        <f t="shared" si="1"/>
        <v>0.72752286588013204</v>
      </c>
      <c r="D149" s="98">
        <v>-1.0545721998870043</v>
      </c>
    </row>
    <row r="150" spans="1:4">
      <c r="A150">
        <v>122</v>
      </c>
      <c r="B150" s="98">
        <v>0.27367591857910156</v>
      </c>
      <c r="C150" s="98">
        <f t="shared" si="1"/>
        <v>-0.60173306413733141</v>
      </c>
      <c r="D150" s="98">
        <v>-0.48306655732616977</v>
      </c>
    </row>
    <row r="151" spans="1:4">
      <c r="A151">
        <v>123</v>
      </c>
      <c r="B151" s="98">
        <v>0.15315943956375122</v>
      </c>
      <c r="C151" s="98">
        <f t="shared" si="1"/>
        <v>-1.0229766647988541</v>
      </c>
      <c r="D151" s="98">
        <v>2.7465681908194095</v>
      </c>
    </row>
    <row r="152" spans="1:4">
      <c r="A152">
        <v>124</v>
      </c>
      <c r="B152" s="98">
        <v>0.96951913833618164</v>
      </c>
      <c r="C152" s="98">
        <f t="shared" si="1"/>
        <v>1.8737729710262432</v>
      </c>
      <c r="D152" s="98">
        <v>-0.42181098738069206</v>
      </c>
    </row>
    <row r="153" spans="1:4">
      <c r="A153">
        <v>125</v>
      </c>
      <c r="B153" s="98">
        <v>3.0919849872589111E-2</v>
      </c>
      <c r="C153" s="98">
        <f t="shared" si="1"/>
        <v>-1.8674433580800291</v>
      </c>
      <c r="D153" s="98">
        <v>1.2583945793150613</v>
      </c>
    </row>
    <row r="154" spans="1:4">
      <c r="A154">
        <v>126</v>
      </c>
      <c r="B154" s="98">
        <v>0.3579028844833374</v>
      </c>
      <c r="C154" s="98">
        <f t="shared" si="1"/>
        <v>-0.36406995894002697</v>
      </c>
      <c r="D154" s="98">
        <v>-1.9893677518560221E-2</v>
      </c>
    </row>
    <row r="155" spans="1:4">
      <c r="A155">
        <v>127</v>
      </c>
      <c r="B155" s="98">
        <v>0.75220030546188354</v>
      </c>
      <c r="C155" s="98">
        <f t="shared" si="1"/>
        <v>0.68143008933897808</v>
      </c>
      <c r="D155" s="98">
        <v>-1.1073917230694619</v>
      </c>
    </row>
    <row r="156" spans="1:4">
      <c r="A156">
        <v>128</v>
      </c>
      <c r="B156" s="98">
        <v>0.26916587352752686</v>
      </c>
      <c r="C156" s="98">
        <f t="shared" si="1"/>
        <v>-0.61533766694932079</v>
      </c>
      <c r="D156" s="98">
        <v>-0.30308236142740885</v>
      </c>
    </row>
    <row r="157" spans="1:4">
      <c r="A157">
        <v>129</v>
      </c>
      <c r="B157" s="98">
        <v>0.80190819501876831</v>
      </c>
      <c r="C157" s="98">
        <f t="shared" si="1"/>
        <v>0.84845682056875105</v>
      </c>
      <c r="D157" s="98">
        <v>-0.10888051198560317</v>
      </c>
    </row>
    <row r="158" spans="1:4">
      <c r="A158">
        <v>130</v>
      </c>
      <c r="B158" s="98">
        <v>0.65706229209899902</v>
      </c>
      <c r="C158" s="98">
        <f t="shared" ref="C158:C221" si="2">NORMINV(B158,0,1)</f>
        <v>0.40445873596127441</v>
      </c>
      <c r="D158" s="98">
        <v>-1.3865223739516845</v>
      </c>
    </row>
    <row r="159" spans="1:4">
      <c r="A159">
        <v>131</v>
      </c>
      <c r="B159" s="98">
        <v>0.42208868265151978</v>
      </c>
      <c r="C159" s="98">
        <f t="shared" si="2"/>
        <v>-0.19655298502744528</v>
      </c>
      <c r="D159" s="98">
        <v>-0.64185720491837561</v>
      </c>
    </row>
    <row r="160" spans="1:4">
      <c r="A160">
        <v>132</v>
      </c>
      <c r="B160" s="98">
        <v>0.37337517738342285</v>
      </c>
      <c r="C160" s="98">
        <f t="shared" si="2"/>
        <v>-0.32292722850450079</v>
      </c>
      <c r="D160" s="98">
        <v>-0.97414204589311693</v>
      </c>
    </row>
    <row r="161" spans="1:4">
      <c r="A161">
        <v>133</v>
      </c>
      <c r="B161" s="98">
        <v>0.94409435987472534</v>
      </c>
      <c r="C161" s="98">
        <f t="shared" si="2"/>
        <v>1.5901043738349352</v>
      </c>
      <c r="D161" s="98">
        <v>-0.61869941799415618</v>
      </c>
    </row>
    <row r="162" spans="1:4">
      <c r="A162">
        <v>134</v>
      </c>
      <c r="B162" s="98">
        <v>0.27799677848815918</v>
      </c>
      <c r="C162" s="98">
        <f t="shared" si="2"/>
        <v>-0.58880281544197199</v>
      </c>
      <c r="D162" s="98">
        <v>0.38085656320993877</v>
      </c>
    </row>
    <row r="163" spans="1:4">
      <c r="A163">
        <v>135</v>
      </c>
      <c r="B163" s="98">
        <v>0.23791223764419556</v>
      </c>
      <c r="C163" s="98">
        <f t="shared" si="2"/>
        <v>-0.71303439264085899</v>
      </c>
      <c r="D163" s="98">
        <v>-0.5241172626336934</v>
      </c>
    </row>
    <row r="164" spans="1:4">
      <c r="A164">
        <v>136</v>
      </c>
      <c r="B164" s="98">
        <v>0.55011427402496338</v>
      </c>
      <c r="C164" s="98">
        <f t="shared" si="2"/>
        <v>0.12595006512447113</v>
      </c>
      <c r="D164" s="98">
        <v>0.5296605073478674</v>
      </c>
    </row>
    <row r="165" spans="1:4">
      <c r="A165">
        <v>137</v>
      </c>
      <c r="B165" s="98">
        <v>0.72533458471298218</v>
      </c>
      <c r="C165" s="98">
        <f t="shared" si="2"/>
        <v>0.59876316252198758</v>
      </c>
      <c r="D165" s="98">
        <v>0.18669246289589192</v>
      </c>
    </row>
    <row r="166" spans="1:4">
      <c r="A166">
        <v>138</v>
      </c>
      <c r="B166" s="98">
        <v>0.73065328598022461</v>
      </c>
      <c r="C166" s="98">
        <f t="shared" si="2"/>
        <v>0.61478997900582455</v>
      </c>
      <c r="D166" s="98">
        <v>1.1642911195863293E-2</v>
      </c>
    </row>
    <row r="167" spans="1:4">
      <c r="A167">
        <v>139</v>
      </c>
      <c r="B167" s="98">
        <v>2.0336925983428955E-2</v>
      </c>
      <c r="C167" s="98">
        <f t="shared" si="2"/>
        <v>-2.0468394384169026</v>
      </c>
      <c r="D167" s="98">
        <v>-1.5537210322427364</v>
      </c>
    </row>
    <row r="168" spans="1:4">
      <c r="A168">
        <v>140</v>
      </c>
      <c r="B168" s="98">
        <v>6.2587141990661621E-2</v>
      </c>
      <c r="C168" s="98">
        <f t="shared" si="2"/>
        <v>-1.5334123651740428</v>
      </c>
      <c r="D168" s="98">
        <v>-2.3610672285566112</v>
      </c>
    </row>
    <row r="169" spans="1:4">
      <c r="A169">
        <v>141</v>
      </c>
      <c r="B169" s="98">
        <v>0.17225199937820435</v>
      </c>
      <c r="C169" s="98">
        <f t="shared" si="2"/>
        <v>-0.94530340854104644</v>
      </c>
      <c r="D169" s="98">
        <v>1.7867105767425209</v>
      </c>
    </row>
    <row r="170" spans="1:4">
      <c r="A170">
        <v>142</v>
      </c>
      <c r="B170" s="98">
        <v>0.56976687908172607</v>
      </c>
      <c r="C170" s="98">
        <f t="shared" si="2"/>
        <v>0.17578068837501398</v>
      </c>
      <c r="D170" s="98">
        <v>0.83944506491763005</v>
      </c>
    </row>
    <row r="171" spans="1:4">
      <c r="A171">
        <v>143</v>
      </c>
      <c r="B171" s="98">
        <v>0.7804076075553894</v>
      </c>
      <c r="C171" s="98">
        <f t="shared" si="2"/>
        <v>0.77357056414408365</v>
      </c>
      <c r="D171" s="98">
        <v>-1.0711834136903771</v>
      </c>
    </row>
    <row r="172" spans="1:4">
      <c r="A172">
        <v>144</v>
      </c>
      <c r="B172" s="98">
        <v>0.67996096611022949</v>
      </c>
      <c r="C172" s="98">
        <f t="shared" si="2"/>
        <v>0.46758965006975617</v>
      </c>
      <c r="D172" s="98">
        <v>0.87669410108906032</v>
      </c>
    </row>
    <row r="173" spans="1:4">
      <c r="A173">
        <v>145</v>
      </c>
      <c r="B173" s="98">
        <v>0.85948854684829712</v>
      </c>
      <c r="C173" s="98">
        <f t="shared" si="2"/>
        <v>1.0780243126286218</v>
      </c>
      <c r="D173" s="98">
        <v>0.63633956787533397</v>
      </c>
    </row>
    <row r="174" spans="1:4">
      <c r="A174">
        <v>146</v>
      </c>
      <c r="B174" s="98">
        <v>0.95310080051422119</v>
      </c>
      <c r="C174" s="98">
        <f t="shared" si="2"/>
        <v>1.6756927075652799</v>
      </c>
      <c r="D174" s="98">
        <v>-1.5882694499533292</v>
      </c>
    </row>
    <row r="175" spans="1:4">
      <c r="A175">
        <v>147</v>
      </c>
      <c r="B175" s="98">
        <v>0.83493274450302124</v>
      </c>
      <c r="C175" s="98">
        <f t="shared" si="2"/>
        <v>0.97384297583308499</v>
      </c>
      <c r="D175" s="98">
        <v>-0.16163794552178787</v>
      </c>
    </row>
    <row r="176" spans="1:4">
      <c r="A176">
        <v>148</v>
      </c>
      <c r="B176" s="98">
        <v>0.16933357715606689</v>
      </c>
      <c r="C176" s="98">
        <f t="shared" si="2"/>
        <v>-0.95680209563751428</v>
      </c>
      <c r="D176" s="98">
        <v>1.9817732949162505</v>
      </c>
    </row>
    <row r="177" spans="1:4">
      <c r="A177">
        <v>149</v>
      </c>
      <c r="B177" s="98">
        <v>0.83014386892318726</v>
      </c>
      <c r="C177" s="98">
        <f t="shared" si="2"/>
        <v>0.95473393900007775</v>
      </c>
      <c r="D177" s="98">
        <v>-0.50618302220345868</v>
      </c>
    </row>
    <row r="178" spans="1:4">
      <c r="A178">
        <v>150</v>
      </c>
      <c r="B178" s="98">
        <v>0.1600799560546875</v>
      </c>
      <c r="C178" s="98">
        <f t="shared" si="2"/>
        <v>-0.99412932120072095</v>
      </c>
      <c r="D178" s="98">
        <v>-1.3155189558071496</v>
      </c>
    </row>
    <row r="179" spans="1:4">
      <c r="A179">
        <v>151</v>
      </c>
      <c r="B179" s="98">
        <v>0.21212249994277954</v>
      </c>
      <c r="C179" s="98">
        <f t="shared" si="2"/>
        <v>-0.79907831990975575</v>
      </c>
      <c r="D179" s="98">
        <v>0.8433253716344612</v>
      </c>
    </row>
    <row r="180" spans="1:4">
      <c r="A180">
        <v>152</v>
      </c>
      <c r="B180" s="98">
        <v>7.1427106857299805E-2</v>
      </c>
      <c r="C180" s="98">
        <f t="shared" si="2"/>
        <v>-1.4652445325662904</v>
      </c>
      <c r="D180" s="98">
        <v>0.44954714864128209</v>
      </c>
    </row>
    <row r="181" spans="1:4">
      <c r="A181">
        <v>153</v>
      </c>
      <c r="B181" s="98">
        <v>0.51451212167739868</v>
      </c>
      <c r="C181" s="98">
        <f t="shared" si="2"/>
        <v>3.6384520767921008E-2</v>
      </c>
      <c r="D181" s="98">
        <v>2.1862978595188229</v>
      </c>
    </row>
    <row r="182" spans="1:4">
      <c r="A182">
        <v>154</v>
      </c>
      <c r="B182" s="98">
        <v>0.203011155128479</v>
      </c>
      <c r="C182" s="98">
        <f t="shared" si="2"/>
        <v>-0.83091382993957952</v>
      </c>
      <c r="D182" s="98">
        <v>1.2340277048724295</v>
      </c>
    </row>
    <row r="183" spans="1:4">
      <c r="A183">
        <v>155</v>
      </c>
      <c r="B183" s="98">
        <v>0.8275875449180603</v>
      </c>
      <c r="C183" s="98">
        <f t="shared" si="2"/>
        <v>0.94467483145664866</v>
      </c>
      <c r="D183" s="98">
        <v>1.2607477493712198</v>
      </c>
    </row>
    <row r="184" spans="1:4">
      <c r="A184">
        <v>156</v>
      </c>
      <c r="B184" s="98">
        <v>0.24716711044311523</v>
      </c>
      <c r="C184" s="98">
        <f t="shared" si="2"/>
        <v>-0.68343150028839639</v>
      </c>
      <c r="D184" s="98">
        <v>0.47328453400499199</v>
      </c>
    </row>
    <row r="185" spans="1:4">
      <c r="A185">
        <v>157</v>
      </c>
      <c r="B185" s="98">
        <v>0.58618241548538208</v>
      </c>
      <c r="C185" s="98">
        <f t="shared" si="2"/>
        <v>0.21773554256906766</v>
      </c>
      <c r="D185" s="98">
        <v>-0.3736438762511522</v>
      </c>
    </row>
    <row r="186" spans="1:4">
      <c r="A186">
        <v>158</v>
      </c>
      <c r="B186" s="98">
        <v>0.96835267543792725</v>
      </c>
      <c r="C186" s="98">
        <f t="shared" si="2"/>
        <v>1.8571160225349228</v>
      </c>
      <c r="D186" s="98">
        <v>1.2064949194221795</v>
      </c>
    </row>
    <row r="187" spans="1:4">
      <c r="A187">
        <v>159</v>
      </c>
      <c r="B187" s="98">
        <v>0.78201431035995483</v>
      </c>
      <c r="C187" s="98">
        <f t="shared" si="2"/>
        <v>0.77901415032111077</v>
      </c>
      <c r="D187" s="98">
        <v>-0.84106716164094486</v>
      </c>
    </row>
    <row r="188" spans="1:4">
      <c r="A188">
        <v>160</v>
      </c>
      <c r="B188" s="98">
        <v>1.5730381011962891E-2</v>
      </c>
      <c r="C188" s="98">
        <f t="shared" si="2"/>
        <v>-2.1511956274768775</v>
      </c>
      <c r="D188" s="98">
        <v>0.87902035478329077</v>
      </c>
    </row>
    <row r="189" spans="1:4">
      <c r="A189">
        <v>161</v>
      </c>
      <c r="B189" s="98">
        <v>0.30665379762649536</v>
      </c>
      <c r="C189" s="98">
        <f t="shared" si="2"/>
        <v>-0.5053577397418928</v>
      </c>
      <c r="D189" s="98">
        <v>-3.6429660386672662E-2</v>
      </c>
    </row>
    <row r="190" spans="1:4">
      <c r="A190">
        <v>162</v>
      </c>
      <c r="B190" s="98">
        <v>0.78027379512786865</v>
      </c>
      <c r="C190" s="98">
        <f t="shared" si="2"/>
        <v>0.77311823579966599</v>
      </c>
      <c r="D190" s="98">
        <v>-0.36852193370103009</v>
      </c>
    </row>
    <row r="191" spans="1:4">
      <c r="A191">
        <v>163</v>
      </c>
      <c r="B191" s="98">
        <v>0.93412321805953979</v>
      </c>
      <c r="C191" s="98">
        <f t="shared" si="2"/>
        <v>1.5072227769102571</v>
      </c>
      <c r="D191" s="98">
        <v>-0.16987524052602737</v>
      </c>
    </row>
    <row r="192" spans="1:4">
      <c r="A192">
        <v>164</v>
      </c>
      <c r="B192" s="98">
        <v>0.41977620124816895</v>
      </c>
      <c r="C192" s="98">
        <f t="shared" si="2"/>
        <v>-0.20246604289754669</v>
      </c>
      <c r="D192" s="98">
        <v>0.59755014438358889</v>
      </c>
    </row>
    <row r="193" spans="1:4">
      <c r="A193">
        <v>165</v>
      </c>
      <c r="B193" s="98">
        <v>0.35078579187393188</v>
      </c>
      <c r="C193" s="98">
        <f t="shared" si="2"/>
        <v>-0.38319985739846846</v>
      </c>
      <c r="D193" s="98">
        <v>1.5533727797920152</v>
      </c>
    </row>
    <row r="194" spans="1:4">
      <c r="A194">
        <v>166</v>
      </c>
      <c r="B194" s="98">
        <v>0.30105185508728027</v>
      </c>
      <c r="C194" s="98">
        <f t="shared" si="2"/>
        <v>-0.52137766098947513</v>
      </c>
      <c r="D194" s="98">
        <v>-0.61881909568410809</v>
      </c>
    </row>
    <row r="195" spans="1:4">
      <c r="A195">
        <v>167</v>
      </c>
      <c r="B195" s="98">
        <v>0.93280798196792603</v>
      </c>
      <c r="C195" s="98">
        <f t="shared" si="2"/>
        <v>1.4970354425600791</v>
      </c>
      <c r="D195" s="98">
        <v>-0.60376702075480415</v>
      </c>
    </row>
    <row r="196" spans="1:4">
      <c r="A196">
        <v>168</v>
      </c>
      <c r="B196" s="98">
        <v>0.4013979434967041</v>
      </c>
      <c r="C196" s="98">
        <f t="shared" si="2"/>
        <v>-0.24973034842580388</v>
      </c>
      <c r="D196" s="98">
        <v>-0.1037112609354066</v>
      </c>
    </row>
    <row r="197" spans="1:4">
      <c r="A197">
        <v>169</v>
      </c>
      <c r="B197" s="98">
        <v>0.20930343866348267</v>
      </c>
      <c r="C197" s="98">
        <f t="shared" si="2"/>
        <v>-0.80884053438459957</v>
      </c>
      <c r="D197" s="98">
        <v>0.1853077944654298</v>
      </c>
    </row>
    <row r="198" spans="1:4">
      <c r="A198">
        <v>170</v>
      </c>
      <c r="B198" s="98">
        <v>0.94786524772644043</v>
      </c>
      <c r="C198" s="98">
        <f t="shared" si="2"/>
        <v>1.6244982923324978</v>
      </c>
      <c r="D198" s="98">
        <v>-0.46321245288053331</v>
      </c>
    </row>
    <row r="199" spans="1:4">
      <c r="A199">
        <v>171</v>
      </c>
      <c r="B199" s="98">
        <v>0.54990106821060181</v>
      </c>
      <c r="C199" s="98">
        <f t="shared" si="2"/>
        <v>0.12541139986817426</v>
      </c>
      <c r="D199" s="98">
        <v>-0.17116899352454579</v>
      </c>
    </row>
    <row r="200" spans="1:4">
      <c r="A200">
        <v>172</v>
      </c>
      <c r="B200" s="98">
        <v>0.62062954902648926</v>
      </c>
      <c r="C200" s="98">
        <f t="shared" si="2"/>
        <v>0.30713462717114026</v>
      </c>
      <c r="D200" s="98">
        <v>-0.88695129697985886</v>
      </c>
    </row>
    <row r="201" spans="1:4">
      <c r="A201">
        <v>173</v>
      </c>
      <c r="B201" s="98">
        <v>0.58491486310958862</v>
      </c>
      <c r="C201" s="98">
        <f t="shared" si="2"/>
        <v>0.21448319078571046</v>
      </c>
      <c r="D201" s="98">
        <v>-0.75855369961722274</v>
      </c>
    </row>
    <row r="202" spans="1:4">
      <c r="A202">
        <v>174</v>
      </c>
      <c r="B202" s="98">
        <v>5.2991628646850586E-2</v>
      </c>
      <c r="C202" s="98">
        <f t="shared" si="2"/>
        <v>-1.6165138689482534</v>
      </c>
      <c r="D202" s="98">
        <v>2.2724347741057766E-2</v>
      </c>
    </row>
    <row r="203" spans="1:4">
      <c r="A203">
        <v>175</v>
      </c>
      <c r="B203" s="98">
        <v>0.23004347085952759</v>
      </c>
      <c r="C203" s="98">
        <f t="shared" si="2"/>
        <v>-0.73870369478027831</v>
      </c>
      <c r="D203" s="98">
        <v>-0.76039498164413999</v>
      </c>
    </row>
    <row r="204" spans="1:4">
      <c r="A204">
        <v>176</v>
      </c>
      <c r="B204" s="98">
        <v>3.7819147109985352E-3</v>
      </c>
      <c r="C204" s="98">
        <f t="shared" si="2"/>
        <v>-2.6709438681087643</v>
      </c>
      <c r="D204" s="98">
        <v>-0.17125862582488338</v>
      </c>
    </row>
    <row r="205" spans="1:4">
      <c r="A205">
        <v>177</v>
      </c>
      <c r="B205" s="98">
        <v>0.96361297369003296</v>
      </c>
      <c r="C205" s="98">
        <f t="shared" si="2"/>
        <v>1.7942451245022757</v>
      </c>
      <c r="D205" s="98">
        <v>-0.21229368389997225</v>
      </c>
    </row>
    <row r="206" spans="1:4">
      <c r="A206">
        <v>178</v>
      </c>
      <c r="B206" s="98">
        <v>0.13991022109985352</v>
      </c>
      <c r="C206" s="98">
        <f t="shared" si="2"/>
        <v>-1.0807227903457817</v>
      </c>
      <c r="D206" s="98">
        <v>-1.5111543224587043</v>
      </c>
    </row>
    <row r="207" spans="1:4">
      <c r="A207">
        <v>179</v>
      </c>
      <c r="B207" s="98">
        <v>0.21551686525344849</v>
      </c>
      <c r="C207" s="98">
        <f t="shared" si="2"/>
        <v>-0.78742395117133401</v>
      </c>
      <c r="D207" s="98">
        <v>-1.6651627396072691E-2</v>
      </c>
    </row>
    <row r="208" spans="1:4">
      <c r="A208">
        <v>180</v>
      </c>
      <c r="B208" s="98">
        <v>0.17456471920013428</v>
      </c>
      <c r="C208" s="98">
        <f t="shared" si="2"/>
        <v>-0.93627923143187297</v>
      </c>
      <c r="D208" s="98">
        <v>-0.99033978958118751</v>
      </c>
    </row>
    <row r="209" spans="1:4">
      <c r="A209">
        <v>181</v>
      </c>
      <c r="B209" s="98">
        <v>8.123701810836792E-2</v>
      </c>
      <c r="C209" s="98">
        <f t="shared" si="2"/>
        <v>-1.3967989564162846</v>
      </c>
      <c r="D209" s="98">
        <v>0.87569811793700525</v>
      </c>
    </row>
    <row r="210" spans="1:4">
      <c r="A210">
        <v>182</v>
      </c>
      <c r="B210" s="98">
        <v>3.754734992980957E-2</v>
      </c>
      <c r="C210" s="98">
        <f t="shared" si="2"/>
        <v>-1.7798855079892915</v>
      </c>
      <c r="D210" s="98">
        <v>-0.21272900867271646</v>
      </c>
    </row>
    <row r="211" spans="1:4">
      <c r="A211">
        <v>183</v>
      </c>
      <c r="B211" s="98">
        <v>0.74518352746963501</v>
      </c>
      <c r="C211" s="98">
        <f t="shared" si="2"/>
        <v>0.65940934152709763</v>
      </c>
      <c r="D211" s="98">
        <v>0.12875424038755415</v>
      </c>
    </row>
    <row r="212" spans="1:4">
      <c r="A212">
        <v>184</v>
      </c>
      <c r="B212" s="98">
        <v>0.94509804248809814</v>
      </c>
      <c r="C212" s="98">
        <f t="shared" si="2"/>
        <v>1.5990751071959486</v>
      </c>
      <c r="D212" s="98">
        <v>-1.7127982890933997</v>
      </c>
    </row>
    <row r="213" spans="1:4">
      <c r="A213">
        <v>185</v>
      </c>
      <c r="B213" s="98">
        <v>9.5440804958343506E-2</v>
      </c>
      <c r="C213" s="98">
        <f t="shared" si="2"/>
        <v>-1.307975527773114</v>
      </c>
      <c r="D213" s="98">
        <v>-3.6129562475898803E-2</v>
      </c>
    </row>
    <row r="214" spans="1:4">
      <c r="A214">
        <v>186</v>
      </c>
      <c r="B214" s="98">
        <v>0.30175018310546875</v>
      </c>
      <c r="C214" s="98">
        <f t="shared" si="2"/>
        <v>-0.5193734155326708</v>
      </c>
      <c r="D214" s="98">
        <v>-0.34087080838235656</v>
      </c>
    </row>
    <row r="215" spans="1:4">
      <c r="A215">
        <v>187</v>
      </c>
      <c r="B215" s="98">
        <v>0.87366992235183716</v>
      </c>
      <c r="C215" s="98">
        <f t="shared" si="2"/>
        <v>1.1439119484524156</v>
      </c>
      <c r="D215" s="98">
        <v>-0.29606100738160002</v>
      </c>
    </row>
    <row r="216" spans="1:4">
      <c r="A216">
        <v>188</v>
      </c>
      <c r="B216" s="98">
        <v>0.15296733379364014</v>
      </c>
      <c r="C216" s="98">
        <f t="shared" si="2"/>
        <v>-1.0237895916665061</v>
      </c>
      <c r="D216" s="98">
        <v>0.120013960344941</v>
      </c>
    </row>
    <row r="217" spans="1:4">
      <c r="A217">
        <v>189</v>
      </c>
      <c r="B217" s="98">
        <v>0.95391720533370972</v>
      </c>
      <c r="C217" s="98">
        <f t="shared" si="2"/>
        <v>1.6840832067659159</v>
      </c>
      <c r="D217" s="98">
        <v>0.64646365171018305</v>
      </c>
    </row>
    <row r="218" spans="1:4">
      <c r="A218">
        <v>190</v>
      </c>
      <c r="B218" s="98">
        <v>0.15731120109558105</v>
      </c>
      <c r="C218" s="98">
        <f t="shared" si="2"/>
        <v>-1.0055701223477755</v>
      </c>
      <c r="D218" s="98">
        <v>-1.0650675202261759</v>
      </c>
    </row>
    <row r="219" spans="1:4">
      <c r="A219">
        <v>191</v>
      </c>
      <c r="B219" s="98">
        <v>0.59407907724380493</v>
      </c>
      <c r="C219" s="98">
        <f t="shared" si="2"/>
        <v>0.23805060434503209</v>
      </c>
      <c r="D219" s="98">
        <v>-0.15038640022765393</v>
      </c>
    </row>
    <row r="220" spans="1:4">
      <c r="A220">
        <v>192</v>
      </c>
      <c r="B220" s="98">
        <v>0.29689085483551025</v>
      </c>
      <c r="C220" s="98">
        <f t="shared" si="2"/>
        <v>-0.53336388884710706</v>
      </c>
      <c r="D220" s="98">
        <v>1.2675553651197409</v>
      </c>
    </row>
    <row r="221" spans="1:4">
      <c r="A221">
        <v>193</v>
      </c>
      <c r="B221" s="98">
        <v>0.47302204370498657</v>
      </c>
      <c r="C221" s="98">
        <f t="shared" si="2"/>
        <v>-6.7675330847821027E-2</v>
      </c>
      <c r="D221" s="98">
        <v>1.446166586551495</v>
      </c>
    </row>
    <row r="222" spans="1:4">
      <c r="A222">
        <v>194</v>
      </c>
      <c r="B222" s="98">
        <v>0.41650497913360596</v>
      </c>
      <c r="C222" s="98">
        <f t="shared" ref="C222:C285" si="3">NORMINV(B222,0,1)</f>
        <v>-0.21084277609278954</v>
      </c>
      <c r="D222" s="98">
        <v>1.159062063120466</v>
      </c>
    </row>
    <row r="223" spans="1:4">
      <c r="A223">
        <v>195</v>
      </c>
      <c r="B223" s="98">
        <v>4.5187890529632568E-2</v>
      </c>
      <c r="C223" s="98">
        <f t="shared" si="3"/>
        <v>-1.6934187885515422</v>
      </c>
      <c r="D223" s="98">
        <v>-1.2950197483749384</v>
      </c>
    </row>
    <row r="224" spans="1:4">
      <c r="A224">
        <v>196</v>
      </c>
      <c r="B224" s="98">
        <v>0.59930574893951416</v>
      </c>
      <c r="C224" s="98">
        <f t="shared" si="3"/>
        <v>0.2515505278455995</v>
      </c>
      <c r="D224" s="98">
        <v>-0.21122824586864461</v>
      </c>
    </row>
    <row r="225" spans="1:4">
      <c r="A225">
        <v>197</v>
      </c>
      <c r="B225" s="98">
        <v>0.36493819952011108</v>
      </c>
      <c r="C225" s="98">
        <f t="shared" si="3"/>
        <v>-0.34528995306975419</v>
      </c>
      <c r="D225" s="98">
        <v>1.351438953499291</v>
      </c>
    </row>
    <row r="226" spans="1:4">
      <c r="A226">
        <v>198</v>
      </c>
      <c r="B226" s="98">
        <v>0.33147287368774414</v>
      </c>
      <c r="C226" s="98">
        <f t="shared" si="3"/>
        <v>-0.43584974740911031</v>
      </c>
      <c r="D226" s="98">
        <v>1.2773613583250487</v>
      </c>
    </row>
    <row r="227" spans="1:4">
      <c r="A227">
        <v>199</v>
      </c>
      <c r="B227" s="98">
        <v>0.30504399538040161</v>
      </c>
      <c r="C227" s="98">
        <f t="shared" si="3"/>
        <v>-0.50994785993861547</v>
      </c>
      <c r="D227" s="98">
        <v>0.78331805677600386</v>
      </c>
    </row>
    <row r="228" spans="1:4">
      <c r="A228">
        <v>200</v>
      </c>
      <c r="B228" s="98">
        <v>0.53862285614013672</v>
      </c>
      <c r="C228" s="98">
        <f t="shared" si="3"/>
        <v>9.6964876178890061E-2</v>
      </c>
      <c r="D228" s="98">
        <v>0.76193380429776225</v>
      </c>
    </row>
    <row r="229" spans="1:4">
      <c r="A229">
        <v>201</v>
      </c>
      <c r="B229" s="98">
        <v>0.736896812915802</v>
      </c>
      <c r="C229" s="98">
        <f t="shared" si="3"/>
        <v>0.63380762841656824</v>
      </c>
      <c r="D229" s="98">
        <v>0.71890715743094025</v>
      </c>
    </row>
    <row r="230" spans="1:4">
      <c r="A230">
        <v>202</v>
      </c>
      <c r="B230" s="98">
        <v>0.85853660106658936</v>
      </c>
      <c r="C230" s="98">
        <f t="shared" si="3"/>
        <v>1.0737677270173887</v>
      </c>
      <c r="D230" s="98">
        <v>-2.7426434909261967</v>
      </c>
    </row>
    <row r="231" spans="1:4">
      <c r="A231">
        <v>203</v>
      </c>
      <c r="B231" s="98">
        <v>0.56077355146408081</v>
      </c>
      <c r="C231" s="98">
        <f t="shared" si="3"/>
        <v>0.15293073613889821</v>
      </c>
      <c r="D231" s="98">
        <v>-0.16440916726355412</v>
      </c>
    </row>
    <row r="232" spans="1:4">
      <c r="A232">
        <v>204</v>
      </c>
      <c r="B232" s="98">
        <v>2.7072668075561523E-2</v>
      </c>
      <c r="C232" s="98">
        <f t="shared" si="3"/>
        <v>-1.9256720484735483</v>
      </c>
      <c r="D232" s="98">
        <v>-0.33439732916441622</v>
      </c>
    </row>
    <row r="233" spans="1:4">
      <c r="A233">
        <v>205</v>
      </c>
      <c r="B233" s="98">
        <v>0.22868353128433228</v>
      </c>
      <c r="C233" s="98">
        <f t="shared" si="3"/>
        <v>-0.74318932968391493</v>
      </c>
      <c r="D233" s="98">
        <v>1.1830762136963975</v>
      </c>
    </row>
    <row r="234" spans="1:4">
      <c r="A234">
        <v>206</v>
      </c>
      <c r="B234" s="98">
        <v>0.48268306255340576</v>
      </c>
      <c r="C234" s="98">
        <f t="shared" si="3"/>
        <v>-4.3420765158839587E-2</v>
      </c>
      <c r="D234" s="98">
        <v>0.30599638223140446</v>
      </c>
    </row>
    <row r="235" spans="1:4">
      <c r="A235">
        <v>207</v>
      </c>
      <c r="B235" s="98">
        <v>0.46956127882003784</v>
      </c>
      <c r="C235" s="98">
        <f t="shared" si="3"/>
        <v>-7.6372738664561582E-2</v>
      </c>
      <c r="D235" s="98">
        <v>0.42257951524967891</v>
      </c>
    </row>
    <row r="236" spans="1:4">
      <c r="A236">
        <v>208</v>
      </c>
      <c r="B236" s="98">
        <v>0.94976496696472168</v>
      </c>
      <c r="C236" s="98">
        <f t="shared" si="3"/>
        <v>1.6425790123388635</v>
      </c>
      <c r="D236" s="98">
        <v>0.872527528843142</v>
      </c>
    </row>
    <row r="237" spans="1:4">
      <c r="A237">
        <v>209</v>
      </c>
      <c r="B237" s="98">
        <v>0.51272314786911011</v>
      </c>
      <c r="C237" s="98">
        <f t="shared" si="3"/>
        <v>3.1897610443035747E-2</v>
      </c>
      <c r="D237" s="98">
        <v>-0.16658435144594583</v>
      </c>
    </row>
    <row r="238" spans="1:4">
      <c r="A238">
        <v>210</v>
      </c>
      <c r="B238" s="98">
        <v>0.89718747138977051</v>
      </c>
      <c r="C238" s="98">
        <f t="shared" si="3"/>
        <v>1.265687299221838</v>
      </c>
      <c r="D238" s="98">
        <v>-0.61954071422617707</v>
      </c>
    </row>
    <row r="239" spans="1:4">
      <c r="A239">
        <v>211</v>
      </c>
      <c r="B239" s="98">
        <v>0.7712283730506897</v>
      </c>
      <c r="C239" s="98">
        <f t="shared" si="3"/>
        <v>0.74289830184851546</v>
      </c>
      <c r="D239" s="98">
        <v>-1.6060841216912169</v>
      </c>
    </row>
    <row r="240" spans="1:4">
      <c r="A240">
        <v>212</v>
      </c>
      <c r="B240" s="98">
        <v>0.86102783679962158</v>
      </c>
      <c r="C240" s="98">
        <f t="shared" si="3"/>
        <v>1.0849488138737926</v>
      </c>
      <c r="D240" s="98">
        <v>2.0807551841476126</v>
      </c>
    </row>
    <row r="241" spans="1:4">
      <c r="A241">
        <v>213</v>
      </c>
      <c r="B241" s="98">
        <v>0.78470808267593384</v>
      </c>
      <c r="C241" s="98">
        <f t="shared" si="3"/>
        <v>0.78819298009609196</v>
      </c>
      <c r="D241" s="98">
        <v>1.4887001381023948</v>
      </c>
    </row>
    <row r="242" spans="1:4">
      <c r="A242">
        <v>214</v>
      </c>
      <c r="B242" s="98">
        <v>0.77002489566802979</v>
      </c>
      <c r="C242" s="98">
        <f t="shared" si="3"/>
        <v>0.73892884022500738</v>
      </c>
      <c r="D242" s="98">
        <v>-1.2266676545359874</v>
      </c>
    </row>
    <row r="243" spans="1:4">
      <c r="A243">
        <v>215</v>
      </c>
      <c r="B243" s="98">
        <v>0.35398918390274048</v>
      </c>
      <c r="C243" s="98">
        <f t="shared" si="3"/>
        <v>-0.37457258124252313</v>
      </c>
      <c r="D243" s="98">
        <v>0.75766443395631011</v>
      </c>
    </row>
    <row r="244" spans="1:4">
      <c r="A244">
        <v>216</v>
      </c>
      <c r="B244" s="98">
        <v>0.21925938129425049</v>
      </c>
      <c r="C244" s="98">
        <f t="shared" si="3"/>
        <v>-0.77469693494148295</v>
      </c>
      <c r="D244" s="98">
        <v>0.24947656623479686</v>
      </c>
    </row>
    <row r="245" spans="1:4">
      <c r="A245">
        <v>217</v>
      </c>
      <c r="B245" s="98">
        <v>0.47140496969223022</v>
      </c>
      <c r="C245" s="98">
        <f t="shared" si="3"/>
        <v>-7.173859691144803E-2</v>
      </c>
      <c r="D245" s="98">
        <v>0.27461691281314599</v>
      </c>
    </row>
    <row r="246" spans="1:4">
      <c r="A246">
        <v>218</v>
      </c>
      <c r="B246" s="98">
        <v>0.13606929779052734</v>
      </c>
      <c r="C246" s="98">
        <f t="shared" si="3"/>
        <v>-1.0981509153232609</v>
      </c>
      <c r="D246" s="98">
        <v>1.0166838272240502</v>
      </c>
    </row>
    <row r="247" spans="1:4">
      <c r="A247">
        <v>219</v>
      </c>
      <c r="B247" s="98">
        <v>0.74256163835525513</v>
      </c>
      <c r="C247" s="98">
        <f t="shared" si="3"/>
        <v>0.65126300796997494</v>
      </c>
      <c r="D247" s="98">
        <v>-0.16828746531620936</v>
      </c>
    </row>
    <row r="248" spans="1:4">
      <c r="A248">
        <v>220</v>
      </c>
      <c r="B248" s="98">
        <v>1.418006420135498E-2</v>
      </c>
      <c r="C248" s="98">
        <f t="shared" si="3"/>
        <v>-2.1922684508513473</v>
      </c>
      <c r="D248" s="98">
        <v>0.70203967854259386</v>
      </c>
    </row>
    <row r="249" spans="1:4">
      <c r="A249">
        <v>221</v>
      </c>
      <c r="B249" s="98">
        <v>2.6368796825408936E-2</v>
      </c>
      <c r="C249" s="98">
        <f t="shared" si="3"/>
        <v>-1.9370634018733641</v>
      </c>
      <c r="D249" s="98">
        <v>-2.605147303390519E-2</v>
      </c>
    </row>
    <row r="250" spans="1:4">
      <c r="A250">
        <v>222</v>
      </c>
      <c r="B250" s="98">
        <v>0.42084479331970215</v>
      </c>
      <c r="C250" s="98">
        <f t="shared" si="3"/>
        <v>-0.19973276583602487</v>
      </c>
      <c r="D250" s="98">
        <v>-0.34119864800574706</v>
      </c>
    </row>
    <row r="251" spans="1:4">
      <c r="A251">
        <v>223</v>
      </c>
      <c r="B251" s="98">
        <v>0.5460548996925354</v>
      </c>
      <c r="C251" s="98">
        <f t="shared" si="3"/>
        <v>0.11570013328698858</v>
      </c>
      <c r="D251" s="98">
        <v>-0.84347202314920222</v>
      </c>
    </row>
    <row r="252" spans="1:4">
      <c r="A252">
        <v>224</v>
      </c>
      <c r="B252" s="98">
        <v>0.7742077112197876</v>
      </c>
      <c r="C252" s="98">
        <f t="shared" si="3"/>
        <v>0.75277592274843008</v>
      </c>
      <c r="D252" s="98">
        <v>-0.15089963850520913</v>
      </c>
    </row>
    <row r="253" spans="1:4">
      <c r="A253">
        <v>225</v>
      </c>
      <c r="B253" s="98">
        <v>0.98828834295272827</v>
      </c>
      <c r="C253" s="98">
        <f t="shared" si="3"/>
        <v>2.2664586834050668</v>
      </c>
      <c r="D253" s="98">
        <v>0.30156170590893505</v>
      </c>
    </row>
    <row r="254" spans="1:4">
      <c r="A254">
        <v>226</v>
      </c>
      <c r="B254" s="98">
        <v>0.16703462600708008</v>
      </c>
      <c r="C254" s="98">
        <f t="shared" si="3"/>
        <v>-0.96594989824122168</v>
      </c>
      <c r="D254" s="98">
        <v>1.4954836227479658</v>
      </c>
    </row>
    <row r="255" spans="1:4">
      <c r="A255">
        <v>227</v>
      </c>
      <c r="B255" s="98">
        <v>0.44153779745101929</v>
      </c>
      <c r="C255" s="98">
        <f t="shared" si="3"/>
        <v>-0.14707148737392978</v>
      </c>
      <c r="D255" s="98">
        <v>0.71769040798487449</v>
      </c>
    </row>
    <row r="256" spans="1:4">
      <c r="A256">
        <v>228</v>
      </c>
      <c r="B256" s="98">
        <v>0.26865482330322266</v>
      </c>
      <c r="C256" s="98">
        <f t="shared" si="3"/>
        <v>-0.61688641703929559</v>
      </c>
      <c r="D256" s="98">
        <v>-0.28704777875343551</v>
      </c>
    </row>
    <row r="257" spans="1:4">
      <c r="A257">
        <v>229</v>
      </c>
      <c r="B257" s="98">
        <v>0.35611182451248169</v>
      </c>
      <c r="C257" s="98">
        <f t="shared" si="3"/>
        <v>-0.36887130993106304</v>
      </c>
      <c r="D257" s="98">
        <v>-0.42624974676479349</v>
      </c>
    </row>
    <row r="258" spans="1:4">
      <c r="A258">
        <v>230</v>
      </c>
      <c r="B258" s="98">
        <v>0.22762191295623779</v>
      </c>
      <c r="C258" s="98">
        <f t="shared" si="3"/>
        <v>-0.74670139764904864</v>
      </c>
      <c r="D258" s="98">
        <v>-1.2716840390078716</v>
      </c>
    </row>
    <row r="259" spans="1:4">
      <c r="A259">
        <v>231</v>
      </c>
      <c r="B259" s="98">
        <v>0.222423255443573</v>
      </c>
      <c r="C259" s="98">
        <f t="shared" si="3"/>
        <v>-0.76403478955296567</v>
      </c>
      <c r="D259" s="98">
        <v>1.1854870684118335</v>
      </c>
    </row>
    <row r="260" spans="1:4">
      <c r="A260">
        <v>232</v>
      </c>
      <c r="B260" s="98">
        <v>0.23479628562927246</v>
      </c>
      <c r="C260" s="98">
        <f t="shared" si="3"/>
        <v>-0.72314212485832674</v>
      </c>
      <c r="D260" s="98">
        <v>0.27358552104305689</v>
      </c>
    </row>
    <row r="261" spans="1:4">
      <c r="A261">
        <v>233</v>
      </c>
      <c r="B261" s="98">
        <v>0.66897398233413696</v>
      </c>
      <c r="C261" s="98">
        <f t="shared" si="3"/>
        <v>0.43708178691664545</v>
      </c>
      <c r="D261" s="98">
        <v>0.73310869202925533</v>
      </c>
    </row>
    <row r="262" spans="1:4">
      <c r="A262">
        <v>234</v>
      </c>
      <c r="B262" s="98">
        <v>0.76593935489654541</v>
      </c>
      <c r="C262" s="98">
        <f t="shared" si="3"/>
        <v>0.72553922482152999</v>
      </c>
      <c r="D262" s="98">
        <v>1.1740440197012734</v>
      </c>
    </row>
    <row r="263" spans="1:4">
      <c r="A263">
        <v>235</v>
      </c>
      <c r="B263" s="98">
        <v>0.5538068413734436</v>
      </c>
      <c r="C263" s="98">
        <f t="shared" si="3"/>
        <v>0.13528528719311148</v>
      </c>
      <c r="D263" s="98">
        <v>-0.46607676426058953</v>
      </c>
    </row>
    <row r="264" spans="1:4">
      <c r="A264">
        <v>236</v>
      </c>
      <c r="B264" s="98">
        <v>8.9859366416931152E-2</v>
      </c>
      <c r="C264" s="98">
        <f t="shared" si="3"/>
        <v>-1.3416215572829806</v>
      </c>
      <c r="D264" s="98">
        <v>1.2354567031489294</v>
      </c>
    </row>
    <row r="265" spans="1:4">
      <c r="A265">
        <v>237</v>
      </c>
      <c r="B265" s="98">
        <v>0.74718779325485229</v>
      </c>
      <c r="C265" s="98">
        <f t="shared" si="3"/>
        <v>0.66566630772496371</v>
      </c>
      <c r="D265" s="98">
        <v>-0.8689526000014014</v>
      </c>
    </row>
    <row r="266" spans="1:4">
      <c r="A266">
        <v>238</v>
      </c>
      <c r="B266" s="98">
        <v>0.82640767097473145</v>
      </c>
      <c r="C266" s="98">
        <f t="shared" si="3"/>
        <v>0.94006414678648575</v>
      </c>
      <c r="D266" s="98">
        <v>-0.44405287259113607</v>
      </c>
    </row>
    <row r="267" spans="1:4">
      <c r="A267">
        <v>239</v>
      </c>
      <c r="B267" s="98">
        <v>0.66861110925674438</v>
      </c>
      <c r="C267" s="98">
        <f t="shared" si="3"/>
        <v>0.43608124864894598</v>
      </c>
      <c r="D267" s="98">
        <v>1.6632362991088838</v>
      </c>
    </row>
    <row r="268" spans="1:4">
      <c r="A268">
        <v>240</v>
      </c>
      <c r="B268" s="98">
        <v>8.3458423614501953E-4</v>
      </c>
      <c r="C268" s="98">
        <f t="shared" si="3"/>
        <v>-3.1435413219301211</v>
      </c>
      <c r="D268" s="98">
        <v>-0.4429189694496426</v>
      </c>
    </row>
    <row r="269" spans="1:4">
      <c r="A269">
        <v>241</v>
      </c>
      <c r="B269" s="98">
        <v>0.90696042776107788</v>
      </c>
      <c r="C269" s="98">
        <f t="shared" si="3"/>
        <v>1.3222673393391067</v>
      </c>
      <c r="D269" s="98">
        <v>1.1026711788034418</v>
      </c>
    </row>
    <row r="270" spans="1:4">
      <c r="A270">
        <v>242</v>
      </c>
      <c r="B270" s="98">
        <v>0.84775161743164063</v>
      </c>
      <c r="C270" s="98">
        <f t="shared" si="3"/>
        <v>1.0268379735789268</v>
      </c>
      <c r="D270" s="98">
        <v>-1.0951110468786478</v>
      </c>
    </row>
    <row r="271" spans="1:4">
      <c r="A271">
        <v>243</v>
      </c>
      <c r="B271" s="98">
        <v>0.79178744554519653</v>
      </c>
      <c r="C271" s="98">
        <f t="shared" si="3"/>
        <v>0.81263892236416202</v>
      </c>
      <c r="D271" s="98">
        <v>-0.60806998966185521</v>
      </c>
    </row>
    <row r="272" spans="1:4">
      <c r="A272">
        <v>244</v>
      </c>
      <c r="B272" s="98">
        <v>0.53957545757293701</v>
      </c>
      <c r="C272" s="98">
        <f t="shared" si="3"/>
        <v>9.9364227034255376E-2</v>
      </c>
      <c r="D272" s="98">
        <v>-1.3021910877800349</v>
      </c>
    </row>
    <row r="273" spans="1:4">
      <c r="A273">
        <v>245</v>
      </c>
      <c r="B273" s="98">
        <v>0.76940411329269409</v>
      </c>
      <c r="C273" s="98">
        <f t="shared" si="3"/>
        <v>0.73688584386451861</v>
      </c>
      <c r="D273" s="98">
        <v>-0.91331401142630797</v>
      </c>
    </row>
    <row r="274" spans="1:4">
      <c r="A274">
        <v>246</v>
      </c>
      <c r="B274" s="98">
        <v>0.28369593620300293</v>
      </c>
      <c r="C274" s="98">
        <f t="shared" si="3"/>
        <v>-0.57189682904713157</v>
      </c>
      <c r="D274" s="98">
        <v>2.3779280731203993</v>
      </c>
    </row>
    <row r="275" spans="1:4">
      <c r="A275">
        <v>247</v>
      </c>
      <c r="B275" s="98">
        <v>0.27934747934341431</v>
      </c>
      <c r="C275" s="98">
        <f t="shared" si="3"/>
        <v>-0.58478103393134195</v>
      </c>
      <c r="D275" s="98">
        <v>0.9124520446022274</v>
      </c>
    </row>
    <row r="276" spans="1:4">
      <c r="A276">
        <v>248</v>
      </c>
      <c r="B276" s="98">
        <v>0.15792524814605713</v>
      </c>
      <c r="C276" s="98">
        <f t="shared" si="3"/>
        <v>-1.0030214824692281</v>
      </c>
      <c r="D276" s="98">
        <v>-0.71603663686714836</v>
      </c>
    </row>
    <row r="277" spans="1:4">
      <c r="A277">
        <v>249</v>
      </c>
      <c r="B277" s="98">
        <v>0.69725078344345093</v>
      </c>
      <c r="C277" s="98">
        <f t="shared" si="3"/>
        <v>0.51650974699683894</v>
      </c>
      <c r="D277" s="98">
        <v>-0.32755488545820238</v>
      </c>
    </row>
    <row r="278" spans="1:4">
      <c r="A278">
        <v>250</v>
      </c>
      <c r="B278" s="98">
        <v>0.15297842025756836</v>
      </c>
      <c r="C278" s="98">
        <f t="shared" si="3"/>
        <v>-1.0237426590927314</v>
      </c>
      <c r="D278" s="98">
        <v>1.0534955084948092</v>
      </c>
    </row>
    <row r="279" spans="1:4">
      <c r="A279">
        <v>251</v>
      </c>
      <c r="B279" s="98">
        <v>0.68787080049514771</v>
      </c>
      <c r="C279" s="98">
        <f t="shared" si="3"/>
        <v>0.48982406662456107</v>
      </c>
      <c r="D279" s="98">
        <v>-0.98883481540255691</v>
      </c>
    </row>
    <row r="280" spans="1:4">
      <c r="A280">
        <v>252</v>
      </c>
      <c r="B280" s="98">
        <v>0.30370140075683594</v>
      </c>
      <c r="C280" s="98">
        <f t="shared" si="3"/>
        <v>-0.51378430609234971</v>
      </c>
      <c r="D280" s="98">
        <v>0.22245281996245203</v>
      </c>
    </row>
    <row r="281" spans="1:4">
      <c r="A281">
        <v>253</v>
      </c>
      <c r="B281" s="98">
        <v>4.9502670764923096E-2</v>
      </c>
      <c r="C281" s="98">
        <f t="shared" si="3"/>
        <v>-1.6496949601230648</v>
      </c>
      <c r="D281" s="98">
        <v>1.4499513344760191</v>
      </c>
    </row>
    <row r="282" spans="1:4">
      <c r="A282">
        <v>254</v>
      </c>
      <c r="B282" s="98">
        <v>0.23556125164031982</v>
      </c>
      <c r="C282" s="98">
        <f t="shared" si="3"/>
        <v>-0.7206538661832308</v>
      </c>
      <c r="D282" s="98">
        <v>-8.3454289915123381E-2</v>
      </c>
    </row>
    <row r="283" spans="1:4">
      <c r="A283">
        <v>255</v>
      </c>
      <c r="B283" s="98">
        <v>0.31177204847335815</v>
      </c>
      <c r="C283" s="98">
        <f t="shared" si="3"/>
        <v>-0.49083366563705211</v>
      </c>
      <c r="D283" s="98">
        <v>-0.4904464010765256</v>
      </c>
    </row>
    <row r="284" spans="1:4">
      <c r="A284">
        <v>256</v>
      </c>
      <c r="B284" s="98">
        <v>0.62218356132507324</v>
      </c>
      <c r="C284" s="98">
        <f t="shared" si="3"/>
        <v>0.31122066083910643</v>
      </c>
      <c r="D284" s="98">
        <v>2.3994513304582479</v>
      </c>
    </row>
    <row r="285" spans="1:4">
      <c r="A285">
        <v>257</v>
      </c>
      <c r="B285" s="98">
        <v>0.61479097604751587</v>
      </c>
      <c r="C285" s="98">
        <f t="shared" si="3"/>
        <v>0.29182811485317223</v>
      </c>
      <c r="D285" s="98">
        <v>-0.53351835256119984</v>
      </c>
    </row>
    <row r="286" spans="1:4">
      <c r="A286">
        <v>258</v>
      </c>
      <c r="B286" s="98">
        <v>0.28649771213531494</v>
      </c>
      <c r="C286" s="98">
        <f t="shared" ref="C286:C349" si="4">NORMINV(B286,0,1)</f>
        <v>-0.5636454860313328</v>
      </c>
      <c r="D286" s="98">
        <v>3.4150176413051452E-2</v>
      </c>
    </row>
    <row r="287" spans="1:4">
      <c r="A287">
        <v>259</v>
      </c>
      <c r="B287" s="98">
        <v>0.21602863073348999</v>
      </c>
      <c r="C287" s="98">
        <f t="shared" si="4"/>
        <v>-0.78567611202373355</v>
      </c>
      <c r="D287" s="98">
        <v>0.89419700118575907</v>
      </c>
    </row>
    <row r="288" spans="1:4">
      <c r="A288">
        <v>260</v>
      </c>
      <c r="B288" s="98">
        <v>0.40964841842651367</v>
      </c>
      <c r="C288" s="98">
        <f t="shared" si="4"/>
        <v>-0.22844946703912045</v>
      </c>
      <c r="D288" s="98">
        <v>2.6313184009879946</v>
      </c>
    </row>
    <row r="289" spans="1:4">
      <c r="A289">
        <v>261</v>
      </c>
      <c r="B289" s="98">
        <v>0.63864022493362427</v>
      </c>
      <c r="C289" s="98">
        <f t="shared" si="4"/>
        <v>0.35482653231740408</v>
      </c>
      <c r="D289" s="98">
        <v>5.1584686325060809E-2</v>
      </c>
    </row>
    <row r="290" spans="1:4">
      <c r="A290">
        <v>262</v>
      </c>
      <c r="B290" s="98">
        <v>0.68675744533538818</v>
      </c>
      <c r="C290" s="98">
        <f t="shared" si="4"/>
        <v>0.48668001593363885</v>
      </c>
      <c r="D290" s="98">
        <v>1.5647302072988443</v>
      </c>
    </row>
    <row r="291" spans="1:4">
      <c r="A291">
        <v>263</v>
      </c>
      <c r="B291" s="98">
        <v>0.96590059995651245</v>
      </c>
      <c r="C291" s="98">
        <f t="shared" si="4"/>
        <v>1.8236910010586234</v>
      </c>
      <c r="D291" s="98">
        <v>-0.89620612355197715</v>
      </c>
    </row>
    <row r="292" spans="1:4">
      <c r="A292">
        <v>264</v>
      </c>
      <c r="B292" s="98">
        <v>0.87721657752990723</v>
      </c>
      <c r="C292" s="98">
        <f t="shared" si="4"/>
        <v>1.1611845782679948</v>
      </c>
      <c r="D292" s="98">
        <v>7.2952979914416405E-2</v>
      </c>
    </row>
    <row r="293" spans="1:4">
      <c r="A293">
        <v>265</v>
      </c>
      <c r="B293" s="98">
        <v>0.48329406976699829</v>
      </c>
      <c r="C293" s="98">
        <f t="shared" si="4"/>
        <v>-4.1887803159357119E-2</v>
      </c>
      <c r="D293" s="98">
        <v>0.17981457749547503</v>
      </c>
    </row>
    <row r="294" spans="1:4">
      <c r="A294">
        <v>266</v>
      </c>
      <c r="B294" s="98">
        <v>0.32517313957214355</v>
      </c>
      <c r="C294" s="98">
        <f t="shared" si="4"/>
        <v>-0.4532811852271037</v>
      </c>
      <c r="D294" s="98">
        <v>0.60413246088846995</v>
      </c>
    </row>
    <row r="295" spans="1:4">
      <c r="A295">
        <v>267</v>
      </c>
      <c r="B295" s="98">
        <v>0.85868173837661743</v>
      </c>
      <c r="C295" s="98">
        <f t="shared" si="4"/>
        <v>1.0744154448500185</v>
      </c>
      <c r="D295" s="98">
        <v>-0.47587606501479268</v>
      </c>
    </row>
    <row r="296" spans="1:4">
      <c r="A296">
        <v>268</v>
      </c>
      <c r="B296" s="98">
        <v>0.63699400424957275</v>
      </c>
      <c r="C296" s="98">
        <f t="shared" si="4"/>
        <v>0.35043536236543898</v>
      </c>
      <c r="D296" s="98">
        <v>0.33378169480392217</v>
      </c>
    </row>
    <row r="297" spans="1:4">
      <c r="A297">
        <v>269</v>
      </c>
      <c r="B297" s="98">
        <v>0.49286311864852905</v>
      </c>
      <c r="C297" s="98">
        <f t="shared" si="4"/>
        <v>-1.7890462905223267E-2</v>
      </c>
      <c r="D297" s="98">
        <v>-1.1507441052486758</v>
      </c>
    </row>
    <row r="298" spans="1:4">
      <c r="A298">
        <v>270</v>
      </c>
      <c r="B298" s="98">
        <v>0.94878911972045898</v>
      </c>
      <c r="C298" s="98">
        <f t="shared" si="4"/>
        <v>1.6332246352336535</v>
      </c>
      <c r="D298" s="98">
        <v>0.88822021501771398</v>
      </c>
    </row>
    <row r="299" spans="1:4">
      <c r="A299">
        <v>271</v>
      </c>
      <c r="B299" s="98">
        <v>0.71270066499710083</v>
      </c>
      <c r="C299" s="98">
        <f t="shared" si="4"/>
        <v>0.56129174229383216</v>
      </c>
      <c r="D299" s="98">
        <v>1.2645061818931846</v>
      </c>
    </row>
    <row r="300" spans="1:4">
      <c r="A300">
        <v>272</v>
      </c>
      <c r="B300" s="98">
        <v>0.653922438621521</v>
      </c>
      <c r="C300" s="98">
        <f t="shared" si="4"/>
        <v>0.39593209580460104</v>
      </c>
      <c r="D300" s="98">
        <v>0.7663735303235899</v>
      </c>
    </row>
    <row r="301" spans="1:4">
      <c r="A301">
        <v>273</v>
      </c>
      <c r="B301" s="98">
        <v>0.98949366807937622</v>
      </c>
      <c r="C301" s="98">
        <f t="shared" si="4"/>
        <v>2.3077568553871317</v>
      </c>
      <c r="D301" s="98">
        <v>0.11549637891961455</v>
      </c>
    </row>
    <row r="302" spans="1:4">
      <c r="A302">
        <v>274</v>
      </c>
      <c r="B302" s="98">
        <v>0.41439807415008545</v>
      </c>
      <c r="C302" s="98">
        <f t="shared" si="4"/>
        <v>-0.21624580829360338</v>
      </c>
      <c r="D302" s="98">
        <v>-0.56301869311648201</v>
      </c>
    </row>
    <row r="303" spans="1:4">
      <c r="A303">
        <v>275</v>
      </c>
      <c r="B303" s="98">
        <v>0.40114659070968628</v>
      </c>
      <c r="C303" s="98">
        <f t="shared" si="4"/>
        <v>-0.25038040531034134</v>
      </c>
      <c r="D303" s="98">
        <v>-0.89142332860671447</v>
      </c>
    </row>
    <row r="304" spans="1:4">
      <c r="A304">
        <v>276</v>
      </c>
      <c r="B304" s="98">
        <v>0.42391467094421387</v>
      </c>
      <c r="C304" s="98">
        <f t="shared" si="4"/>
        <v>-0.19188876021347279</v>
      </c>
      <c r="D304" s="98">
        <v>-1.2711348685141406</v>
      </c>
    </row>
    <row r="305" spans="1:4">
      <c r="A305">
        <v>277</v>
      </c>
      <c r="B305" s="98">
        <v>0.37832945585250854</v>
      </c>
      <c r="C305" s="98">
        <f t="shared" si="4"/>
        <v>-0.30987119068366326</v>
      </c>
      <c r="D305" s="98">
        <v>0.49317837237549317</v>
      </c>
    </row>
    <row r="306" spans="1:4">
      <c r="A306">
        <v>278</v>
      </c>
      <c r="B306" s="98">
        <v>0.90103232860565186</v>
      </c>
      <c r="C306" s="98">
        <f t="shared" si="4"/>
        <v>1.2874561537135512</v>
      </c>
      <c r="D306" s="98">
        <v>-0.40676484033486515</v>
      </c>
    </row>
    <row r="307" spans="1:4">
      <c r="A307">
        <v>279</v>
      </c>
      <c r="B307" s="98">
        <v>8.5263907909393311E-2</v>
      </c>
      <c r="C307" s="98">
        <f t="shared" si="4"/>
        <v>-1.3705098081260962</v>
      </c>
      <c r="D307" s="98">
        <v>-1.4302321492825036</v>
      </c>
    </row>
    <row r="308" spans="1:4">
      <c r="A308">
        <v>280</v>
      </c>
      <c r="B308" s="98">
        <v>0.72520804405212402</v>
      </c>
      <c r="C308" s="98">
        <f t="shared" si="4"/>
        <v>0.59838374117846327</v>
      </c>
      <c r="D308" s="98">
        <v>-1.1879905010712049</v>
      </c>
    </row>
    <row r="309" spans="1:4">
      <c r="A309">
        <v>281</v>
      </c>
      <c r="B309" s="98">
        <v>0.17590337991714478</v>
      </c>
      <c r="C309" s="98">
        <f t="shared" si="4"/>
        <v>-0.93109048551340023</v>
      </c>
      <c r="D309" s="98">
        <v>-1.0969774442271416</v>
      </c>
    </row>
    <row r="310" spans="1:4">
      <c r="A310">
        <v>282</v>
      </c>
      <c r="B310" s="98">
        <v>0.88157999515533447</v>
      </c>
      <c r="C310" s="98">
        <f t="shared" si="4"/>
        <v>1.1829221312810378</v>
      </c>
      <c r="D310" s="98">
        <v>-0.4863972523350934</v>
      </c>
    </row>
    <row r="311" spans="1:4">
      <c r="A311">
        <v>283</v>
      </c>
      <c r="B311" s="98">
        <v>0.34570938348770142</v>
      </c>
      <c r="C311" s="98">
        <f t="shared" si="4"/>
        <v>-0.39693042558264952</v>
      </c>
      <c r="D311" s="98">
        <v>0.56924289143909712</v>
      </c>
    </row>
    <row r="312" spans="1:4">
      <c r="A312">
        <v>284</v>
      </c>
      <c r="B312" s="98">
        <v>0.42914211750030518</v>
      </c>
      <c r="C312" s="98">
        <f t="shared" si="4"/>
        <v>-0.1785586883452685</v>
      </c>
      <c r="D312" s="98">
        <v>0.65805493666059034</v>
      </c>
    </row>
    <row r="313" spans="1:4">
      <c r="A313">
        <v>285</v>
      </c>
      <c r="B313" s="98">
        <v>0.49180334806442261</v>
      </c>
      <c r="C313" s="98">
        <f t="shared" si="4"/>
        <v>-2.0547405245713843E-2</v>
      </c>
      <c r="D313" s="98">
        <v>1.7258948882569857E-2</v>
      </c>
    </row>
    <row r="314" spans="1:4">
      <c r="A314">
        <v>286</v>
      </c>
      <c r="B314" s="98">
        <v>0.57857239246368408</v>
      </c>
      <c r="C314" s="98">
        <f t="shared" si="4"/>
        <v>0.1982426559514357</v>
      </c>
      <c r="D314" s="98">
        <v>0.69741546859168413</v>
      </c>
    </row>
    <row r="315" spans="1:4">
      <c r="A315">
        <v>287</v>
      </c>
      <c r="B315" s="98">
        <v>0.69671148061752319</v>
      </c>
      <c r="C315" s="98">
        <f t="shared" si="4"/>
        <v>0.51496562841443971</v>
      </c>
      <c r="D315" s="98">
        <v>-0.59727459455468934</v>
      </c>
    </row>
    <row r="316" spans="1:4">
      <c r="A316">
        <v>288</v>
      </c>
      <c r="B316" s="98">
        <v>0.50040650367736816</v>
      </c>
      <c r="C316" s="98">
        <f t="shared" si="4"/>
        <v>1.018953787756809E-3</v>
      </c>
      <c r="D316" s="98">
        <v>-0.32995442212927778</v>
      </c>
    </row>
    <row r="317" spans="1:4">
      <c r="A317">
        <v>289</v>
      </c>
      <c r="B317" s="98">
        <v>0.51849418878555298</v>
      </c>
      <c r="C317" s="98">
        <f t="shared" si="4"/>
        <v>4.637467347410016E-2</v>
      </c>
      <c r="D317" s="98">
        <v>-0.63581590058681126</v>
      </c>
    </row>
    <row r="318" spans="1:4">
      <c r="A318">
        <v>290</v>
      </c>
      <c r="B318" s="98">
        <v>0.76199924945831299</v>
      </c>
      <c r="C318" s="98">
        <f t="shared" si="4"/>
        <v>0.71274833484927136</v>
      </c>
      <c r="D318" s="98">
        <v>-0.42621556873401428</v>
      </c>
    </row>
    <row r="319" spans="1:4">
      <c r="A319">
        <v>291</v>
      </c>
      <c r="B319" s="98">
        <v>0.60353761911392212</v>
      </c>
      <c r="C319" s="98">
        <f t="shared" si="4"/>
        <v>0.26251455979310173</v>
      </c>
      <c r="D319" s="98">
        <v>-0.31412191923512534</v>
      </c>
    </row>
    <row r="320" spans="1:4">
      <c r="A320">
        <v>292</v>
      </c>
      <c r="B320" s="98">
        <v>0.83252584934234619</v>
      </c>
      <c r="C320" s="98">
        <f t="shared" si="4"/>
        <v>0.96419473940703515</v>
      </c>
      <c r="D320" s="98">
        <v>0.79401381587011755</v>
      </c>
    </row>
    <row r="321" spans="1:4">
      <c r="A321">
        <v>293</v>
      </c>
      <c r="B321" s="98">
        <v>0.93420642614364624</v>
      </c>
      <c r="C321" s="98">
        <f t="shared" si="4"/>
        <v>1.507872556363268</v>
      </c>
      <c r="D321" s="98">
        <v>2.7498546520286387</v>
      </c>
    </row>
    <row r="322" spans="1:4">
      <c r="A322">
        <v>294</v>
      </c>
      <c r="B322" s="98">
        <v>0.32707893848419189</v>
      </c>
      <c r="C322" s="98">
        <f t="shared" si="4"/>
        <v>-0.44799351483508032</v>
      </c>
      <c r="D322" s="98">
        <v>-1.0206774133148016</v>
      </c>
    </row>
    <row r="323" spans="1:4">
      <c r="A323">
        <v>295</v>
      </c>
      <c r="B323" s="98">
        <v>0.41476911306381226</v>
      </c>
      <c r="C323" s="98">
        <f t="shared" si="4"/>
        <v>-0.21529384752510397</v>
      </c>
      <c r="D323" s="98">
        <v>0.30321780307237656</v>
      </c>
    </row>
    <row r="324" spans="1:4">
      <c r="A324">
        <v>296</v>
      </c>
      <c r="B324" s="98">
        <v>0.5939483642578125</v>
      </c>
      <c r="C324" s="98">
        <f t="shared" si="4"/>
        <v>0.23771355260418317</v>
      </c>
      <c r="D324" s="98">
        <v>-3.9933110265676038E-2</v>
      </c>
    </row>
    <row r="325" spans="1:4">
      <c r="A325">
        <v>297</v>
      </c>
      <c r="B325" s="98">
        <v>0.30463153123855591</v>
      </c>
      <c r="C325" s="98">
        <f t="shared" si="4"/>
        <v>-0.51112566956440031</v>
      </c>
      <c r="D325" s="98">
        <v>0.45050673771535177</v>
      </c>
    </row>
    <row r="326" spans="1:4">
      <c r="A326">
        <v>298</v>
      </c>
      <c r="B326" s="98">
        <v>0.86856639385223389</v>
      </c>
      <c r="C326" s="98">
        <f t="shared" si="4"/>
        <v>1.1196399777248152</v>
      </c>
      <c r="D326" s="98">
        <v>-0.5513550562659123</v>
      </c>
    </row>
    <row r="327" spans="1:4">
      <c r="A327">
        <v>299</v>
      </c>
      <c r="B327" s="98">
        <v>0.14055508375167847</v>
      </c>
      <c r="C327" s="98">
        <f t="shared" si="4"/>
        <v>-1.0778287931326413</v>
      </c>
      <c r="D327" s="98">
        <v>-0.17799784881754321</v>
      </c>
    </row>
    <row r="328" spans="1:4">
      <c r="A328">
        <v>300</v>
      </c>
      <c r="B328" s="98">
        <v>0.50979459285736084</v>
      </c>
      <c r="C328" s="98">
        <f t="shared" si="4"/>
        <v>2.4553870395916576E-2</v>
      </c>
      <c r="D328" s="98">
        <v>-0.59474741442064905</v>
      </c>
    </row>
    <row r="329" spans="1:4">
      <c r="A329">
        <v>301</v>
      </c>
      <c r="B329" s="98">
        <v>0.80932730436325073</v>
      </c>
      <c r="C329" s="98">
        <f t="shared" si="4"/>
        <v>0.87542005557196378</v>
      </c>
      <c r="D329" s="98">
        <v>1.0096166704548848</v>
      </c>
    </row>
    <row r="330" spans="1:4">
      <c r="A330">
        <v>302</v>
      </c>
      <c r="B330" s="98">
        <v>0.33809399604797363</v>
      </c>
      <c r="C330" s="98">
        <f t="shared" si="4"/>
        <v>-0.41767057058642876</v>
      </c>
      <c r="D330" s="98">
        <v>-1.1430473111951522</v>
      </c>
    </row>
    <row r="331" spans="1:4">
      <c r="A331">
        <v>303</v>
      </c>
      <c r="B331" s="98">
        <v>0.73784595727920532</v>
      </c>
      <c r="C331" s="98">
        <f t="shared" si="4"/>
        <v>0.63671870804853969</v>
      </c>
      <c r="D331" s="98">
        <v>2.4327244122031066</v>
      </c>
    </row>
    <row r="332" spans="1:4">
      <c r="A332">
        <v>304</v>
      </c>
      <c r="B332" s="98">
        <v>0.24282181262969971</v>
      </c>
      <c r="C332" s="98">
        <f t="shared" si="4"/>
        <v>-0.69725435939518943</v>
      </c>
      <c r="D332" s="98">
        <v>-1.0600394693535882</v>
      </c>
    </row>
    <row r="333" spans="1:4">
      <c r="A333">
        <v>305</v>
      </c>
      <c r="B333" s="98">
        <v>0.36744588613510132</v>
      </c>
      <c r="C333" s="98">
        <f t="shared" si="4"/>
        <v>-0.33862562993194639</v>
      </c>
      <c r="D333" s="98">
        <v>-1.8374053748122181</v>
      </c>
    </row>
    <row r="334" spans="1:4">
      <c r="A334">
        <v>306</v>
      </c>
      <c r="B334" s="98">
        <v>0.57284736633300781</v>
      </c>
      <c r="C334" s="98">
        <f t="shared" si="4"/>
        <v>0.18362803627889271</v>
      </c>
      <c r="D334" s="98">
        <v>-0.48571756442526437</v>
      </c>
    </row>
    <row r="335" spans="1:4">
      <c r="A335">
        <v>307</v>
      </c>
      <c r="B335" s="98">
        <v>0.1284680962562561</v>
      </c>
      <c r="C335" s="98">
        <f t="shared" si="4"/>
        <v>-1.1336623876407219</v>
      </c>
      <c r="D335" s="98">
        <v>0.61567491865825541</v>
      </c>
    </row>
    <row r="336" spans="1:4">
      <c r="A336">
        <v>308</v>
      </c>
      <c r="B336" s="98">
        <v>0.40140032768249512</v>
      </c>
      <c r="C336" s="98">
        <f t="shared" si="4"/>
        <v>-0.24972418287136774</v>
      </c>
      <c r="D336" s="98">
        <v>1.2465099377535351</v>
      </c>
    </row>
    <row r="337" spans="1:4">
      <c r="A337">
        <v>309</v>
      </c>
      <c r="B337" s="98">
        <v>0.17359453439712524</v>
      </c>
      <c r="C337" s="98">
        <f t="shared" si="4"/>
        <v>-0.94005554739942654</v>
      </c>
      <c r="D337" s="98">
        <v>-0.44783190712479809</v>
      </c>
    </row>
    <row r="338" spans="1:4">
      <c r="A338">
        <v>310</v>
      </c>
      <c r="B338" s="98">
        <v>6.1164140701293945E-2</v>
      </c>
      <c r="C338" s="98">
        <f t="shared" si="4"/>
        <v>-1.54507434605172</v>
      </c>
      <c r="D338" s="98">
        <v>2.2822791661355128</v>
      </c>
    </row>
    <row r="339" spans="1:4">
      <c r="A339">
        <v>311</v>
      </c>
      <c r="B339" s="98">
        <v>9.6184611320495605E-3</v>
      </c>
      <c r="C339" s="98">
        <f t="shared" si="4"/>
        <v>-2.3409076992299265</v>
      </c>
      <c r="D339" s="98">
        <v>1.8722734670459009</v>
      </c>
    </row>
    <row r="340" spans="1:4">
      <c r="A340">
        <v>312</v>
      </c>
      <c r="B340" s="98">
        <v>0.65063607692718506</v>
      </c>
      <c r="C340" s="98">
        <f t="shared" si="4"/>
        <v>0.38703831060243266</v>
      </c>
      <c r="D340" s="98">
        <v>1.302098692098925</v>
      </c>
    </row>
    <row r="341" spans="1:4">
      <c r="A341">
        <v>313</v>
      </c>
      <c r="B341" s="98">
        <v>0.57008379697799683</v>
      </c>
      <c r="C341" s="98">
        <f t="shared" si="4"/>
        <v>0.17658750927929179</v>
      </c>
      <c r="D341" s="98">
        <v>0.41356684453143</v>
      </c>
    </row>
    <row r="342" spans="1:4">
      <c r="A342">
        <v>314</v>
      </c>
      <c r="B342" s="98">
        <v>0.24320399761199951</v>
      </c>
      <c r="C342" s="98">
        <f t="shared" si="4"/>
        <v>-0.69603326887762362</v>
      </c>
      <c r="D342" s="98">
        <v>0.86910805757267628</v>
      </c>
    </row>
    <row r="343" spans="1:4">
      <c r="A343">
        <v>315</v>
      </c>
      <c r="B343" s="98">
        <v>0.44330853223800659</v>
      </c>
      <c r="C343" s="98">
        <f t="shared" si="4"/>
        <v>-0.1425861144598099</v>
      </c>
      <c r="D343" s="98">
        <v>0.73795992672499244</v>
      </c>
    </row>
    <row r="344" spans="1:4">
      <c r="A344">
        <v>316</v>
      </c>
      <c r="B344" s="98">
        <v>0.94765162467956543</v>
      </c>
      <c r="C344" s="98">
        <f t="shared" si="4"/>
        <v>1.6224980484092428</v>
      </c>
      <c r="D344" s="98">
        <v>1.2018347361429644</v>
      </c>
    </row>
    <row r="345" spans="1:4">
      <c r="A345">
        <v>317</v>
      </c>
      <c r="B345" s="98">
        <v>0.14941889047622681</v>
      </c>
      <c r="C345" s="98">
        <f t="shared" si="4"/>
        <v>-1.0389289505790267</v>
      </c>
      <c r="D345" s="98">
        <v>-6.3185362961678593E-2</v>
      </c>
    </row>
    <row r="346" spans="1:4">
      <c r="A346">
        <v>318</v>
      </c>
      <c r="B346" s="98">
        <v>0.15037214756011963</v>
      </c>
      <c r="C346" s="98">
        <f t="shared" si="4"/>
        <v>-1.0348385953833157</v>
      </c>
      <c r="D346" s="98">
        <v>2.2654118868940287</v>
      </c>
    </row>
    <row r="347" spans="1:4">
      <c r="A347">
        <v>319</v>
      </c>
      <c r="B347" s="98">
        <v>0.82305949926376343</v>
      </c>
      <c r="C347" s="98">
        <f t="shared" si="4"/>
        <v>0.92708770068199908</v>
      </c>
      <c r="D347" s="98">
        <v>0.82775238632662818</v>
      </c>
    </row>
    <row r="348" spans="1:4">
      <c r="A348">
        <v>320</v>
      </c>
      <c r="B348" s="98">
        <v>0.70101654529571533</v>
      </c>
      <c r="C348" s="98">
        <f t="shared" si="4"/>
        <v>0.52732645010043133</v>
      </c>
      <c r="D348" s="98">
        <v>-2.0624381364835319E-2</v>
      </c>
    </row>
    <row r="349" spans="1:4">
      <c r="A349">
        <v>321</v>
      </c>
      <c r="B349" s="98">
        <v>0.60165685415267944</v>
      </c>
      <c r="C349" s="98">
        <f t="shared" si="4"/>
        <v>0.25763801037923012</v>
      </c>
      <c r="D349" s="98">
        <v>1.0602424605635767</v>
      </c>
    </row>
    <row r="350" spans="1:4">
      <c r="A350">
        <v>322</v>
      </c>
      <c r="B350" s="98">
        <v>0.97081208229064941</v>
      </c>
      <c r="C350" s="98">
        <f t="shared" ref="C350:C413" si="5">NORMINV(B350,0,1)</f>
        <v>1.8928649201062144</v>
      </c>
      <c r="D350" s="98">
        <v>-2.0570538572510042</v>
      </c>
    </row>
    <row r="351" spans="1:4">
      <c r="A351">
        <v>323</v>
      </c>
      <c r="B351" s="98">
        <v>0.46598106622695923</v>
      </c>
      <c r="C351" s="98">
        <f t="shared" si="5"/>
        <v>-8.5376428006134542E-2</v>
      </c>
      <c r="D351" s="98">
        <v>7.4016951637339581E-2</v>
      </c>
    </row>
    <row r="352" spans="1:4">
      <c r="A352">
        <v>324</v>
      </c>
      <c r="B352" s="98">
        <v>0.67204105854034424</v>
      </c>
      <c r="C352" s="98">
        <f t="shared" si="5"/>
        <v>0.44555616182357299</v>
      </c>
      <c r="D352" s="98">
        <v>-0.78319185126022406</v>
      </c>
    </row>
    <row r="353" spans="1:4">
      <c r="A353">
        <v>325</v>
      </c>
      <c r="B353" s="98">
        <v>0.12744051218032837</v>
      </c>
      <c r="C353" s="98">
        <f t="shared" si="5"/>
        <v>-1.1385736490084781</v>
      </c>
      <c r="D353" s="98">
        <v>-0.48450986366026105</v>
      </c>
    </row>
    <row r="354" spans="1:4">
      <c r="A354">
        <v>326</v>
      </c>
      <c r="B354" s="98">
        <v>0.92933523654937744</v>
      </c>
      <c r="C354" s="98">
        <f t="shared" si="5"/>
        <v>1.4708579859498674</v>
      </c>
      <c r="D354" s="98">
        <v>-0.87310688423103799</v>
      </c>
    </row>
    <row r="355" spans="1:4">
      <c r="A355">
        <v>327</v>
      </c>
      <c r="B355" s="98">
        <v>0.78129047155380249</v>
      </c>
      <c r="C355" s="98">
        <f t="shared" si="5"/>
        <v>0.77655890172407449</v>
      </c>
      <c r="D355" s="98">
        <v>-0.99976217101061593</v>
      </c>
    </row>
    <row r="356" spans="1:4">
      <c r="A356">
        <v>328</v>
      </c>
      <c r="B356" s="98">
        <v>0.25695371627807617</v>
      </c>
      <c r="C356" s="98">
        <f t="shared" si="5"/>
        <v>-0.65276555552997551</v>
      </c>
      <c r="D356" s="98">
        <v>0.17820186641398492</v>
      </c>
    </row>
    <row r="357" spans="1:4">
      <c r="A357">
        <v>329</v>
      </c>
      <c r="B357" s="98">
        <v>0.80827218294143677</v>
      </c>
      <c r="C357" s="98">
        <f t="shared" si="5"/>
        <v>0.87154685492136241</v>
      </c>
      <c r="D357" s="98">
        <v>1.1747119790433433</v>
      </c>
    </row>
    <row r="358" spans="1:4">
      <c r="A358">
        <v>330</v>
      </c>
      <c r="B358" s="98">
        <v>0.31374359130859375</v>
      </c>
      <c r="C358" s="98">
        <f t="shared" si="5"/>
        <v>-0.48526668736808187</v>
      </c>
      <c r="D358" s="98">
        <v>0.2466917246240132</v>
      </c>
    </row>
    <row r="359" spans="1:4">
      <c r="A359">
        <v>331</v>
      </c>
      <c r="B359" s="98">
        <v>0.92553657293319702</v>
      </c>
      <c r="C359" s="98">
        <f t="shared" si="5"/>
        <v>1.4433324098579439</v>
      </c>
      <c r="D359" s="98">
        <v>0.48406280955630027</v>
      </c>
    </row>
    <row r="360" spans="1:4">
      <c r="A360">
        <v>332</v>
      </c>
      <c r="B360" s="98">
        <v>0.82116007804870605</v>
      </c>
      <c r="C360" s="98">
        <f t="shared" si="5"/>
        <v>0.91979510104186268</v>
      </c>
      <c r="D360" s="98">
        <v>-0.34374266017256105</v>
      </c>
    </row>
    <row r="361" spans="1:4">
      <c r="A361">
        <v>333</v>
      </c>
      <c r="B361" s="98">
        <v>0.26390939950942993</v>
      </c>
      <c r="C361" s="98">
        <f t="shared" si="5"/>
        <v>-0.63133914190868057</v>
      </c>
      <c r="D361" s="98">
        <v>-0.35612562653538987</v>
      </c>
    </row>
    <row r="362" spans="1:4">
      <c r="A362">
        <v>334</v>
      </c>
      <c r="B362" s="98">
        <v>0.18022215366363525</v>
      </c>
      <c r="C362" s="98">
        <f t="shared" si="5"/>
        <v>-0.91451879348783049</v>
      </c>
      <c r="D362" s="98">
        <v>-2.3928766489005473</v>
      </c>
    </row>
    <row r="363" spans="1:4">
      <c r="A363">
        <v>335</v>
      </c>
      <c r="B363" s="98">
        <v>0.74757808446884155</v>
      </c>
      <c r="C363" s="98">
        <f t="shared" si="5"/>
        <v>0.66688775811155887</v>
      </c>
      <c r="D363" s="98">
        <v>2.6633811331872135</v>
      </c>
    </row>
    <row r="364" spans="1:4">
      <c r="A364">
        <v>336</v>
      </c>
      <c r="B364" s="98">
        <v>0.18086004257202148</v>
      </c>
      <c r="C364" s="98">
        <f t="shared" si="5"/>
        <v>-0.91209238787821934</v>
      </c>
      <c r="D364" s="98">
        <v>-0.1331744833846209</v>
      </c>
    </row>
    <row r="365" spans="1:4">
      <c r="A365">
        <v>337</v>
      </c>
      <c r="B365" s="98">
        <v>0.49366074800491333</v>
      </c>
      <c r="C365" s="98">
        <f t="shared" si="5"/>
        <v>-1.5890817051963615E-2</v>
      </c>
      <c r="D365" s="98">
        <v>-1.3109315121894831</v>
      </c>
    </row>
    <row r="366" spans="1:4">
      <c r="A366">
        <v>338</v>
      </c>
      <c r="B366" s="98">
        <v>0.3023751974105835</v>
      </c>
      <c r="C366" s="98">
        <f t="shared" si="5"/>
        <v>-0.51758135285793438</v>
      </c>
      <c r="D366" s="98">
        <v>-0.86496517338835688</v>
      </c>
    </row>
    <row r="367" spans="1:4">
      <c r="A367">
        <v>339</v>
      </c>
      <c r="B367" s="98">
        <v>0.41258066892623901</v>
      </c>
      <c r="C367" s="98">
        <f t="shared" si="5"/>
        <v>-0.22091150650957816</v>
      </c>
      <c r="D367" s="98">
        <v>0.48544117575832663</v>
      </c>
    </row>
    <row r="368" spans="1:4">
      <c r="A368">
        <v>340</v>
      </c>
      <c r="B368" s="98">
        <v>0.53794848918914795</v>
      </c>
      <c r="C368" s="98">
        <f t="shared" si="5"/>
        <v>9.5266662546226108E-2</v>
      </c>
      <c r="D368" s="98">
        <v>0.95269026440735527</v>
      </c>
    </row>
    <row r="369" spans="1:4">
      <c r="A369">
        <v>341</v>
      </c>
      <c r="B369" s="98">
        <v>0.73716038465499878</v>
      </c>
      <c r="C369" s="98">
        <f t="shared" si="5"/>
        <v>0.63461547832357945</v>
      </c>
      <c r="D369" s="98">
        <v>-2.5041476725460337</v>
      </c>
    </row>
    <row r="370" spans="1:4">
      <c r="A370">
        <v>342</v>
      </c>
      <c r="B370" s="98">
        <v>0.21091723442077637</v>
      </c>
      <c r="C370" s="98">
        <f t="shared" si="5"/>
        <v>-0.80324270141643317</v>
      </c>
      <c r="D370" s="98">
        <v>0.68891386899551676</v>
      </c>
    </row>
    <row r="371" spans="1:4">
      <c r="A371">
        <v>343</v>
      </c>
      <c r="B371" s="98">
        <v>0.71507555246353149</v>
      </c>
      <c r="C371" s="98">
        <f t="shared" si="5"/>
        <v>0.56827405245730045</v>
      </c>
      <c r="D371" s="98">
        <v>0.67907838792056119</v>
      </c>
    </row>
    <row r="372" spans="1:4">
      <c r="A372">
        <v>344</v>
      </c>
      <c r="B372" s="98">
        <v>0.1140892505645752</v>
      </c>
      <c r="C372" s="98">
        <f t="shared" si="5"/>
        <v>-1.2050642458509939</v>
      </c>
      <c r="D372" s="98">
        <v>1.6409224065741432</v>
      </c>
    </row>
    <row r="373" spans="1:4">
      <c r="A373">
        <v>345</v>
      </c>
      <c r="B373" s="98">
        <v>0.34652096033096313</v>
      </c>
      <c r="C373" s="98">
        <f t="shared" si="5"/>
        <v>-0.3947303244195528</v>
      </c>
      <c r="D373" s="98">
        <v>-1.0993705888246526</v>
      </c>
    </row>
    <row r="374" spans="1:4">
      <c r="A374">
        <v>346</v>
      </c>
      <c r="B374" s="98">
        <v>0.67383110523223877</v>
      </c>
      <c r="C374" s="98">
        <f t="shared" si="5"/>
        <v>0.45051687451356953</v>
      </c>
      <c r="D374" s="98">
        <v>-0.7744463695615883</v>
      </c>
    </row>
    <row r="375" spans="1:4">
      <c r="A375">
        <v>347</v>
      </c>
      <c r="B375" s="98">
        <v>0.36886686086654663</v>
      </c>
      <c r="C375" s="98">
        <f t="shared" si="5"/>
        <v>-0.33485599066568977</v>
      </c>
      <c r="D375" s="98">
        <v>0.90121247521633763</v>
      </c>
    </row>
    <row r="376" spans="1:4">
      <c r="A376">
        <v>348</v>
      </c>
      <c r="B376" s="98">
        <v>0.29034042358398438</v>
      </c>
      <c r="C376" s="98">
        <f t="shared" si="5"/>
        <v>-0.55239048655126832</v>
      </c>
      <c r="D376" s="98">
        <v>-1.0135909459269539</v>
      </c>
    </row>
    <row r="377" spans="1:4">
      <c r="A377">
        <v>349</v>
      </c>
      <c r="B377" s="98">
        <v>0.91328758001327515</v>
      </c>
      <c r="C377" s="98">
        <f t="shared" si="5"/>
        <v>1.3612812058411783</v>
      </c>
      <c r="D377" s="98">
        <v>0.10320782565689159</v>
      </c>
    </row>
    <row r="378" spans="1:4">
      <c r="A378">
        <v>350</v>
      </c>
      <c r="B378" s="98">
        <v>0.58711636066436768</v>
      </c>
      <c r="C378" s="98">
        <f t="shared" si="5"/>
        <v>0.22013338026960005</v>
      </c>
      <c r="D378" s="98">
        <v>0.94640958373939621</v>
      </c>
    </row>
    <row r="379" spans="1:4">
      <c r="A379">
        <v>351</v>
      </c>
      <c r="B379" s="98">
        <v>0.33028215169906616</v>
      </c>
      <c r="C379" s="98">
        <f t="shared" si="5"/>
        <v>-0.43913419456839609</v>
      </c>
      <c r="D379" s="98">
        <v>-1.2095496123957867</v>
      </c>
    </row>
    <row r="380" spans="1:4">
      <c r="A380">
        <v>352</v>
      </c>
      <c r="B380" s="98">
        <v>0.58896350860595703</v>
      </c>
      <c r="C380" s="98">
        <f t="shared" si="5"/>
        <v>0.22487954461004056</v>
      </c>
      <c r="D380" s="98">
        <v>0.73005862017212753</v>
      </c>
    </row>
    <row r="381" spans="1:4">
      <c r="A381">
        <v>353</v>
      </c>
      <c r="B381" s="98">
        <v>0.16480857133865356</v>
      </c>
      <c r="C381" s="98">
        <f t="shared" si="5"/>
        <v>-0.97488533217162543</v>
      </c>
      <c r="D381" s="98">
        <v>0.78888505210817461</v>
      </c>
    </row>
    <row r="382" spans="1:4">
      <c r="A382">
        <v>354</v>
      </c>
      <c r="B382" s="98">
        <v>5.2965998649597168E-2</v>
      </c>
      <c r="C382" s="98">
        <f t="shared" si="5"/>
        <v>-1.6167511991286208</v>
      </c>
      <c r="D382" s="98">
        <v>-0.39401541267071177</v>
      </c>
    </row>
    <row r="383" spans="1:4">
      <c r="A383">
        <v>355</v>
      </c>
      <c r="B383" s="98">
        <v>0.11391419172286987</v>
      </c>
      <c r="C383" s="98">
        <f t="shared" si="5"/>
        <v>-1.205971749416155</v>
      </c>
      <c r="D383" s="98">
        <v>-0.46484083996811126</v>
      </c>
    </row>
    <row r="384" spans="1:4">
      <c r="A384">
        <v>356</v>
      </c>
      <c r="B384" s="98">
        <v>0.36341416835784912</v>
      </c>
      <c r="C384" s="98">
        <f t="shared" si="5"/>
        <v>-0.34934764050668832</v>
      </c>
      <c r="D384" s="98">
        <v>0.38303481339790035</v>
      </c>
    </row>
    <row r="385" spans="1:4">
      <c r="A385">
        <v>357</v>
      </c>
      <c r="B385" s="98">
        <v>0.80565959215164185</v>
      </c>
      <c r="C385" s="98">
        <f t="shared" si="5"/>
        <v>0.86201217938591601</v>
      </c>
      <c r="D385" s="98">
        <v>-0.9525253572925646</v>
      </c>
    </row>
    <row r="386" spans="1:4">
      <c r="A386">
        <v>358</v>
      </c>
      <c r="B386" s="98">
        <v>0.33776330947875977</v>
      </c>
      <c r="C386" s="98">
        <f t="shared" si="5"/>
        <v>-0.41857519780028263</v>
      </c>
      <c r="D386" s="98">
        <v>2.2166534511854481E-2</v>
      </c>
    </row>
    <row r="387" spans="1:4">
      <c r="A387">
        <v>359</v>
      </c>
      <c r="B387" s="98">
        <v>0.49067097902297974</v>
      </c>
      <c r="C387" s="98">
        <f t="shared" si="5"/>
        <v>-2.3386519376145505E-2</v>
      </c>
      <c r="D387" s="98">
        <v>-2.3994287108704402</v>
      </c>
    </row>
    <row r="388" spans="1:4">
      <c r="A388">
        <v>360</v>
      </c>
      <c r="B388" s="98">
        <v>0.57692587375640869</v>
      </c>
      <c r="C388" s="98">
        <f t="shared" si="5"/>
        <v>0.19403528626438082</v>
      </c>
      <c r="D388" s="98">
        <v>0.71245862547301875</v>
      </c>
    </row>
    <row r="389" spans="1:4">
      <c r="A389">
        <v>361</v>
      </c>
      <c r="B389" s="98">
        <v>0.89130932092666626</v>
      </c>
      <c r="C389" s="98">
        <f t="shared" si="5"/>
        <v>1.2335212376651865</v>
      </c>
      <c r="D389" s="98">
        <v>-0.31313913864894088</v>
      </c>
    </row>
    <row r="390" spans="1:4">
      <c r="A390">
        <v>362</v>
      </c>
      <c r="B390" s="98">
        <v>0.96063911914825439</v>
      </c>
      <c r="C390" s="98">
        <f t="shared" si="5"/>
        <v>1.7581513429485798</v>
      </c>
      <c r="D390" s="98">
        <v>-1.0462051332360081</v>
      </c>
    </row>
    <row r="391" spans="1:4">
      <c r="A391">
        <v>363</v>
      </c>
      <c r="B391" s="98">
        <v>0.73051923513412476</v>
      </c>
      <c r="C391" s="98">
        <f t="shared" si="5"/>
        <v>0.61438411573425156</v>
      </c>
      <c r="D391" s="98">
        <v>8.7821885335329503E-2</v>
      </c>
    </row>
    <row r="392" spans="1:4">
      <c r="A392">
        <v>364</v>
      </c>
      <c r="B392" s="98">
        <v>0.678070068359375</v>
      </c>
      <c r="C392" s="98">
        <f t="shared" si="5"/>
        <v>0.4623088370848949</v>
      </c>
      <c r="D392" s="98">
        <v>1.3728783367942174</v>
      </c>
    </row>
    <row r="393" spans="1:4">
      <c r="A393">
        <v>365</v>
      </c>
      <c r="B393" s="98">
        <v>0.58022052049636841</v>
      </c>
      <c r="C393" s="98">
        <f t="shared" si="5"/>
        <v>0.20245765537371907</v>
      </c>
      <c r="D393" s="98">
        <v>2.2984302309718846E-3</v>
      </c>
    </row>
    <row r="394" spans="1:4">
      <c r="A394">
        <v>366</v>
      </c>
      <c r="B394" s="98">
        <v>0.66203868389129639</v>
      </c>
      <c r="C394" s="98">
        <f t="shared" si="5"/>
        <v>0.41803348914535815</v>
      </c>
      <c r="D394" s="98">
        <v>-0.22496941125477218</v>
      </c>
    </row>
    <row r="395" spans="1:4">
      <c r="A395">
        <v>367</v>
      </c>
      <c r="B395" s="98">
        <v>0.38867825269699097</v>
      </c>
      <c r="C395" s="98">
        <f t="shared" si="5"/>
        <v>-0.28276562659830629</v>
      </c>
      <c r="D395" s="98">
        <v>-1.0131699264877851</v>
      </c>
    </row>
    <row r="396" spans="1:4">
      <c r="A396">
        <v>368</v>
      </c>
      <c r="B396" s="98">
        <v>0.5672004222869873</v>
      </c>
      <c r="C396" s="98">
        <f t="shared" si="5"/>
        <v>0.16925107724444791</v>
      </c>
      <c r="D396" s="98">
        <v>0.28828507404679488</v>
      </c>
    </row>
    <row r="397" spans="1:4">
      <c r="A397">
        <v>369</v>
      </c>
      <c r="B397" s="98">
        <v>0.51925760507583618</v>
      </c>
      <c r="C397" s="98">
        <f t="shared" si="5"/>
        <v>4.8290419412925591E-2</v>
      </c>
      <c r="D397" s="98">
        <v>-0.36736997026969431</v>
      </c>
    </row>
    <row r="398" spans="1:4">
      <c r="A398">
        <v>370</v>
      </c>
      <c r="B398" s="98">
        <v>0.5280081033706665</v>
      </c>
      <c r="C398" s="98">
        <f t="shared" si="5"/>
        <v>7.0263676147672635E-2</v>
      </c>
      <c r="D398" s="98">
        <v>0.28797106014124985</v>
      </c>
    </row>
    <row r="399" spans="1:4">
      <c r="A399">
        <v>371</v>
      </c>
      <c r="B399" s="98">
        <v>0.88184314966201782</v>
      </c>
      <c r="C399" s="98">
        <f t="shared" si="5"/>
        <v>1.1842510467452427</v>
      </c>
      <c r="D399" s="98">
        <v>1.1546997080056274</v>
      </c>
    </row>
    <row r="400" spans="1:4">
      <c r="A400">
        <v>372</v>
      </c>
      <c r="B400" s="98">
        <v>0.33927261829376221</v>
      </c>
      <c r="C400" s="98">
        <f t="shared" si="5"/>
        <v>-0.41444910002293123</v>
      </c>
      <c r="D400" s="98">
        <v>-0.88929678122040479</v>
      </c>
    </row>
    <row r="401" spans="1:4">
      <c r="A401">
        <v>373</v>
      </c>
      <c r="B401" s="98">
        <v>0.18514913320541382</v>
      </c>
      <c r="C401" s="98">
        <f t="shared" si="5"/>
        <v>-0.89591480494389097</v>
      </c>
      <c r="D401" s="98">
        <v>-0.16390237092623075</v>
      </c>
    </row>
    <row r="402" spans="1:4">
      <c r="A402">
        <v>374</v>
      </c>
      <c r="B402" s="98">
        <v>0.10423469543457031</v>
      </c>
      <c r="C402" s="98">
        <f t="shared" si="5"/>
        <v>-1.2577853622288921</v>
      </c>
      <c r="D402" s="98">
        <v>2.0688459496511467</v>
      </c>
    </row>
    <row r="403" spans="1:4">
      <c r="A403">
        <v>375</v>
      </c>
      <c r="B403" s="98">
        <v>0.14213496446609497</v>
      </c>
      <c r="C403" s="98">
        <f t="shared" si="5"/>
        <v>-1.0707765153297888</v>
      </c>
      <c r="D403" s="98">
        <v>1.6249239687234804</v>
      </c>
    </row>
    <row r="404" spans="1:4">
      <c r="A404">
        <v>376</v>
      </c>
      <c r="B404" s="98">
        <v>0.6446455717086792</v>
      </c>
      <c r="C404" s="98">
        <f t="shared" si="5"/>
        <v>0.37090424056137705</v>
      </c>
      <c r="D404" s="98">
        <v>-0.13393890362370781</v>
      </c>
    </row>
    <row r="405" spans="1:4">
      <c r="A405">
        <v>377</v>
      </c>
      <c r="B405" s="98">
        <v>0.69227665662765503</v>
      </c>
      <c r="C405" s="98">
        <f t="shared" si="5"/>
        <v>0.50231396594443645</v>
      </c>
      <c r="D405" s="98">
        <v>0.4194821275706711</v>
      </c>
    </row>
    <row r="406" spans="1:4">
      <c r="A406">
        <v>378</v>
      </c>
      <c r="B406" s="98">
        <v>0.85246539115905762</v>
      </c>
      <c r="C406" s="98">
        <f t="shared" si="5"/>
        <v>1.0470658298274271</v>
      </c>
      <c r="D406" s="98">
        <v>-1.9458215660796494</v>
      </c>
    </row>
    <row r="407" spans="1:4">
      <c r="A407">
        <v>379</v>
      </c>
      <c r="B407" s="98">
        <v>0.79171282052993774</v>
      </c>
      <c r="C407" s="98">
        <f t="shared" si="5"/>
        <v>0.81237870960564629</v>
      </c>
      <c r="D407" s="98">
        <v>-0.18503824370782612</v>
      </c>
    </row>
    <row r="408" spans="1:4">
      <c r="A408">
        <v>380</v>
      </c>
      <c r="B408" s="98">
        <v>0.85726416110992432</v>
      </c>
      <c r="C408" s="98">
        <f t="shared" si="5"/>
        <v>1.0681082656882182</v>
      </c>
      <c r="D408" s="98">
        <v>-0.12619341862997602</v>
      </c>
    </row>
    <row r="409" spans="1:4">
      <c r="A409">
        <v>381</v>
      </c>
      <c r="B409" s="98">
        <v>0.41861575841903687</v>
      </c>
      <c r="C409" s="98">
        <f t="shared" si="5"/>
        <v>-0.2054359734627704</v>
      </c>
      <c r="D409" s="98">
        <v>0.34710812060858476</v>
      </c>
    </row>
    <row r="410" spans="1:4">
      <c r="A410">
        <v>382</v>
      </c>
      <c r="B410" s="98">
        <v>0.38120222091674805</v>
      </c>
      <c r="C410" s="98">
        <f t="shared" si="5"/>
        <v>-0.3023248430835333</v>
      </c>
      <c r="D410" s="98">
        <v>-2.932670743431225E-2</v>
      </c>
    </row>
    <row r="411" spans="1:4">
      <c r="A411">
        <v>383</v>
      </c>
      <c r="B411" s="98">
        <v>3.0648171901702881E-2</v>
      </c>
      <c r="C411" s="98">
        <f t="shared" si="5"/>
        <v>-1.8713517370258588</v>
      </c>
      <c r="D411" s="98">
        <v>2.7936959016190288</v>
      </c>
    </row>
    <row r="412" spans="1:4">
      <c r="A412">
        <v>384</v>
      </c>
      <c r="B412" s="98">
        <v>0.72693252563476563</v>
      </c>
      <c r="C412" s="98">
        <f t="shared" si="5"/>
        <v>0.60356190172570778</v>
      </c>
      <c r="D412" s="98">
        <v>-0.83572887284061415</v>
      </c>
    </row>
    <row r="413" spans="1:4">
      <c r="A413">
        <v>385</v>
      </c>
      <c r="B413" s="98">
        <v>0.14765292406082153</v>
      </c>
      <c r="C413" s="98">
        <f t="shared" si="5"/>
        <v>-1.0465528708593173</v>
      </c>
      <c r="D413" s="98">
        <v>0.79720900425797392</v>
      </c>
    </row>
    <row r="414" spans="1:4">
      <c r="A414">
        <v>386</v>
      </c>
      <c r="B414" s="98">
        <v>0.39995753765106201</v>
      </c>
      <c r="C414" s="98">
        <f t="shared" ref="C414:C477" si="6">NORMINV(B414,0,1)</f>
        <v>-0.2534570132195601</v>
      </c>
      <c r="D414" s="98">
        <v>-0.4133839364174442</v>
      </c>
    </row>
    <row r="415" spans="1:4">
      <c r="A415">
        <v>387</v>
      </c>
      <c r="B415" s="98">
        <v>0.88283795118331909</v>
      </c>
      <c r="C415" s="98">
        <f t="shared" si="6"/>
        <v>1.1892937405270188</v>
      </c>
      <c r="D415" s="98">
        <v>0.77015000840437409</v>
      </c>
    </row>
    <row r="416" spans="1:4">
      <c r="A416">
        <v>388</v>
      </c>
      <c r="B416" s="98">
        <v>0.93973231315612793</v>
      </c>
      <c r="C416" s="98">
        <f t="shared" si="6"/>
        <v>1.5525303618931068</v>
      </c>
      <c r="D416" s="98">
        <v>0.31775881631666864</v>
      </c>
    </row>
    <row r="417" spans="1:4">
      <c r="A417">
        <v>389</v>
      </c>
      <c r="B417" s="98">
        <v>0.16011530160903931</v>
      </c>
      <c r="C417" s="98">
        <f t="shared" si="6"/>
        <v>-0.99398411053807023</v>
      </c>
      <c r="D417" s="98">
        <v>0.40140652549102274</v>
      </c>
    </row>
    <row r="418" spans="1:4">
      <c r="A418">
        <v>390</v>
      </c>
      <c r="B418" s="98">
        <v>0.34594404697418213</v>
      </c>
      <c r="C418" s="98">
        <f t="shared" si="6"/>
        <v>-0.39629408005235833</v>
      </c>
      <c r="D418" s="98">
        <v>0.15929302498587547</v>
      </c>
    </row>
    <row r="419" spans="1:4">
      <c r="A419">
        <v>391</v>
      </c>
      <c r="B419" s="98">
        <v>0.46449321508407593</v>
      </c>
      <c r="C419" s="98">
        <f t="shared" si="6"/>
        <v>-8.9120141895921559E-2</v>
      </c>
      <c r="D419" s="98">
        <v>0.43790556222622701</v>
      </c>
    </row>
    <row r="420" spans="1:4">
      <c r="A420">
        <v>392</v>
      </c>
      <c r="B420" s="98">
        <v>0.47324860095977783</v>
      </c>
      <c r="C420" s="98">
        <f t="shared" si="6"/>
        <v>-6.7106145003808126E-2</v>
      </c>
      <c r="D420" s="98">
        <v>-1.1556379284734402</v>
      </c>
    </row>
    <row r="421" spans="1:4">
      <c r="A421">
        <v>393</v>
      </c>
      <c r="B421" s="98">
        <v>0.17326635122299194</v>
      </c>
      <c r="C421" s="98">
        <f t="shared" si="6"/>
        <v>-0.94133599465988294</v>
      </c>
      <c r="D421" s="98">
        <v>-0.4923550043289146</v>
      </c>
    </row>
    <row r="422" spans="1:4">
      <c r="A422">
        <v>394</v>
      </c>
      <c r="B422" s="98">
        <v>3.2716989517211914E-2</v>
      </c>
      <c r="C422" s="98">
        <f t="shared" si="6"/>
        <v>-1.8422815367270751</v>
      </c>
      <c r="D422" s="98">
        <v>0.63969765062843553</v>
      </c>
    </row>
    <row r="423" spans="1:4">
      <c r="A423">
        <v>395</v>
      </c>
      <c r="B423" s="98">
        <v>9.1423571109771729E-2</v>
      </c>
      <c r="C423" s="98">
        <f t="shared" si="6"/>
        <v>-1.3320397032920954</v>
      </c>
      <c r="D423" s="98">
        <v>-1.3300026638226017</v>
      </c>
    </row>
    <row r="424" spans="1:4">
      <c r="A424">
        <v>396</v>
      </c>
      <c r="B424" s="98">
        <v>0.76946842670440674</v>
      </c>
      <c r="C424" s="98">
        <f t="shared" si="6"/>
        <v>0.73709735656224828</v>
      </c>
      <c r="D424" s="98">
        <v>0.42935475026139575</v>
      </c>
    </row>
    <row r="425" spans="1:4">
      <c r="A425">
        <v>397</v>
      </c>
      <c r="B425" s="98">
        <v>0.17044824361801147</v>
      </c>
      <c r="C425" s="98">
        <f t="shared" si="6"/>
        <v>-0.95239540838806924</v>
      </c>
      <c r="D425" s="98">
        <v>-0.91328878965825533</v>
      </c>
    </row>
    <row r="426" spans="1:4">
      <c r="A426">
        <v>398</v>
      </c>
      <c r="B426" s="98">
        <v>0.77529776096343994</v>
      </c>
      <c r="C426" s="98">
        <f t="shared" si="6"/>
        <v>0.75640822508783734</v>
      </c>
      <c r="D426" s="98">
        <v>0.38600435128382005</v>
      </c>
    </row>
    <row r="427" spans="1:4">
      <c r="A427">
        <v>399</v>
      </c>
      <c r="B427" s="98">
        <v>1.6571879386901855E-3</v>
      </c>
      <c r="C427" s="98">
        <f t="shared" si="6"/>
        <v>-2.9369686684243743</v>
      </c>
      <c r="D427" s="98">
        <v>0.31034807182141338</v>
      </c>
    </row>
    <row r="428" spans="1:4">
      <c r="A428">
        <v>400</v>
      </c>
      <c r="B428" s="98">
        <v>0.7364957332611084</v>
      </c>
      <c r="C428" s="98">
        <f t="shared" si="6"/>
        <v>0.6325791083334914</v>
      </c>
      <c r="D428" s="98">
        <v>2.815862185361763E-2</v>
      </c>
    </row>
    <row r="429" spans="1:4">
      <c r="A429">
        <v>401</v>
      </c>
      <c r="B429" s="98">
        <v>0.51566702127456665</v>
      </c>
      <c r="C429" s="98">
        <f t="shared" si="6"/>
        <v>3.9281498296688831E-2</v>
      </c>
      <c r="D429" s="98">
        <v>0.78952623521215526</v>
      </c>
    </row>
    <row r="430" spans="1:4">
      <c r="A430">
        <v>402</v>
      </c>
      <c r="B430" s="98">
        <v>0.30561792850494385</v>
      </c>
      <c r="C430" s="98">
        <f t="shared" si="6"/>
        <v>-0.50831014426461874</v>
      </c>
      <c r="D430" s="98">
        <v>-0.76004897894411694</v>
      </c>
    </row>
    <row r="431" spans="1:4">
      <c r="A431">
        <v>403</v>
      </c>
      <c r="B431" s="98">
        <v>0.25371032953262329</v>
      </c>
      <c r="C431" s="98">
        <f t="shared" si="6"/>
        <v>-0.66285931761746464</v>
      </c>
      <c r="D431" s="98">
        <v>-0.9825027283779092</v>
      </c>
    </row>
    <row r="432" spans="1:4">
      <c r="A432">
        <v>404</v>
      </c>
      <c r="B432" s="98">
        <v>0.13577282428741455</v>
      </c>
      <c r="C432" s="98">
        <f t="shared" si="6"/>
        <v>-1.0995100596187701</v>
      </c>
      <c r="D432" s="98">
        <v>0.9054950032340231</v>
      </c>
    </row>
    <row r="433" spans="1:4">
      <c r="A433">
        <v>405</v>
      </c>
      <c r="B433" s="98">
        <v>8.2963883876800537E-2</v>
      </c>
      <c r="C433" s="98">
        <f t="shared" si="6"/>
        <v>-1.3854079293892987</v>
      </c>
      <c r="D433" s="98">
        <v>-0.44150251897935522</v>
      </c>
    </row>
    <row r="434" spans="1:4">
      <c r="A434">
        <v>406</v>
      </c>
      <c r="B434" s="98">
        <v>0.97358798980712891</v>
      </c>
      <c r="C434" s="98">
        <f t="shared" si="6"/>
        <v>1.9363567689465275</v>
      </c>
      <c r="D434" s="98">
        <v>0.26007669703864794</v>
      </c>
    </row>
    <row r="435" spans="1:4">
      <c r="A435">
        <v>407</v>
      </c>
      <c r="B435" s="98">
        <v>0.51791805028915405</v>
      </c>
      <c r="C435" s="98">
        <f t="shared" si="6"/>
        <v>4.4929002633748438E-2</v>
      </c>
      <c r="D435" s="98">
        <v>-0.1258582792773979</v>
      </c>
    </row>
    <row r="436" spans="1:4">
      <c r="A436">
        <v>408</v>
      </c>
      <c r="B436" s="98">
        <v>0.49105596542358398</v>
      </c>
      <c r="C436" s="98">
        <f t="shared" si="6"/>
        <v>-2.2421248390060634E-2</v>
      </c>
      <c r="D436" s="98">
        <v>-0.52138828650617242</v>
      </c>
    </row>
    <row r="437" spans="1:4">
      <c r="A437">
        <v>409</v>
      </c>
      <c r="B437" s="98">
        <v>0.16524583101272583</v>
      </c>
      <c r="C437" s="98">
        <f t="shared" si="6"/>
        <v>-0.97312403061068031</v>
      </c>
      <c r="D437" s="98">
        <v>0.63243489207133075</v>
      </c>
    </row>
    <row r="438" spans="1:4">
      <c r="A438">
        <v>410</v>
      </c>
      <c r="B438" s="98">
        <v>8.6725234985351563E-2</v>
      </c>
      <c r="C438" s="98">
        <f t="shared" si="6"/>
        <v>-1.3612000766507779</v>
      </c>
      <c r="D438" s="98">
        <v>-0.31422080576485406</v>
      </c>
    </row>
    <row r="439" spans="1:4">
      <c r="A439">
        <v>411</v>
      </c>
      <c r="B439" s="98">
        <v>0.38832789659500122</v>
      </c>
      <c r="C439" s="98">
        <f t="shared" si="6"/>
        <v>-0.28367977798279448</v>
      </c>
      <c r="D439" s="98">
        <v>-1.1111383248104845</v>
      </c>
    </row>
    <row r="440" spans="1:4">
      <c r="A440">
        <v>412</v>
      </c>
      <c r="B440" s="98">
        <v>0.11462390422821045</v>
      </c>
      <c r="C440" s="98">
        <f t="shared" si="6"/>
        <v>-1.2022987309088233</v>
      </c>
      <c r="D440" s="98">
        <v>4.6918435239156994E-2</v>
      </c>
    </row>
    <row r="441" spans="1:4">
      <c r="A441">
        <v>413</v>
      </c>
      <c r="B441" s="98">
        <v>0.83879917860031128</v>
      </c>
      <c r="C441" s="98">
        <f t="shared" si="6"/>
        <v>0.989534614653517</v>
      </c>
      <c r="D441" s="98">
        <v>-2.553087384071925</v>
      </c>
    </row>
    <row r="442" spans="1:4">
      <c r="A442">
        <v>414</v>
      </c>
      <c r="B442" s="98">
        <v>0.32604479789733887</v>
      </c>
      <c r="C442" s="98">
        <f t="shared" si="6"/>
        <v>-0.45086119102061112</v>
      </c>
      <c r="D442" s="98">
        <v>1.3307180480695671</v>
      </c>
    </row>
    <row r="443" spans="1:4">
      <c r="A443">
        <v>415</v>
      </c>
      <c r="B443" s="98">
        <v>0.40350633859634399</v>
      </c>
      <c r="C443" s="98">
        <f t="shared" si="6"/>
        <v>-0.24428167200253548</v>
      </c>
      <c r="D443" s="98">
        <v>9.2449195148115365E-2</v>
      </c>
    </row>
    <row r="444" spans="1:4">
      <c r="A444">
        <v>416</v>
      </c>
      <c r="B444" s="98">
        <v>9.1033220291137695E-2</v>
      </c>
      <c r="C444" s="98">
        <f t="shared" si="6"/>
        <v>-1.3344194152859823</v>
      </c>
      <c r="D444" s="98">
        <v>-1.2967983708357746</v>
      </c>
    </row>
    <row r="445" spans="1:4">
      <c r="A445">
        <v>417</v>
      </c>
      <c r="B445" s="98">
        <v>0.26590877771377563</v>
      </c>
      <c r="C445" s="98">
        <f t="shared" si="6"/>
        <v>-0.62523390029030679</v>
      </c>
      <c r="D445" s="98">
        <v>-0.96803955262062535</v>
      </c>
    </row>
    <row r="446" spans="1:4">
      <c r="A446">
        <v>418</v>
      </c>
      <c r="B446" s="98">
        <v>0.83473503589630127</v>
      </c>
      <c r="C446" s="98">
        <f t="shared" si="6"/>
        <v>0.97304703059651432</v>
      </c>
      <c r="D446" s="98">
        <v>0.29276329082813657</v>
      </c>
    </row>
    <row r="447" spans="1:4">
      <c r="A447">
        <v>419</v>
      </c>
      <c r="B447" s="98">
        <v>0.44633573293685913</v>
      </c>
      <c r="C447" s="98">
        <f t="shared" si="6"/>
        <v>-0.1349246297657819</v>
      </c>
      <c r="D447" s="98">
        <v>-0.72585043058677612</v>
      </c>
    </row>
    <row r="448" spans="1:4">
      <c r="A448">
        <v>420</v>
      </c>
      <c r="B448" s="98">
        <v>0.80805587768554688</v>
      </c>
      <c r="C448" s="98">
        <f t="shared" si="6"/>
        <v>0.87075444336556762</v>
      </c>
      <c r="D448" s="98">
        <v>1.1098126322298012</v>
      </c>
    </row>
    <row r="449" spans="1:4">
      <c r="A449">
        <v>421</v>
      </c>
      <c r="B449" s="98">
        <v>0.73075991868972778</v>
      </c>
      <c r="C449" s="98">
        <f t="shared" si="6"/>
        <v>0.61511290122308604</v>
      </c>
      <c r="D449" s="98">
        <v>-0.89552849026383052</v>
      </c>
    </row>
    <row r="450" spans="1:4">
      <c r="A450">
        <v>422</v>
      </c>
      <c r="B450" s="98">
        <v>0.77325618267059326</v>
      </c>
      <c r="C450" s="98">
        <f t="shared" si="6"/>
        <v>0.74961330590219977</v>
      </c>
      <c r="D450" s="98">
        <v>2.0634212916060828</v>
      </c>
    </row>
    <row r="451" spans="1:4">
      <c r="A451">
        <v>423</v>
      </c>
      <c r="B451" s="98">
        <v>0.18328839540481567</v>
      </c>
      <c r="C451" s="98">
        <f t="shared" si="6"/>
        <v>-0.90290410686369704</v>
      </c>
      <c r="D451" s="98">
        <v>0.75354770653211378</v>
      </c>
    </row>
    <row r="452" spans="1:4">
      <c r="A452">
        <v>424</v>
      </c>
      <c r="B452" s="98">
        <v>0.27324903011322021</v>
      </c>
      <c r="C452" s="98">
        <f t="shared" si="6"/>
        <v>-0.60301597756219549</v>
      </c>
      <c r="D452" s="98">
        <v>1.7502308030249971</v>
      </c>
    </row>
    <row r="453" spans="1:4">
      <c r="A453">
        <v>425</v>
      </c>
      <c r="B453" s="98">
        <v>0.24683874845504761</v>
      </c>
      <c r="C453" s="98">
        <f t="shared" si="6"/>
        <v>-0.6844714732541346</v>
      </c>
      <c r="D453" s="98">
        <v>0.10149268757937574</v>
      </c>
    </row>
    <row r="454" spans="1:4">
      <c r="A454">
        <v>426</v>
      </c>
      <c r="B454" s="98">
        <v>0.15419125556945801</v>
      </c>
      <c r="C454" s="98">
        <f t="shared" si="6"/>
        <v>-1.018621883280457</v>
      </c>
      <c r="D454" s="98">
        <v>-1.4812927752596017</v>
      </c>
    </row>
    <row r="455" spans="1:4">
      <c r="A455">
        <v>427</v>
      </c>
      <c r="B455" s="98">
        <v>0.7227512001991272</v>
      </c>
      <c r="C455" s="98">
        <f t="shared" si="6"/>
        <v>0.59103406050933471</v>
      </c>
      <c r="D455" s="98">
        <v>2.6395721489534103</v>
      </c>
    </row>
    <row r="456" spans="1:4">
      <c r="A456">
        <v>428</v>
      </c>
      <c r="B456" s="98">
        <v>0.12303650379180908</v>
      </c>
      <c r="C456" s="98">
        <f t="shared" si="6"/>
        <v>-1.1599405598036032</v>
      </c>
      <c r="D456" s="98">
        <v>-1.5978543761311605</v>
      </c>
    </row>
    <row r="457" spans="1:4">
      <c r="A457">
        <v>429</v>
      </c>
      <c r="B457" s="98">
        <v>0.83993047475814819</v>
      </c>
      <c r="C457" s="98">
        <f t="shared" si="6"/>
        <v>0.9941721782691213</v>
      </c>
      <c r="D457" s="98">
        <v>0.30140526217162411</v>
      </c>
    </row>
    <row r="458" spans="1:4">
      <c r="A458">
        <v>430</v>
      </c>
      <c r="B458" s="98">
        <v>0.38216972351074219</v>
      </c>
      <c r="C458" s="98">
        <f t="shared" si="6"/>
        <v>-0.29978724251957717</v>
      </c>
      <c r="D458" s="98">
        <v>1.0024532569676563</v>
      </c>
    </row>
    <row r="459" spans="1:4">
      <c r="A459">
        <v>431</v>
      </c>
      <c r="B459" s="98">
        <v>0.79804545640945435</v>
      </c>
      <c r="C459" s="98">
        <f t="shared" si="6"/>
        <v>0.83466014580641035</v>
      </c>
      <c r="D459" s="98">
        <v>1.0794598235620476</v>
      </c>
    </row>
    <row r="460" spans="1:4">
      <c r="A460">
        <v>432</v>
      </c>
      <c r="B460" s="98">
        <v>0.61084353923797607</v>
      </c>
      <c r="C460" s="98">
        <f t="shared" si="6"/>
        <v>0.28151826415978376</v>
      </c>
      <c r="D460" s="98">
        <v>0.9995730473823452</v>
      </c>
    </row>
    <row r="461" spans="1:4">
      <c r="A461">
        <v>433</v>
      </c>
      <c r="B461" s="98">
        <v>0.3588377833366394</v>
      </c>
      <c r="C461" s="98">
        <f t="shared" si="6"/>
        <v>-0.36156708295271828</v>
      </c>
      <c r="D461" s="98">
        <v>0.34230162301129585</v>
      </c>
    </row>
    <row r="462" spans="1:4">
      <c r="A462">
        <v>434</v>
      </c>
      <c r="B462" s="98">
        <v>0.49984622001647949</v>
      </c>
      <c r="C462" s="98">
        <f t="shared" si="6"/>
        <v>-3.8546926431071892E-4</v>
      </c>
      <c r="D462" s="98">
        <v>0.75814752310162825</v>
      </c>
    </row>
    <row r="463" spans="1:4">
      <c r="A463">
        <v>435</v>
      </c>
      <c r="B463" s="98">
        <v>0.91008669137954712</v>
      </c>
      <c r="C463" s="98">
        <f t="shared" si="6"/>
        <v>1.3412890695797277</v>
      </c>
      <c r="D463" s="98">
        <v>-5.018883334063173E-3</v>
      </c>
    </row>
    <row r="464" spans="1:4">
      <c r="A464">
        <v>436</v>
      </c>
      <c r="B464" s="98">
        <v>0.52445089817047119</v>
      </c>
      <c r="C464" s="98">
        <f t="shared" si="6"/>
        <v>6.1327734213713569E-2</v>
      </c>
      <c r="D464" s="98">
        <v>0.78737799373907702</v>
      </c>
    </row>
    <row r="465" spans="1:4">
      <c r="A465">
        <v>437</v>
      </c>
      <c r="B465" s="98">
        <v>9.598010778427124E-2</v>
      </c>
      <c r="C465" s="98">
        <f t="shared" si="6"/>
        <v>-1.304802183140354</v>
      </c>
      <c r="D465" s="98">
        <v>1.2274596224002456</v>
      </c>
    </row>
    <row r="466" spans="1:4">
      <c r="A466">
        <v>438</v>
      </c>
      <c r="B466" s="98">
        <v>0.42439603805541992</v>
      </c>
      <c r="C466" s="98">
        <f t="shared" si="6"/>
        <v>-0.1906598762002564</v>
      </c>
      <c r="D466" s="98">
        <v>1.0539900564873095</v>
      </c>
    </row>
    <row r="467" spans="1:4">
      <c r="A467">
        <v>439</v>
      </c>
      <c r="B467" s="98">
        <v>0.35764199495315552</v>
      </c>
      <c r="C467" s="98">
        <f t="shared" si="6"/>
        <v>-0.36476880910031684</v>
      </c>
      <c r="D467" s="98">
        <v>-0.74896244529304579</v>
      </c>
    </row>
    <row r="468" spans="1:4">
      <c r="A468">
        <v>440</v>
      </c>
      <c r="B468" s="98">
        <v>0.3403167724609375</v>
      </c>
      <c r="C468" s="98">
        <f t="shared" si="6"/>
        <v>-0.41159875415405733</v>
      </c>
      <c r="D468" s="98">
        <v>-0.25190887866708234</v>
      </c>
    </row>
    <row r="469" spans="1:4">
      <c r="A469">
        <v>441</v>
      </c>
      <c r="B469" s="98">
        <v>0.47170501947402954</v>
      </c>
      <c r="C469" s="98">
        <f t="shared" si="6"/>
        <v>-7.0984566127528931E-2</v>
      </c>
      <c r="D469" s="98">
        <v>1.2539595938255041</v>
      </c>
    </row>
    <row r="470" spans="1:4">
      <c r="A470">
        <v>442</v>
      </c>
      <c r="B470" s="98">
        <v>0.7421036958694458</v>
      </c>
      <c r="C470" s="98">
        <f t="shared" si="6"/>
        <v>0.64984459725925992</v>
      </c>
      <c r="D470" s="98">
        <v>8.2070203754307527E-2</v>
      </c>
    </row>
    <row r="471" spans="1:4">
      <c r="A471">
        <v>443</v>
      </c>
      <c r="B471" s="98">
        <v>0.42296785116195679</v>
      </c>
      <c r="C471" s="98">
        <f t="shared" si="6"/>
        <v>-0.19430674783114629</v>
      </c>
      <c r="D471" s="98">
        <v>0.37918870102061436</v>
      </c>
    </row>
    <row r="472" spans="1:4">
      <c r="A472">
        <v>444</v>
      </c>
      <c r="B472" s="98">
        <v>0.59816837310791016</v>
      </c>
      <c r="C472" s="98">
        <f t="shared" si="6"/>
        <v>0.24860899000110939</v>
      </c>
      <c r="D472" s="98">
        <v>-1.2048753129296872</v>
      </c>
    </row>
    <row r="473" spans="1:4">
      <c r="A473">
        <v>445</v>
      </c>
      <c r="B473" s="98">
        <v>9.9870979785919189E-2</v>
      </c>
      <c r="C473" s="98">
        <f t="shared" si="6"/>
        <v>-1.2822870770495327</v>
      </c>
      <c r="D473" s="98">
        <v>0.27678067600378259</v>
      </c>
    </row>
    <row r="474" spans="1:4">
      <c r="A474">
        <v>446</v>
      </c>
      <c r="B474" s="98">
        <v>0.84924972057342529</v>
      </c>
      <c r="C474" s="98">
        <f t="shared" si="6"/>
        <v>1.0332208475317033</v>
      </c>
      <c r="D474" s="98">
        <v>0.51260774183062574</v>
      </c>
    </row>
    <row r="475" spans="1:4">
      <c r="A475">
        <v>447</v>
      </c>
      <c r="B475" s="98">
        <v>0.4540974497795105</v>
      </c>
      <c r="C475" s="98">
        <f t="shared" si="6"/>
        <v>-0.115315693714336</v>
      </c>
      <c r="D475" s="98">
        <v>-0.73280728628371039</v>
      </c>
    </row>
    <row r="476" spans="1:4">
      <c r="A476">
        <v>448</v>
      </c>
      <c r="B476" s="98">
        <v>0.55771803855895996</v>
      </c>
      <c r="C476" s="98">
        <f t="shared" si="6"/>
        <v>0.14518612198916631</v>
      </c>
      <c r="D476" s="98">
        <v>-0.34005055595194966</v>
      </c>
    </row>
    <row r="477" spans="1:4">
      <c r="A477">
        <v>449</v>
      </c>
      <c r="B477" s="98">
        <v>0.34071165323257446</v>
      </c>
      <c r="C477" s="98">
        <f t="shared" si="6"/>
        <v>-0.41052167550680818</v>
      </c>
      <c r="D477" s="98">
        <v>-1.1481303158021181</v>
      </c>
    </row>
    <row r="478" spans="1:4">
      <c r="A478">
        <v>450</v>
      </c>
      <c r="B478" s="98">
        <v>8.214724063873291E-2</v>
      </c>
      <c r="C478" s="98">
        <f t="shared" ref="C478:C541" si="7">NORMINV(B478,0,1)</f>
        <v>-1.3907723134468013</v>
      </c>
      <c r="D478" s="98">
        <v>1.6451496446402336</v>
      </c>
    </row>
    <row r="479" spans="1:4">
      <c r="A479">
        <v>451</v>
      </c>
      <c r="B479" s="98">
        <v>5.4780423641204834E-2</v>
      </c>
      <c r="C479" s="98">
        <f t="shared" si="7"/>
        <v>-1.6001701269791901</v>
      </c>
      <c r="D479" s="98">
        <v>2.4888910874433439</v>
      </c>
    </row>
    <row r="480" spans="1:4">
      <c r="A480">
        <v>452</v>
      </c>
      <c r="B480" s="98">
        <v>0.63165545463562012</v>
      </c>
      <c r="C480" s="98">
        <f t="shared" si="7"/>
        <v>0.33624106186737657</v>
      </c>
      <c r="D480" s="98">
        <v>-0.83412124822834266</v>
      </c>
    </row>
    <row r="481" spans="1:4">
      <c r="A481">
        <v>453</v>
      </c>
      <c r="B481" s="98">
        <v>0.55045610666275024</v>
      </c>
      <c r="C481" s="98">
        <f t="shared" si="7"/>
        <v>0.12681378285378006</v>
      </c>
      <c r="D481" s="98">
        <v>-0.5589978714498115</v>
      </c>
    </row>
    <row r="482" spans="1:4">
      <c r="A482">
        <v>454</v>
      </c>
      <c r="B482" s="98">
        <v>0.85557043552398682</v>
      </c>
      <c r="C482" s="98">
        <f t="shared" si="7"/>
        <v>1.0606276999979265</v>
      </c>
      <c r="D482" s="98">
        <v>-0.68270256704053867</v>
      </c>
    </row>
    <row r="483" spans="1:4">
      <c r="A483">
        <v>455</v>
      </c>
      <c r="B483" s="98">
        <v>0.46583706140518188</v>
      </c>
      <c r="C483" s="98">
        <f t="shared" si="7"/>
        <v>-8.5738718142096285E-2</v>
      </c>
      <c r="D483" s="98">
        <v>-0.31277801528704052</v>
      </c>
    </row>
    <row r="484" spans="1:4">
      <c r="A484">
        <v>456</v>
      </c>
      <c r="B484" s="98">
        <v>0.42885887622833252</v>
      </c>
      <c r="C484" s="98">
        <f t="shared" si="7"/>
        <v>-0.17928012437885887</v>
      </c>
      <c r="D484" s="98">
        <v>0.43213586941296372</v>
      </c>
    </row>
    <row r="485" spans="1:4">
      <c r="A485">
        <v>457</v>
      </c>
      <c r="B485" s="98">
        <v>0.61592954397201538</v>
      </c>
      <c r="C485" s="98">
        <f t="shared" si="7"/>
        <v>0.29480753234900647</v>
      </c>
      <c r="D485" s="98">
        <v>-0.93431239859576354</v>
      </c>
    </row>
    <row r="486" spans="1:4">
      <c r="A486">
        <v>458</v>
      </c>
      <c r="B486" s="98">
        <v>0.53371047973632813</v>
      </c>
      <c r="C486" s="98">
        <f t="shared" si="7"/>
        <v>8.4600450976937094E-2</v>
      </c>
      <c r="D486" s="98">
        <v>-1.1692295916394488</v>
      </c>
    </row>
    <row r="487" spans="1:4">
      <c r="A487">
        <v>459</v>
      </c>
      <c r="B487" s="98">
        <v>0.91152316331863403</v>
      </c>
      <c r="C487" s="98">
        <f t="shared" si="7"/>
        <v>1.350194277313447</v>
      </c>
      <c r="D487" s="98">
        <v>-0.77132811962354419</v>
      </c>
    </row>
    <row r="488" spans="1:4">
      <c r="A488">
        <v>460</v>
      </c>
      <c r="B488" s="98">
        <v>9.8360776901245117E-3</v>
      </c>
      <c r="C488" s="98">
        <f t="shared" si="7"/>
        <v>-2.3325427750247578</v>
      </c>
      <c r="D488" s="98">
        <v>-0.4094787475087277</v>
      </c>
    </row>
    <row r="489" spans="1:4">
      <c r="A489">
        <v>461</v>
      </c>
      <c r="B489" s="98">
        <v>0.23343640565872192</v>
      </c>
      <c r="C489" s="98">
        <f t="shared" si="7"/>
        <v>-0.72757659644023898</v>
      </c>
      <c r="D489" s="98">
        <v>-0.24774068725896084</v>
      </c>
    </row>
    <row r="490" spans="1:4">
      <c r="A490">
        <v>462</v>
      </c>
      <c r="B490" s="98">
        <v>0.78644025325775146</v>
      </c>
      <c r="C490" s="98">
        <f t="shared" si="7"/>
        <v>0.79413044824700052</v>
      </c>
      <c r="D490" s="98">
        <v>-1.460302114799354</v>
      </c>
    </row>
    <row r="491" spans="1:4">
      <c r="A491">
        <v>463</v>
      </c>
      <c r="B491" s="98">
        <v>0.97661322355270386</v>
      </c>
      <c r="C491" s="98">
        <f t="shared" si="7"/>
        <v>1.9883449478421718</v>
      </c>
      <c r="D491" s="98">
        <v>0.37196138894288799</v>
      </c>
    </row>
    <row r="492" spans="1:4">
      <c r="A492">
        <v>464</v>
      </c>
      <c r="B492" s="98">
        <v>0.62996792793273926</v>
      </c>
      <c r="C492" s="98">
        <f t="shared" si="7"/>
        <v>0.3317684040491562</v>
      </c>
      <c r="D492" s="98">
        <v>0.51549356783178457</v>
      </c>
    </row>
    <row r="493" spans="1:4">
      <c r="A493">
        <v>465</v>
      </c>
      <c r="B493" s="98">
        <v>2.5218546390533447E-2</v>
      </c>
      <c r="C493" s="98">
        <f t="shared" si="7"/>
        <v>-1.9562382652606187</v>
      </c>
      <c r="D493" s="98">
        <v>7.2668077462787056E-2</v>
      </c>
    </row>
    <row r="494" spans="1:4">
      <c r="A494">
        <v>466</v>
      </c>
      <c r="B494" s="98">
        <v>0.94860565662384033</v>
      </c>
      <c r="C494" s="98">
        <f t="shared" si="7"/>
        <v>1.6314818489656031</v>
      </c>
      <c r="D494" s="98">
        <v>0.51493063689141916</v>
      </c>
    </row>
    <row r="495" spans="1:4">
      <c r="A495">
        <v>467</v>
      </c>
      <c r="B495" s="98">
        <v>0.76050084829330444</v>
      </c>
      <c r="C495" s="98">
        <f t="shared" si="7"/>
        <v>0.70791458247193451</v>
      </c>
      <c r="D495" s="98">
        <v>1.2876864294430339</v>
      </c>
    </row>
    <row r="496" spans="1:4">
      <c r="A496">
        <v>468</v>
      </c>
      <c r="B496" s="98">
        <v>0.83145713806152344</v>
      </c>
      <c r="C496" s="98">
        <f t="shared" si="7"/>
        <v>0.95993938259157208</v>
      </c>
      <c r="D496" s="98">
        <v>-1.1617614702193113</v>
      </c>
    </row>
    <row r="497" spans="1:4">
      <c r="A497">
        <v>469</v>
      </c>
      <c r="B497" s="98">
        <v>0.4407227635383606</v>
      </c>
      <c r="C497" s="98">
        <f t="shared" si="7"/>
        <v>-0.14913700442895755</v>
      </c>
      <c r="D497" s="98">
        <v>0.21597548934666283</v>
      </c>
    </row>
    <row r="498" spans="1:4">
      <c r="A498">
        <v>470</v>
      </c>
      <c r="B498" s="98">
        <v>0.37574374675750732</v>
      </c>
      <c r="C498" s="98">
        <f t="shared" si="7"/>
        <v>-0.31667859326720899</v>
      </c>
      <c r="D498" s="98">
        <v>-0.92926433090298233</v>
      </c>
    </row>
    <row r="499" spans="1:4">
      <c r="A499">
        <v>471</v>
      </c>
      <c r="B499" s="98">
        <v>0.54246968030929565</v>
      </c>
      <c r="C499" s="98">
        <f t="shared" si="7"/>
        <v>0.10665757677945681</v>
      </c>
      <c r="D499" s="98">
        <v>0.74845577015164033</v>
      </c>
    </row>
    <row r="500" spans="1:4">
      <c r="A500">
        <v>472</v>
      </c>
      <c r="B500" s="98">
        <v>0.97147250175476074</v>
      </c>
      <c r="C500" s="98">
        <f t="shared" si="7"/>
        <v>1.9028892614608619</v>
      </c>
      <c r="D500" s="98">
        <v>0.17587349511061365</v>
      </c>
    </row>
    <row r="501" spans="1:4">
      <c r="A501">
        <v>473</v>
      </c>
      <c r="B501" s="98">
        <v>0.19287031888961792</v>
      </c>
      <c r="C501" s="98">
        <f t="shared" si="7"/>
        <v>-0.86736758285316395</v>
      </c>
      <c r="D501" s="98">
        <v>1.2795847242109155</v>
      </c>
    </row>
    <row r="502" spans="1:4">
      <c r="A502">
        <v>474</v>
      </c>
      <c r="B502" s="98">
        <v>0.46094822883605957</v>
      </c>
      <c r="C502" s="98">
        <f t="shared" si="7"/>
        <v>-9.8045129677768447E-2</v>
      </c>
      <c r="D502" s="98">
        <v>-0.36035972953988876</v>
      </c>
    </row>
    <row r="503" spans="1:4">
      <c r="A503">
        <v>475</v>
      </c>
      <c r="B503" s="98">
        <v>0.50085979700088501</v>
      </c>
      <c r="C503" s="98">
        <f t="shared" si="7"/>
        <v>2.1551931412876345E-3</v>
      </c>
      <c r="D503" s="98">
        <v>-0.13690051873136763</v>
      </c>
    </row>
    <row r="504" spans="1:4">
      <c r="A504">
        <v>476</v>
      </c>
      <c r="B504" s="98">
        <v>0.47933876514434814</v>
      </c>
      <c r="C504" s="98">
        <f t="shared" si="7"/>
        <v>-5.1813209176895032E-2</v>
      </c>
      <c r="D504" s="98">
        <v>0.37446882994166097</v>
      </c>
    </row>
    <row r="505" spans="1:4">
      <c r="A505">
        <v>477</v>
      </c>
      <c r="B505" s="98">
        <v>0.35844129323959351</v>
      </c>
      <c r="C505" s="98">
        <f t="shared" si="7"/>
        <v>-0.36262827380616142</v>
      </c>
      <c r="D505" s="98">
        <v>0.61065586541318007</v>
      </c>
    </row>
    <row r="506" spans="1:4">
      <c r="A506">
        <v>478</v>
      </c>
      <c r="B506" s="98">
        <v>0.52365076541900635</v>
      </c>
      <c r="C506" s="98">
        <f t="shared" si="7"/>
        <v>5.9318446048547385E-2</v>
      </c>
      <c r="D506" s="98">
        <v>-0.23688466053687798</v>
      </c>
    </row>
    <row r="507" spans="1:4">
      <c r="A507">
        <v>479</v>
      </c>
      <c r="B507" s="98">
        <v>9.9855959415435791E-2</v>
      </c>
      <c r="C507" s="98">
        <f t="shared" si="7"/>
        <v>-1.2823727494605168</v>
      </c>
      <c r="D507" s="98">
        <v>-3.6519453607887178E-2</v>
      </c>
    </row>
    <row r="508" spans="1:4">
      <c r="A508">
        <v>480</v>
      </c>
      <c r="B508" s="98">
        <v>0.27421581745147705</v>
      </c>
      <c r="C508" s="98">
        <f t="shared" si="7"/>
        <v>-0.60011194116819844</v>
      </c>
      <c r="D508" s="98">
        <v>-0.15790091152196423</v>
      </c>
    </row>
    <row r="509" spans="1:4">
      <c r="A509">
        <v>481</v>
      </c>
      <c r="B509" s="98">
        <v>0.76687806844711304</v>
      </c>
      <c r="C509" s="98">
        <f t="shared" si="7"/>
        <v>0.7286041109562883</v>
      </c>
      <c r="D509" s="98">
        <v>0.87075108040292593</v>
      </c>
    </row>
    <row r="510" spans="1:4">
      <c r="A510">
        <v>482</v>
      </c>
      <c r="B510" s="98">
        <v>0.11728000640869141</v>
      </c>
      <c r="C510" s="98">
        <f t="shared" si="7"/>
        <v>-1.1886942278954717</v>
      </c>
      <c r="D510" s="98">
        <v>-2.1277107883243285</v>
      </c>
    </row>
    <row r="511" spans="1:4">
      <c r="A511">
        <v>483</v>
      </c>
      <c r="B511" s="98">
        <v>0.80388301610946655</v>
      </c>
      <c r="C511" s="98">
        <f t="shared" si="7"/>
        <v>0.85557307593089227</v>
      </c>
      <c r="D511" s="98">
        <v>2.2714012231098812E-2</v>
      </c>
    </row>
    <row r="512" spans="1:4">
      <c r="A512">
        <v>484</v>
      </c>
      <c r="B512" s="98">
        <v>0.87937688827514648</v>
      </c>
      <c r="C512" s="98">
        <f t="shared" si="7"/>
        <v>1.1718775454039039</v>
      </c>
      <c r="D512" s="98">
        <v>0.58627432394153245</v>
      </c>
    </row>
    <row r="513" spans="1:4">
      <c r="A513">
        <v>485</v>
      </c>
      <c r="B513" s="98">
        <v>0.72745591402053833</v>
      </c>
      <c r="C513" s="98">
        <f t="shared" si="7"/>
        <v>0.6051366983837505</v>
      </c>
      <c r="D513" s="98">
        <v>-0.19442951939908173</v>
      </c>
    </row>
    <row r="514" spans="1:4">
      <c r="A514">
        <v>486</v>
      </c>
      <c r="B514" s="98">
        <v>0.4586557149887085</v>
      </c>
      <c r="C514" s="98">
        <f t="shared" si="7"/>
        <v>-0.10382096340540799</v>
      </c>
      <c r="D514" s="98">
        <v>-1.8257925528734138</v>
      </c>
    </row>
    <row r="515" spans="1:4">
      <c r="A515">
        <v>487</v>
      </c>
      <c r="B515" s="98">
        <v>0.53675669431686401</v>
      </c>
      <c r="C515" s="98">
        <f t="shared" si="7"/>
        <v>9.2266113043086531E-2</v>
      </c>
      <c r="D515" s="98">
        <v>-0.47264025244006358</v>
      </c>
    </row>
    <row r="516" spans="1:4">
      <c r="A516">
        <v>488</v>
      </c>
      <c r="B516" s="98">
        <v>0.33714890480041504</v>
      </c>
      <c r="C516" s="98">
        <f t="shared" si="7"/>
        <v>-0.42025687571470394</v>
      </c>
      <c r="D516" s="98">
        <v>0.41969799851515538</v>
      </c>
    </row>
    <row r="517" spans="1:4">
      <c r="A517">
        <v>489</v>
      </c>
      <c r="B517" s="98">
        <v>0.49285560846328735</v>
      </c>
      <c r="C517" s="98">
        <f t="shared" si="7"/>
        <v>-1.7909291163996258E-2</v>
      </c>
      <c r="D517" s="98">
        <v>0.51822360732709682</v>
      </c>
    </row>
    <row r="518" spans="1:4">
      <c r="A518">
        <v>490</v>
      </c>
      <c r="B518" s="98">
        <v>0.16127216815948486</v>
      </c>
      <c r="C518" s="98">
        <f t="shared" si="7"/>
        <v>-0.98924285350093932</v>
      </c>
      <c r="D518" s="98">
        <v>-0.74662388807489855</v>
      </c>
    </row>
    <row r="519" spans="1:4">
      <c r="A519">
        <v>491</v>
      </c>
      <c r="B519" s="98">
        <v>0.3690909743309021</v>
      </c>
      <c r="C519" s="98">
        <f t="shared" si="7"/>
        <v>-0.33426188579797766</v>
      </c>
      <c r="D519" s="98">
        <v>0.3095024173140804</v>
      </c>
    </row>
    <row r="520" spans="1:4">
      <c r="A520">
        <v>492</v>
      </c>
      <c r="B520" s="98">
        <v>0.93370342254638672</v>
      </c>
      <c r="C520" s="98">
        <f t="shared" si="7"/>
        <v>1.5039542193567876</v>
      </c>
      <c r="D520" s="98">
        <v>-1.1633961897165492</v>
      </c>
    </row>
    <row r="521" spans="1:4">
      <c r="A521">
        <v>493</v>
      </c>
      <c r="B521" s="98">
        <v>0.257221519947052</v>
      </c>
      <c r="C521" s="98">
        <f t="shared" si="7"/>
        <v>-0.65193510101550356</v>
      </c>
      <c r="D521" s="98">
        <v>0.92691782330650929</v>
      </c>
    </row>
    <row r="522" spans="1:4">
      <c r="A522">
        <v>494</v>
      </c>
      <c r="B522" s="98">
        <v>0.74726951122283936</v>
      </c>
      <c r="C522" s="98">
        <f t="shared" si="7"/>
        <v>0.66592196898266098</v>
      </c>
      <c r="D522" s="98">
        <v>0.20641558503465368</v>
      </c>
    </row>
    <row r="523" spans="1:4">
      <c r="A523">
        <v>495</v>
      </c>
      <c r="B523" s="98">
        <v>0.25248497724533081</v>
      </c>
      <c r="C523" s="98">
        <f t="shared" si="7"/>
        <v>-0.66669033362061658</v>
      </c>
      <c r="D523" s="98">
        <v>0.51007512664869381</v>
      </c>
    </row>
    <row r="524" spans="1:4">
      <c r="A524">
        <v>496</v>
      </c>
      <c r="B524" s="98">
        <v>0.78836417198181152</v>
      </c>
      <c r="C524" s="98">
        <f t="shared" si="7"/>
        <v>0.80075817599836119</v>
      </c>
      <c r="D524" s="98">
        <v>0.60606015475514674</v>
      </c>
    </row>
    <row r="525" spans="1:4">
      <c r="A525">
        <v>497</v>
      </c>
      <c r="B525" s="98">
        <v>0.86131292581558228</v>
      </c>
      <c r="C525" s="98">
        <f t="shared" si="7"/>
        <v>1.0862370071734238</v>
      </c>
      <c r="D525" s="98">
        <v>0.90891782137952837</v>
      </c>
    </row>
    <row r="526" spans="1:4">
      <c r="A526">
        <v>498</v>
      </c>
      <c r="B526" s="98">
        <v>0.97000908851623535</v>
      </c>
      <c r="C526" s="98">
        <f t="shared" si="7"/>
        <v>1.8809271971780386</v>
      </c>
      <c r="D526" s="98">
        <v>-0.24863104730555111</v>
      </c>
    </row>
    <row r="527" spans="1:4">
      <c r="A527">
        <v>499</v>
      </c>
      <c r="B527" s="98">
        <v>0.69274002313613892</v>
      </c>
      <c r="C527" s="98">
        <f t="shared" si="7"/>
        <v>0.50363206761355483</v>
      </c>
      <c r="D527" s="98">
        <v>0.71106771454901163</v>
      </c>
    </row>
    <row r="528" spans="1:4">
      <c r="A528">
        <v>500</v>
      </c>
      <c r="B528" s="98">
        <v>1.2439846992492676E-2</v>
      </c>
      <c r="C528" s="98">
        <f t="shared" si="7"/>
        <v>-2.2432655734345976</v>
      </c>
      <c r="D528" s="98">
        <v>1.2622212945058921E-2</v>
      </c>
    </row>
    <row r="529" spans="1:4">
      <c r="A529">
        <v>501</v>
      </c>
      <c r="B529" s="98">
        <v>0.69029802083969116</v>
      </c>
      <c r="C529" s="98">
        <f t="shared" si="7"/>
        <v>0.49669527019786236</v>
      </c>
      <c r="D529" s="98">
        <v>-0.13369326605442458</v>
      </c>
    </row>
    <row r="530" spans="1:4">
      <c r="A530">
        <v>502</v>
      </c>
      <c r="B530" s="98">
        <v>8.7285041809082031E-2</v>
      </c>
      <c r="C530" s="98">
        <f t="shared" si="7"/>
        <v>-1.3576647601483289</v>
      </c>
      <c r="D530" s="98">
        <v>1.3528663852745557</v>
      </c>
    </row>
    <row r="531" spans="1:4">
      <c r="A531">
        <v>503</v>
      </c>
      <c r="B531" s="98">
        <v>0.64344066381454468</v>
      </c>
      <c r="C531" s="98">
        <f t="shared" si="7"/>
        <v>0.3676708584454072</v>
      </c>
      <c r="D531" s="98">
        <v>-0.12443184987675479</v>
      </c>
    </row>
    <row r="532" spans="1:4">
      <c r="A532">
        <v>504</v>
      </c>
      <c r="B532" s="98">
        <v>0.94995605945587158</v>
      </c>
      <c r="C532" s="98">
        <f t="shared" si="7"/>
        <v>1.6444277299862766</v>
      </c>
      <c r="D532" s="98">
        <v>0.64214839297633697</v>
      </c>
    </row>
    <row r="533" spans="1:4">
      <c r="A533">
        <v>505</v>
      </c>
      <c r="B533" s="98">
        <v>0.93497747182846069</v>
      </c>
      <c r="C533" s="98">
        <f t="shared" si="7"/>
        <v>1.5139242362728074</v>
      </c>
      <c r="D533" s="98">
        <v>0.16970277585434498</v>
      </c>
    </row>
    <row r="534" spans="1:4">
      <c r="A534">
        <v>506</v>
      </c>
      <c r="B534" s="98">
        <v>0.42527580261230469</v>
      </c>
      <c r="C534" s="98">
        <f t="shared" si="7"/>
        <v>-0.18841466415763314</v>
      </c>
      <c r="D534" s="98">
        <v>-0.23020732503670621</v>
      </c>
    </row>
    <row r="535" spans="1:4">
      <c r="A535">
        <v>507</v>
      </c>
      <c r="B535" s="98">
        <v>0.18105632066726685</v>
      </c>
      <c r="C535" s="98">
        <f t="shared" si="7"/>
        <v>-0.91134686383702479</v>
      </c>
      <c r="D535" s="98">
        <v>1.2871710749280301E-2</v>
      </c>
    </row>
    <row r="536" spans="1:4">
      <c r="A536">
        <v>508</v>
      </c>
      <c r="B536" s="98">
        <v>0.14760828018188477</v>
      </c>
      <c r="C536" s="98">
        <f t="shared" si="7"/>
        <v>-1.0467463932978687</v>
      </c>
      <c r="D536" s="98">
        <v>0.74285137612467322</v>
      </c>
    </row>
    <row r="537" spans="1:4">
      <c r="A537">
        <v>509</v>
      </c>
      <c r="B537" s="98">
        <v>0.71860677003860474</v>
      </c>
      <c r="C537" s="98">
        <f t="shared" si="7"/>
        <v>0.57870764013058851</v>
      </c>
      <c r="D537" s="98">
        <v>-1.3689284505675514</v>
      </c>
    </row>
    <row r="538" spans="1:4">
      <c r="A538">
        <v>510</v>
      </c>
      <c r="B538" s="98">
        <v>0.39582479000091553</v>
      </c>
      <c r="C538" s="98">
        <f t="shared" si="7"/>
        <v>-0.26416915213396058</v>
      </c>
      <c r="D538" s="98">
        <v>0.24717101843479747</v>
      </c>
    </row>
    <row r="539" spans="1:4">
      <c r="A539">
        <v>511</v>
      </c>
      <c r="B539" s="98">
        <v>0.38065260648727417</v>
      </c>
      <c r="C539" s="98">
        <f t="shared" si="7"/>
        <v>-0.30376725806941729</v>
      </c>
      <c r="D539" s="98">
        <v>1.3146301085843473</v>
      </c>
    </row>
    <row r="540" spans="1:4">
      <c r="A540">
        <v>512</v>
      </c>
      <c r="B540" s="98">
        <v>0.57051396369934082</v>
      </c>
      <c r="C540" s="98">
        <f t="shared" si="7"/>
        <v>0.17768282712822703</v>
      </c>
      <c r="D540" s="98">
        <v>0.45091587752134976</v>
      </c>
    </row>
    <row r="541" spans="1:4">
      <c r="A541">
        <v>513</v>
      </c>
      <c r="B541" s="98">
        <v>0.69102245569229126</v>
      </c>
      <c r="C541" s="98">
        <f t="shared" si="7"/>
        <v>0.49875060608934174</v>
      </c>
      <c r="D541" s="98">
        <v>-2.896551303323188</v>
      </c>
    </row>
    <row r="542" spans="1:4">
      <c r="A542">
        <v>514</v>
      </c>
      <c r="B542" s="98">
        <v>0.33713448047637939</v>
      </c>
      <c r="C542" s="98">
        <f t="shared" ref="C542:C605" si="8">NORMINV(B542,0,1)</f>
        <v>-0.42029637058130215</v>
      </c>
      <c r="D542" s="98">
        <v>-1.6810904013892205</v>
      </c>
    </row>
    <row r="543" spans="1:4">
      <c r="A543">
        <v>515</v>
      </c>
      <c r="B543" s="98">
        <v>0.40889447927474976</v>
      </c>
      <c r="C543" s="98">
        <f t="shared" si="8"/>
        <v>-0.230389707162722</v>
      </c>
      <c r="D543" s="98">
        <v>1.1025276647599203</v>
      </c>
    </row>
    <row r="544" spans="1:4">
      <c r="A544">
        <v>516</v>
      </c>
      <c r="B544" s="98">
        <v>0.5806884765625</v>
      </c>
      <c r="C544" s="98">
        <f t="shared" si="8"/>
        <v>0.20365508067746077</v>
      </c>
      <c r="D544" s="98">
        <v>0.45273788252709585</v>
      </c>
    </row>
    <row r="545" spans="1:4">
      <c r="A545">
        <v>517</v>
      </c>
      <c r="B545" s="98">
        <v>0.30327349901199341</v>
      </c>
      <c r="C545" s="98">
        <f t="shared" si="8"/>
        <v>-0.51500861773448336</v>
      </c>
      <c r="D545" s="98">
        <v>0.30386079483724321</v>
      </c>
    </row>
    <row r="546" spans="1:4">
      <c r="A546">
        <v>518</v>
      </c>
      <c r="B546" s="98">
        <v>0.51328706741333008</v>
      </c>
      <c r="C546" s="98">
        <f t="shared" si="8"/>
        <v>3.3311898778889862E-2</v>
      </c>
      <c r="D546" s="98">
        <v>-0.78928428961081543</v>
      </c>
    </row>
    <row r="547" spans="1:4">
      <c r="A547">
        <v>519</v>
      </c>
      <c r="B547" s="98">
        <v>0.6011388897895813</v>
      </c>
      <c r="C547" s="98">
        <f t="shared" si="8"/>
        <v>0.25629608450889835</v>
      </c>
      <c r="D547" s="98">
        <v>0.15617224028985235</v>
      </c>
    </row>
    <row r="548" spans="1:4">
      <c r="A548">
        <v>520</v>
      </c>
      <c r="B548" s="98">
        <v>0.4269644021987915</v>
      </c>
      <c r="C548" s="98">
        <f t="shared" si="8"/>
        <v>-0.18410790601176652</v>
      </c>
      <c r="D548" s="98">
        <v>-5.2796894042061927E-2</v>
      </c>
    </row>
    <row r="549" spans="1:4">
      <c r="A549">
        <v>521</v>
      </c>
      <c r="B549" s="98">
        <v>0.3902248740196228</v>
      </c>
      <c r="C549" s="98">
        <f t="shared" si="8"/>
        <v>-0.27873298355332382</v>
      </c>
      <c r="D549" s="98">
        <v>-0.26998371206992333</v>
      </c>
    </row>
    <row r="550" spans="1:4">
      <c r="A550">
        <v>522</v>
      </c>
      <c r="B550" s="98">
        <v>0.60283422470092773</v>
      </c>
      <c r="C550" s="98">
        <f t="shared" si="8"/>
        <v>0.26069003595618645</v>
      </c>
      <c r="D550" s="98">
        <v>-0.55118201859946525</v>
      </c>
    </row>
    <row r="551" spans="1:4">
      <c r="A551">
        <v>523</v>
      </c>
      <c r="B551" s="98">
        <v>0.21754533052444458</v>
      </c>
      <c r="C551" s="98">
        <f t="shared" si="8"/>
        <v>-0.78051014056542567</v>
      </c>
      <c r="D551" s="98">
        <v>2.5604284723068353</v>
      </c>
    </row>
    <row r="552" spans="1:4">
      <c r="A552">
        <v>524</v>
      </c>
      <c r="B552" s="98">
        <v>0.90138435363769531</v>
      </c>
      <c r="C552" s="98">
        <f t="shared" si="8"/>
        <v>1.2894799201940523</v>
      </c>
      <c r="D552" s="98">
        <v>9.1469656145606149E-2</v>
      </c>
    </row>
    <row r="553" spans="1:4">
      <c r="A553">
        <v>525</v>
      </c>
      <c r="B553" s="98">
        <v>0.16203445196151733</v>
      </c>
      <c r="C553" s="98">
        <f t="shared" si="8"/>
        <v>-0.98613085583747762</v>
      </c>
      <c r="D553" s="98">
        <v>1.0874032984959834</v>
      </c>
    </row>
    <row r="554" spans="1:4">
      <c r="A554">
        <v>526</v>
      </c>
      <c r="B554" s="98">
        <v>0.30206155776977539</v>
      </c>
      <c r="C554" s="98">
        <f t="shared" si="8"/>
        <v>-0.5184804231714466</v>
      </c>
      <c r="D554" s="98">
        <v>-0.25891809909852265</v>
      </c>
    </row>
    <row r="555" spans="1:4">
      <c r="A555">
        <v>527</v>
      </c>
      <c r="B555" s="98">
        <v>0.81008702516555786</v>
      </c>
      <c r="C555" s="98">
        <f t="shared" si="8"/>
        <v>0.87821703402399354</v>
      </c>
      <c r="D555" s="98">
        <v>1.1211711674595581</v>
      </c>
    </row>
    <row r="556" spans="1:4">
      <c r="A556">
        <v>528</v>
      </c>
      <c r="B556" s="98">
        <v>0.88347911834716797</v>
      </c>
      <c r="C556" s="98">
        <f t="shared" si="8"/>
        <v>1.1925599386201795</v>
      </c>
      <c r="D556" s="98">
        <v>0.16619534928504839</v>
      </c>
    </row>
    <row r="557" spans="1:4">
      <c r="A557">
        <v>529</v>
      </c>
      <c r="B557" s="98">
        <v>0.88671523332595825</v>
      </c>
      <c r="C557" s="98">
        <f t="shared" si="8"/>
        <v>1.209242918923374</v>
      </c>
      <c r="D557" s="98">
        <v>0.39153842300382569</v>
      </c>
    </row>
    <row r="558" spans="1:4">
      <c r="A558">
        <v>530</v>
      </c>
      <c r="B558" s="98">
        <v>0.36812674999237061</v>
      </c>
      <c r="C558" s="98">
        <f t="shared" si="8"/>
        <v>-0.33681879999765524</v>
      </c>
      <c r="D558" s="98">
        <v>-1.8779002540825618</v>
      </c>
    </row>
    <row r="559" spans="1:4">
      <c r="A559">
        <v>531</v>
      </c>
      <c r="B559" s="98">
        <v>0.82527703046798706</v>
      </c>
      <c r="C559" s="98">
        <f t="shared" si="8"/>
        <v>0.93566452895480978</v>
      </c>
      <c r="D559" s="98">
        <v>1.201247123872244</v>
      </c>
    </row>
    <row r="560" spans="1:4">
      <c r="A560">
        <v>532</v>
      </c>
      <c r="B560" s="98">
        <v>0.25266623497009277</v>
      </c>
      <c r="C560" s="98">
        <f t="shared" si="8"/>
        <v>-0.66612302277435931</v>
      </c>
      <c r="D560" s="98">
        <v>-0.26434164672926386</v>
      </c>
    </row>
    <row r="561" spans="1:4">
      <c r="A561">
        <v>533</v>
      </c>
      <c r="B561" s="98">
        <v>0.22359472513198853</v>
      </c>
      <c r="C561" s="98">
        <f t="shared" si="8"/>
        <v>-0.760108971767393</v>
      </c>
      <c r="D561" s="98">
        <v>0.8396709842111767</v>
      </c>
    </row>
    <row r="562" spans="1:4">
      <c r="A562">
        <v>534</v>
      </c>
      <c r="B562" s="98">
        <v>0.78922617435455322</v>
      </c>
      <c r="C562" s="98">
        <f t="shared" si="8"/>
        <v>0.80373912843610096</v>
      </c>
      <c r="D562" s="98">
        <v>-0.10544561244794927</v>
      </c>
    </row>
    <row r="563" spans="1:4">
      <c r="A563">
        <v>535</v>
      </c>
      <c r="B563" s="98">
        <v>0.68612533807754517</v>
      </c>
      <c r="C563" s="98">
        <f t="shared" si="8"/>
        <v>0.48489712224187259</v>
      </c>
      <c r="D563" s="98">
        <v>0.51972252500563132</v>
      </c>
    </row>
    <row r="564" spans="1:4">
      <c r="A564">
        <v>536</v>
      </c>
      <c r="B564" s="98">
        <v>0.77766644954681396</v>
      </c>
      <c r="C564" s="98">
        <f t="shared" si="8"/>
        <v>0.76433589320201378</v>
      </c>
      <c r="D564" s="98">
        <v>0.82992114542813833</v>
      </c>
    </row>
    <row r="565" spans="1:4">
      <c r="A565">
        <v>537</v>
      </c>
      <c r="B565" s="98">
        <v>0.38538092374801636</v>
      </c>
      <c r="C565" s="98">
        <f t="shared" si="8"/>
        <v>-0.29137851116133834</v>
      </c>
      <c r="D565" s="98">
        <v>-1.8065146998368551</v>
      </c>
    </row>
    <row r="566" spans="1:4">
      <c r="A566">
        <v>538</v>
      </c>
      <c r="B566" s="98">
        <v>0.95261502265930176</v>
      </c>
      <c r="C566" s="98">
        <f t="shared" si="8"/>
        <v>1.6707556356712805</v>
      </c>
      <c r="D566" s="98">
        <v>-0.45074972123332041</v>
      </c>
    </row>
    <row r="567" spans="1:4">
      <c r="A567">
        <v>539</v>
      </c>
      <c r="B567" s="98">
        <v>0.61062198877334595</v>
      </c>
      <c r="C567" s="98">
        <f t="shared" si="8"/>
        <v>0.28094051839066653</v>
      </c>
      <c r="D567" s="98">
        <v>-0.11494858907206162</v>
      </c>
    </row>
    <row r="568" spans="1:4">
      <c r="A568">
        <v>540</v>
      </c>
      <c r="B568" s="98">
        <v>0.12708771228790283</v>
      </c>
      <c r="C568" s="98">
        <f t="shared" si="8"/>
        <v>-1.1402661767334723</v>
      </c>
      <c r="D568" s="98">
        <v>-1.2173092003882389</v>
      </c>
    </row>
    <row r="569" spans="1:4">
      <c r="A569">
        <v>541</v>
      </c>
      <c r="B569" s="98">
        <v>0.36336034536361694</v>
      </c>
      <c r="C569" s="98">
        <f t="shared" si="8"/>
        <v>-0.34949104743633164</v>
      </c>
      <c r="D569" s="98">
        <v>3.8871454842371125E-3</v>
      </c>
    </row>
    <row r="570" spans="1:4">
      <c r="A570">
        <v>542</v>
      </c>
      <c r="B570" s="98">
        <v>0.16362571716308594</v>
      </c>
      <c r="C570" s="98">
        <f t="shared" si="8"/>
        <v>-0.97966514952377848</v>
      </c>
      <c r="D570" s="98">
        <v>0.21047078221750054</v>
      </c>
    </row>
    <row r="571" spans="1:4">
      <c r="A571">
        <v>543</v>
      </c>
      <c r="B571" s="98">
        <v>1.9046127796173096E-2</v>
      </c>
      <c r="C571" s="98">
        <f t="shared" si="8"/>
        <v>-2.0738606381515527</v>
      </c>
      <c r="D571" s="98">
        <v>0.68325400317319063</v>
      </c>
    </row>
    <row r="572" spans="1:4">
      <c r="A572">
        <v>544</v>
      </c>
      <c r="B572" s="98">
        <v>0.99538791179656982</v>
      </c>
      <c r="C572" s="98">
        <f t="shared" si="8"/>
        <v>2.6036319096682332</v>
      </c>
      <c r="D572" s="98">
        <v>-0.94176751480977361</v>
      </c>
    </row>
    <row r="573" spans="1:4">
      <c r="A573">
        <v>545</v>
      </c>
      <c r="B573" s="98">
        <v>0.48395222425460815</v>
      </c>
      <c r="C573" s="98">
        <f t="shared" si="8"/>
        <v>-4.0236662911603133E-2</v>
      </c>
      <c r="D573" s="98">
        <v>-0.39008063185561964</v>
      </c>
    </row>
    <row r="574" spans="1:4">
      <c r="A574">
        <v>546</v>
      </c>
      <c r="B574" s="98">
        <v>0.19514882564544678</v>
      </c>
      <c r="C574" s="98">
        <f t="shared" si="8"/>
        <v>-0.85907769681082702</v>
      </c>
      <c r="D574" s="98">
        <v>3.2101613497115036</v>
      </c>
    </row>
    <row r="575" spans="1:4">
      <c r="A575">
        <v>547</v>
      </c>
      <c r="B575" s="98">
        <v>0.38484114408493042</v>
      </c>
      <c r="C575" s="98">
        <f t="shared" si="8"/>
        <v>-0.29279050254205918</v>
      </c>
      <c r="D575" s="98">
        <v>1.9266021424903863</v>
      </c>
    </row>
    <row r="576" spans="1:4">
      <c r="A576">
        <v>548</v>
      </c>
      <c r="B576" s="98">
        <v>3.353583812713623E-2</v>
      </c>
      <c r="C576" s="98">
        <f t="shared" si="8"/>
        <v>-1.8311934350732981</v>
      </c>
      <c r="D576" s="98">
        <v>7.9692118215201335E-2</v>
      </c>
    </row>
    <row r="577" spans="1:4">
      <c r="A577">
        <v>549</v>
      </c>
      <c r="B577" s="98">
        <v>0.66091805696487427</v>
      </c>
      <c r="C577" s="98">
        <f t="shared" si="8"/>
        <v>0.41496997096882743</v>
      </c>
      <c r="D577" s="98">
        <v>-0.69345269317412617</v>
      </c>
    </row>
    <row r="578" spans="1:4">
      <c r="A578">
        <v>550</v>
      </c>
      <c r="B578" s="98">
        <v>2.2755980491638184E-2</v>
      </c>
      <c r="C578" s="98">
        <f t="shared" si="8"/>
        <v>-1.9998916872506802</v>
      </c>
      <c r="D578" s="98">
        <v>0.38037085292221173</v>
      </c>
    </row>
    <row r="579" spans="1:4">
      <c r="A579">
        <v>551</v>
      </c>
      <c r="B579" s="98">
        <v>0.58144015073776245</v>
      </c>
      <c r="C579" s="98">
        <f t="shared" si="8"/>
        <v>0.2055791077673243</v>
      </c>
      <c r="D579" s="98">
        <v>1.4963171955287293</v>
      </c>
    </row>
    <row r="580" spans="1:4">
      <c r="A580">
        <v>552</v>
      </c>
      <c r="B580" s="98">
        <v>0.51945924758911133</v>
      </c>
      <c r="C580" s="98">
        <f t="shared" si="8"/>
        <v>4.8796458123705776E-2</v>
      </c>
      <c r="D580" s="98">
        <v>-0.73347803386327437</v>
      </c>
    </row>
    <row r="581" spans="1:4">
      <c r="A581">
        <v>553</v>
      </c>
      <c r="B581" s="98">
        <v>0.32334238290786743</v>
      </c>
      <c r="C581" s="98">
        <f t="shared" si="8"/>
        <v>-0.45837261061597701</v>
      </c>
      <c r="D581" s="98">
        <v>-0.40844770098369154</v>
      </c>
    </row>
    <row r="582" spans="1:4">
      <c r="A582">
        <v>554</v>
      </c>
      <c r="B582" s="98">
        <v>0.81892132759094238</v>
      </c>
      <c r="C582" s="98">
        <f t="shared" si="8"/>
        <v>0.91126199723240808</v>
      </c>
      <c r="D582" s="98">
        <v>0.41742611667897389</v>
      </c>
    </row>
    <row r="583" spans="1:4">
      <c r="A583">
        <v>555</v>
      </c>
      <c r="B583" s="98">
        <v>0.79457050561904907</v>
      </c>
      <c r="C583" s="98">
        <f t="shared" si="8"/>
        <v>0.82238293465923717</v>
      </c>
      <c r="D583" s="98">
        <v>-0.89930400263303423</v>
      </c>
    </row>
    <row r="584" spans="1:4">
      <c r="A584">
        <v>556</v>
      </c>
      <c r="B584" s="98">
        <v>0.65657150745391846</v>
      </c>
      <c r="C584" s="98">
        <f t="shared" si="8"/>
        <v>0.40312402803874786</v>
      </c>
      <c r="D584" s="98">
        <v>4.9681950011309102E-2</v>
      </c>
    </row>
    <row r="585" spans="1:4">
      <c r="A585">
        <v>557</v>
      </c>
      <c r="B585" s="98">
        <v>2.6189863681793213E-2</v>
      </c>
      <c r="C585" s="98">
        <f t="shared" si="8"/>
        <v>-1.9399996915776709</v>
      </c>
      <c r="D585" s="98">
        <v>-7.6788984589743446E-3</v>
      </c>
    </row>
    <row r="586" spans="1:4">
      <c r="A586">
        <v>558</v>
      </c>
      <c r="B586" s="98">
        <v>0.80079805850982666</v>
      </c>
      <c r="C586" s="98">
        <f t="shared" si="8"/>
        <v>0.8444752590349579</v>
      </c>
      <c r="D586" s="98">
        <v>-0.81106677482216505</v>
      </c>
    </row>
    <row r="587" spans="1:4">
      <c r="A587">
        <v>559</v>
      </c>
      <c r="B587" s="98">
        <v>0.53402084112167358</v>
      </c>
      <c r="C587" s="98">
        <f t="shared" si="8"/>
        <v>8.5381226477648453E-2</v>
      </c>
      <c r="D587" s="98">
        <v>0.48157622587052029</v>
      </c>
    </row>
    <row r="588" spans="1:4">
      <c r="A588">
        <v>560</v>
      </c>
      <c r="B588" s="98">
        <v>0.31311655044555664</v>
      </c>
      <c r="C588" s="98">
        <f t="shared" si="8"/>
        <v>-0.48703560266566037</v>
      </c>
      <c r="D588" s="98">
        <v>-1.7382034469956953</v>
      </c>
    </row>
    <row r="589" spans="1:4">
      <c r="A589">
        <v>561</v>
      </c>
      <c r="B589" s="98">
        <v>3.5039722919464111E-2</v>
      </c>
      <c r="C589" s="98">
        <f t="shared" si="8"/>
        <v>-1.8113968331718902</v>
      </c>
      <c r="D589" s="98">
        <v>0.18491486468745644</v>
      </c>
    </row>
    <row r="590" spans="1:4">
      <c r="A590">
        <v>562</v>
      </c>
      <c r="B590" s="98">
        <v>0.6529163122177124</v>
      </c>
      <c r="C590" s="98">
        <f t="shared" si="8"/>
        <v>0.39320594987255186</v>
      </c>
      <c r="D590" s="98">
        <v>-0.6837957723621817</v>
      </c>
    </row>
    <row r="591" spans="1:4">
      <c r="A591">
        <v>563</v>
      </c>
      <c r="B591" s="98">
        <v>0.81808775663375854</v>
      </c>
      <c r="C591" s="98">
        <f t="shared" si="8"/>
        <v>0.9081017107139594</v>
      </c>
      <c r="D591" s="98">
        <v>0.28535613844819518</v>
      </c>
    </row>
    <row r="592" spans="1:4">
      <c r="A592">
        <v>564</v>
      </c>
      <c r="B592" s="98">
        <v>0.60226523876190186</v>
      </c>
      <c r="C592" s="98">
        <f t="shared" si="8"/>
        <v>0.25921478710386747</v>
      </c>
      <c r="D592" s="98">
        <v>0.72281698588374343</v>
      </c>
    </row>
    <row r="593" spans="1:4">
      <c r="A593">
        <v>565</v>
      </c>
      <c r="B593" s="98">
        <v>0.47920495271682739</v>
      </c>
      <c r="C593" s="98">
        <f t="shared" si="8"/>
        <v>-5.2149080655389077E-2</v>
      </c>
      <c r="D593" s="98">
        <v>1.1396249895790578</v>
      </c>
    </row>
    <row r="594" spans="1:4">
      <c r="A594">
        <v>566</v>
      </c>
      <c r="B594" s="98">
        <v>0.61260354518890381</v>
      </c>
      <c r="C594" s="98">
        <f t="shared" si="8"/>
        <v>0.2861112574334187</v>
      </c>
      <c r="D594" s="98">
        <v>-1.87530957769767</v>
      </c>
    </row>
    <row r="595" spans="1:4">
      <c r="A595">
        <v>567</v>
      </c>
      <c r="B595" s="98">
        <v>0.19852465391159058</v>
      </c>
      <c r="C595" s="98">
        <f t="shared" si="8"/>
        <v>-0.84690278897125226</v>
      </c>
      <c r="D595" s="98">
        <v>6.056787644901155E-2</v>
      </c>
    </row>
    <row r="596" spans="1:4">
      <c r="A596">
        <v>568</v>
      </c>
      <c r="B596" s="98">
        <v>0.37371087074279785</v>
      </c>
      <c r="C596" s="98">
        <f t="shared" si="8"/>
        <v>-0.3220408583330997</v>
      </c>
      <c r="D596" s="98">
        <v>0.28475089398412773</v>
      </c>
    </row>
    <row r="597" spans="1:4">
      <c r="A597">
        <v>569</v>
      </c>
      <c r="B597" s="98">
        <v>8.9666903018951416E-2</v>
      </c>
      <c r="C597" s="98">
        <f t="shared" si="8"/>
        <v>-1.3428090690617798</v>
      </c>
      <c r="D597" s="98">
        <v>-1.2742632697242</v>
      </c>
    </row>
    <row r="598" spans="1:4">
      <c r="A598">
        <v>570</v>
      </c>
      <c r="B598" s="98">
        <v>0.27978909015655518</v>
      </c>
      <c r="C598" s="98">
        <f t="shared" si="8"/>
        <v>-0.58346816724440964</v>
      </c>
      <c r="D598" s="98">
        <v>0.76159460703027093</v>
      </c>
    </row>
    <row r="599" spans="1:4">
      <c r="A599">
        <v>571</v>
      </c>
      <c r="B599" s="98">
        <v>0.89374345541000366</v>
      </c>
      <c r="C599" s="98">
        <f t="shared" si="8"/>
        <v>1.2466848140714735</v>
      </c>
      <c r="D599" s="98">
        <v>-1.0584948225597928</v>
      </c>
    </row>
    <row r="600" spans="1:4">
      <c r="A600">
        <v>572</v>
      </c>
      <c r="B600" s="98">
        <v>0.20363330841064453</v>
      </c>
      <c r="C600" s="98">
        <f t="shared" si="8"/>
        <v>-0.82871337282024493</v>
      </c>
      <c r="D600" s="98">
        <v>-0.25753641491308443</v>
      </c>
    </row>
    <row r="601" spans="1:4">
      <c r="A601">
        <v>573</v>
      </c>
      <c r="B601" s="98">
        <v>0.20934897661209106</v>
      </c>
      <c r="C601" s="98">
        <f t="shared" si="8"/>
        <v>-0.80868222804198697</v>
      </c>
      <c r="D601" s="98">
        <v>1.3493923690179233</v>
      </c>
    </row>
    <row r="602" spans="1:4">
      <c r="A602">
        <v>574</v>
      </c>
      <c r="B602" s="98">
        <v>0.55350005626678467</v>
      </c>
      <c r="C602" s="98">
        <f t="shared" si="8"/>
        <v>0.13450926220613296</v>
      </c>
      <c r="D602" s="98">
        <v>0.97226879678656375</v>
      </c>
    </row>
    <row r="603" spans="1:4">
      <c r="A603">
        <v>575</v>
      </c>
      <c r="B603" s="98">
        <v>0.61511963605880737</v>
      </c>
      <c r="C603" s="98">
        <f t="shared" si="8"/>
        <v>0.29268788901078252</v>
      </c>
      <c r="D603" s="98">
        <v>-0.10398471487123517</v>
      </c>
    </row>
    <row r="604" spans="1:4">
      <c r="A604">
        <v>576</v>
      </c>
      <c r="B604" s="98">
        <v>0.46402525901794434</v>
      </c>
      <c r="C604" s="98">
        <f t="shared" si="8"/>
        <v>-9.0297863325526237E-2</v>
      </c>
      <c r="D604" s="98">
        <v>6.781895779463748E-2</v>
      </c>
    </row>
    <row r="605" spans="1:4">
      <c r="A605">
        <v>577</v>
      </c>
      <c r="B605" s="98">
        <v>0.95469218492507935</v>
      </c>
      <c r="C605" s="98">
        <f t="shared" si="8"/>
        <v>1.692159164699425</v>
      </c>
      <c r="D605" s="98">
        <v>-0.33837728964203867</v>
      </c>
    </row>
    <row r="606" spans="1:4">
      <c r="A606">
        <v>578</v>
      </c>
      <c r="B606" s="98">
        <v>0.85013186931610107</v>
      </c>
      <c r="C606" s="98">
        <f t="shared" ref="C606:C669" si="9">NORMINV(B606,0,1)</f>
        <v>1.0369991326784338</v>
      </c>
      <c r="D606" s="98">
        <v>0.86507027567129602</v>
      </c>
    </row>
    <row r="607" spans="1:4">
      <c r="A607">
        <v>579</v>
      </c>
      <c r="B607" s="98">
        <v>0.2418028712272644</v>
      </c>
      <c r="C607" s="98">
        <f t="shared" si="9"/>
        <v>-0.70051499746874568</v>
      </c>
      <c r="D607" s="98">
        <v>0.20917370078179209</v>
      </c>
    </row>
    <row r="608" spans="1:4">
      <c r="A608">
        <v>580</v>
      </c>
      <c r="B608" s="98">
        <v>0.37853884696960449</v>
      </c>
      <c r="C608" s="98">
        <f t="shared" si="9"/>
        <v>-0.30932055840022588</v>
      </c>
      <c r="D608" s="98">
        <v>-2.8558656687096695</v>
      </c>
    </row>
    <row r="609" spans="1:4">
      <c r="A609">
        <v>581</v>
      </c>
      <c r="B609" s="98">
        <v>0.77913576364517212</v>
      </c>
      <c r="C609" s="98">
        <f t="shared" si="9"/>
        <v>0.76927769981847138</v>
      </c>
      <c r="D609" s="98">
        <v>-0.65610616165800795</v>
      </c>
    </row>
    <row r="610" spans="1:4">
      <c r="A610">
        <v>582</v>
      </c>
      <c r="B610" s="98">
        <v>2.8875946998596191E-2</v>
      </c>
      <c r="C610" s="98">
        <f t="shared" si="9"/>
        <v>-1.8975764888719493</v>
      </c>
      <c r="D610" s="98">
        <v>-0.75223597433048539</v>
      </c>
    </row>
    <row r="611" spans="1:4">
      <c r="A611">
        <v>583</v>
      </c>
      <c r="B611" s="98">
        <v>0.32025378942489624</v>
      </c>
      <c r="C611" s="98">
        <f t="shared" si="9"/>
        <v>-0.4669892365651806</v>
      </c>
      <c r="D611" s="98">
        <v>-1.9223365352381578</v>
      </c>
    </row>
    <row r="612" spans="1:4">
      <c r="A612">
        <v>584</v>
      </c>
      <c r="B612" s="98">
        <v>0.58775663375854492</v>
      </c>
      <c r="C612" s="98">
        <f t="shared" si="9"/>
        <v>0.22177796656628931</v>
      </c>
      <c r="D612" s="98">
        <v>0.37515203321631158</v>
      </c>
    </row>
    <row r="613" spans="1:4">
      <c r="A613">
        <v>585</v>
      </c>
      <c r="B613" s="98">
        <v>0.1141853928565979</v>
      </c>
      <c r="C613" s="98">
        <f t="shared" si="9"/>
        <v>-1.2045662669382644</v>
      </c>
      <c r="D613" s="98">
        <v>-1.7985199760060677</v>
      </c>
    </row>
    <row r="614" spans="1:4">
      <c r="A614">
        <v>586</v>
      </c>
      <c r="B614" s="98">
        <v>0.8565593957901001</v>
      </c>
      <c r="C614" s="98">
        <f t="shared" si="9"/>
        <v>1.0649883352542198</v>
      </c>
      <c r="D614" s="98">
        <v>1.2751554708650039</v>
      </c>
    </row>
    <row r="615" spans="1:4">
      <c r="A615">
        <v>587</v>
      </c>
      <c r="B615" s="98">
        <v>0.37416785955429077</v>
      </c>
      <c r="C615" s="98">
        <f t="shared" si="9"/>
        <v>-0.32083462407005842</v>
      </c>
      <c r="D615" s="98">
        <v>1.550967129942564</v>
      </c>
    </row>
    <row r="616" spans="1:4">
      <c r="A616">
        <v>588</v>
      </c>
      <c r="B616" s="98">
        <v>0.29516267776489258</v>
      </c>
      <c r="C616" s="98">
        <f t="shared" si="9"/>
        <v>-0.53836460763056737</v>
      </c>
      <c r="D616" s="98">
        <v>1.632847423673407</v>
      </c>
    </row>
    <row r="617" spans="1:4">
      <c r="A617">
        <v>589</v>
      </c>
      <c r="B617" s="98">
        <v>0.5373724102973938</v>
      </c>
      <c r="C617" s="98">
        <f t="shared" si="9"/>
        <v>9.3816178976222034E-2</v>
      </c>
      <c r="D617" s="98">
        <v>0.50853473814722572</v>
      </c>
    </row>
    <row r="618" spans="1:4">
      <c r="A618">
        <v>590</v>
      </c>
      <c r="B618" s="98">
        <v>4.1802406311035156E-2</v>
      </c>
      <c r="C618" s="98">
        <f t="shared" si="9"/>
        <v>-1.730142533285479</v>
      </c>
      <c r="D618" s="98">
        <v>1.101778760501561</v>
      </c>
    </row>
    <row r="619" spans="1:4">
      <c r="A619">
        <v>591</v>
      </c>
      <c r="B619" s="98">
        <v>0.21550208330154419</v>
      </c>
      <c r="C619" s="98">
        <f t="shared" si="9"/>
        <v>-0.78747447189563602</v>
      </c>
      <c r="D619" s="98">
        <v>-1.1386169796306151</v>
      </c>
    </row>
    <row r="620" spans="1:4">
      <c r="A620">
        <v>592</v>
      </c>
      <c r="B620" s="98">
        <v>0.19595992565155029</v>
      </c>
      <c r="C620" s="98">
        <f t="shared" si="9"/>
        <v>-0.85614089385523329</v>
      </c>
      <c r="D620" s="98">
        <v>-0.21155720789123891</v>
      </c>
    </row>
    <row r="621" spans="1:4">
      <c r="A621">
        <v>593</v>
      </c>
      <c r="B621" s="98">
        <v>0.61569291353225708</v>
      </c>
      <c r="C621" s="98">
        <f t="shared" si="9"/>
        <v>0.29418810053554667</v>
      </c>
      <c r="D621" s="98">
        <v>0.90920445955229068</v>
      </c>
    </row>
    <row r="622" spans="1:4">
      <c r="A622">
        <v>594</v>
      </c>
      <c r="B622" s="98">
        <v>0.57781922817230225</v>
      </c>
      <c r="C622" s="98">
        <f t="shared" si="9"/>
        <v>0.19631765489040659</v>
      </c>
      <c r="D622" s="98">
        <v>0.37526706582219893</v>
      </c>
    </row>
    <row r="623" spans="1:4">
      <c r="A623">
        <v>595</v>
      </c>
      <c r="B623" s="98">
        <v>0.57715433835983276</v>
      </c>
      <c r="C623" s="98">
        <f t="shared" si="9"/>
        <v>0.19461887781830517</v>
      </c>
      <c r="D623" s="98">
        <v>-0.69926293056267297</v>
      </c>
    </row>
    <row r="624" spans="1:4">
      <c r="A624">
        <v>596</v>
      </c>
      <c r="B624" s="98">
        <v>0.9137343168258667</v>
      </c>
      <c r="C624" s="98">
        <f t="shared" si="9"/>
        <v>1.3641150259979653</v>
      </c>
      <c r="D624" s="98">
        <v>1.1669723505450746</v>
      </c>
    </row>
    <row r="625" spans="1:4">
      <c r="A625">
        <v>597</v>
      </c>
      <c r="B625" s="98">
        <v>0.44250553846359253</v>
      </c>
      <c r="C625" s="98">
        <f t="shared" si="9"/>
        <v>-0.14461978292411012</v>
      </c>
      <c r="D625" s="98">
        <v>-3.8935164246222467E-2</v>
      </c>
    </row>
    <row r="626" spans="1:4">
      <c r="A626">
        <v>598</v>
      </c>
      <c r="B626" s="98">
        <v>0.17441058158874512</v>
      </c>
      <c r="C626" s="98">
        <f t="shared" si="9"/>
        <v>-0.9368782988905342</v>
      </c>
      <c r="D626" s="98">
        <v>-1.1448394062908226E-2</v>
      </c>
    </row>
    <row r="627" spans="1:4">
      <c r="A627">
        <v>599</v>
      </c>
      <c r="B627" s="98">
        <v>0.79688566923141479</v>
      </c>
      <c r="C627" s="98">
        <f t="shared" si="9"/>
        <v>0.83054863601768714</v>
      </c>
      <c r="D627" s="98">
        <v>-0.16734564621383663</v>
      </c>
    </row>
    <row r="628" spans="1:4">
      <c r="A628">
        <v>600</v>
      </c>
      <c r="B628" s="98">
        <v>0.28144001960754395</v>
      </c>
      <c r="C628" s="98">
        <f t="shared" si="9"/>
        <v>-0.57856898197058904</v>
      </c>
      <c r="D628" s="98">
        <v>1.078913154149663</v>
      </c>
    </row>
    <row r="629" spans="1:4">
      <c r="A629">
        <v>601</v>
      </c>
      <c r="B629" s="98">
        <v>0.86711269617080688</v>
      </c>
      <c r="C629" s="98">
        <f t="shared" si="9"/>
        <v>1.1128459248063505</v>
      </c>
      <c r="D629" s="98">
        <v>0.57471849111243822</v>
      </c>
    </row>
    <row r="630" spans="1:4">
      <c r="A630">
        <v>602</v>
      </c>
      <c r="B630" s="98">
        <v>0.56316673755645752</v>
      </c>
      <c r="C630" s="98">
        <f t="shared" si="9"/>
        <v>0.1590029814150353</v>
      </c>
      <c r="D630" s="98">
        <v>1.9011092756778318</v>
      </c>
    </row>
    <row r="631" spans="1:4">
      <c r="A631">
        <v>603</v>
      </c>
      <c r="B631" s="98">
        <v>0.83336728811264038</v>
      </c>
      <c r="C631" s="98">
        <f t="shared" si="9"/>
        <v>0.96755747518248225</v>
      </c>
      <c r="D631" s="98">
        <v>0.83151818110163811</v>
      </c>
    </row>
    <row r="632" spans="1:4">
      <c r="A632">
        <v>604</v>
      </c>
      <c r="B632" s="98">
        <v>0.88164138793945313</v>
      </c>
      <c r="C632" s="98">
        <f t="shared" si="9"/>
        <v>1.183231974521578</v>
      </c>
      <c r="D632" s="98">
        <v>0.25871083980692106</v>
      </c>
    </row>
    <row r="633" spans="1:4">
      <c r="A633">
        <v>605</v>
      </c>
      <c r="B633" s="98">
        <v>0.4380907416343689</v>
      </c>
      <c r="C633" s="98">
        <f t="shared" si="9"/>
        <v>-0.15581165525746424</v>
      </c>
      <c r="D633" s="98">
        <v>0.18827214907262294</v>
      </c>
    </row>
    <row r="634" spans="1:4">
      <c r="A634">
        <v>606</v>
      </c>
      <c r="B634" s="98">
        <v>9.6588611602783203E-2</v>
      </c>
      <c r="C634" s="98">
        <f t="shared" si="9"/>
        <v>-1.3012373532698567</v>
      </c>
      <c r="D634" s="98">
        <v>0.5740114891607484</v>
      </c>
    </row>
    <row r="635" spans="1:4">
      <c r="A635">
        <v>607</v>
      </c>
      <c r="B635" s="98">
        <v>0.66059094667434692</v>
      </c>
      <c r="C635" s="98">
        <f t="shared" si="9"/>
        <v>0.41407646706454787</v>
      </c>
      <c r="D635" s="98">
        <v>1.0238591186034094</v>
      </c>
    </row>
    <row r="636" spans="1:4">
      <c r="A636">
        <v>608</v>
      </c>
      <c r="B636" s="98">
        <v>0.72201764583587646</v>
      </c>
      <c r="C636" s="98">
        <f t="shared" si="9"/>
        <v>0.58884581593241647</v>
      </c>
      <c r="D636" s="98">
        <v>-0.43779073750396341</v>
      </c>
    </row>
    <row r="637" spans="1:4">
      <c r="A637">
        <v>609</v>
      </c>
      <c r="B637" s="98">
        <v>5.9773623943328857E-2</v>
      </c>
      <c r="C637" s="98">
        <f t="shared" si="9"/>
        <v>-1.5566767648334203</v>
      </c>
      <c r="D637" s="98">
        <v>-0.86391779424662418</v>
      </c>
    </row>
    <row r="638" spans="1:4">
      <c r="A638">
        <v>610</v>
      </c>
      <c r="B638" s="98">
        <v>0.10338711738586426</v>
      </c>
      <c r="C638" s="98">
        <f t="shared" si="9"/>
        <v>-1.2624852382432059</v>
      </c>
      <c r="D638" s="98">
        <v>-0.29773966483119291</v>
      </c>
    </row>
    <row r="639" spans="1:4">
      <c r="A639">
        <v>611</v>
      </c>
      <c r="B639" s="98">
        <v>0.83665043115615845</v>
      </c>
      <c r="C639" s="98">
        <f t="shared" si="9"/>
        <v>0.9807842683420156</v>
      </c>
      <c r="D639" s="98">
        <v>-1.4150237497045168E-3</v>
      </c>
    </row>
    <row r="640" spans="1:4">
      <c r="A640">
        <v>612</v>
      </c>
      <c r="B640" s="98">
        <v>8.694767951965332E-3</v>
      </c>
      <c r="C640" s="98">
        <f t="shared" si="9"/>
        <v>-2.3783664265888182</v>
      </c>
      <c r="D640" s="98">
        <v>0.4571991566739787</v>
      </c>
    </row>
    <row r="641" spans="1:4">
      <c r="A641">
        <v>613</v>
      </c>
      <c r="B641" s="98">
        <v>0.98184484243392944</v>
      </c>
      <c r="C641" s="98">
        <f t="shared" si="9"/>
        <v>2.0934352876934685</v>
      </c>
      <c r="D641" s="98">
        <v>-0.97522297089592758</v>
      </c>
    </row>
    <row r="642" spans="1:4">
      <c r="A642">
        <v>614</v>
      </c>
      <c r="B642" s="98">
        <v>7.3919296264648438E-2</v>
      </c>
      <c r="C642" s="98">
        <f t="shared" si="9"/>
        <v>-1.447208300329218</v>
      </c>
      <c r="D642" s="98">
        <v>1.0451554642221124</v>
      </c>
    </row>
    <row r="643" spans="1:4">
      <c r="A643">
        <v>615</v>
      </c>
      <c r="B643" s="98">
        <v>0.19105976819992065</v>
      </c>
      <c r="C643" s="98">
        <f t="shared" si="9"/>
        <v>-0.87399764468816754</v>
      </c>
      <c r="D643" s="98">
        <v>-0.74935098263857058</v>
      </c>
    </row>
    <row r="644" spans="1:4">
      <c r="A644">
        <v>616</v>
      </c>
      <c r="B644" s="98">
        <v>0.17829012870788574</v>
      </c>
      <c r="C644" s="98">
        <f t="shared" si="9"/>
        <v>-0.92190092348389918</v>
      </c>
      <c r="D644" s="98">
        <v>0.76112591960016562</v>
      </c>
    </row>
    <row r="645" spans="1:4">
      <c r="A645">
        <v>617</v>
      </c>
      <c r="B645" s="98">
        <v>0.58428865671157837</v>
      </c>
      <c r="C645" s="98">
        <f t="shared" si="9"/>
        <v>0.21287727688354616</v>
      </c>
      <c r="D645" s="98">
        <v>-5.737391623202074E-2</v>
      </c>
    </row>
    <row r="646" spans="1:4">
      <c r="A646">
        <v>618</v>
      </c>
      <c r="B646" s="98">
        <v>0.53193533420562744</v>
      </c>
      <c r="C646" s="98">
        <f t="shared" si="9"/>
        <v>8.0135697427675207E-2</v>
      </c>
      <c r="D646" s="98">
        <v>-1.358365734053647</v>
      </c>
    </row>
    <row r="647" spans="1:4">
      <c r="A647">
        <v>619</v>
      </c>
      <c r="B647" s="98">
        <v>0.19858783483505249</v>
      </c>
      <c r="C647" s="98">
        <f t="shared" si="9"/>
        <v>-0.84667612533548042</v>
      </c>
      <c r="D647" s="98">
        <v>-0.7032052026054908</v>
      </c>
    </row>
    <row r="648" spans="1:4">
      <c r="A648">
        <v>620</v>
      </c>
      <c r="B648" s="98">
        <v>0.42742490768432617</v>
      </c>
      <c r="C648" s="98">
        <f t="shared" si="9"/>
        <v>-0.18293398663353691</v>
      </c>
      <c r="D648" s="98">
        <v>-6.360278442988114E-2</v>
      </c>
    </row>
    <row r="649" spans="1:4">
      <c r="A649">
        <v>621</v>
      </c>
      <c r="B649" s="98">
        <v>8.3691537380218506E-2</v>
      </c>
      <c r="C649" s="98">
        <f t="shared" si="9"/>
        <v>-1.3806614656601224</v>
      </c>
      <c r="D649" s="98">
        <v>-1.3079596454968014</v>
      </c>
    </row>
    <row r="650" spans="1:4">
      <c r="A650">
        <v>622</v>
      </c>
      <c r="B650" s="98">
        <v>0.56909143924713135</v>
      </c>
      <c r="C650" s="98">
        <f t="shared" si="9"/>
        <v>0.17406151057274483</v>
      </c>
      <c r="D650" s="98">
        <v>0.43127680903405036</v>
      </c>
    </row>
    <row r="651" spans="1:4">
      <c r="A651">
        <v>623</v>
      </c>
      <c r="B651" s="98">
        <v>9.6740186214447021E-2</v>
      </c>
      <c r="C651" s="98">
        <f t="shared" si="9"/>
        <v>-1.3003519441154094</v>
      </c>
      <c r="D651" s="98">
        <v>0.87232135266866484</v>
      </c>
    </row>
    <row r="652" spans="1:4">
      <c r="A652">
        <v>624</v>
      </c>
      <c r="B652" s="98">
        <v>0.84039735794067383</v>
      </c>
      <c r="C652" s="98">
        <f t="shared" si="9"/>
        <v>0.99609233428565369</v>
      </c>
      <c r="D652" s="98">
        <v>-0.26060314286405944</v>
      </c>
    </row>
    <row r="653" spans="1:4">
      <c r="A653">
        <v>625</v>
      </c>
      <c r="B653" s="98">
        <v>0.33947354555130005</v>
      </c>
      <c r="C653" s="98">
        <f t="shared" si="9"/>
        <v>-0.41390034515583418</v>
      </c>
      <c r="D653" s="98">
        <v>0.85202342107942675</v>
      </c>
    </row>
    <row r="654" spans="1:4">
      <c r="A654">
        <v>626</v>
      </c>
      <c r="B654" s="98">
        <v>0.13903903961181641</v>
      </c>
      <c r="C654" s="98">
        <f t="shared" si="9"/>
        <v>-1.0846468890578902</v>
      </c>
      <c r="D654" s="98">
        <v>0.94848086594992331</v>
      </c>
    </row>
    <row r="655" spans="1:4">
      <c r="A655">
        <v>627</v>
      </c>
      <c r="B655" s="98">
        <v>0.86355048418045044</v>
      </c>
      <c r="C655" s="98">
        <f t="shared" si="9"/>
        <v>1.0964108185513457</v>
      </c>
      <c r="D655" s="98">
        <v>-0.55193513722686549</v>
      </c>
    </row>
    <row r="656" spans="1:4">
      <c r="A656">
        <v>628</v>
      </c>
      <c r="B656" s="98">
        <v>0.89039373397827148</v>
      </c>
      <c r="C656" s="98">
        <f t="shared" si="9"/>
        <v>1.2286247486063191</v>
      </c>
      <c r="D656" s="98">
        <v>0.18447467265102141</v>
      </c>
    </row>
    <row r="657" spans="1:4">
      <c r="A657">
        <v>629</v>
      </c>
      <c r="B657" s="98">
        <v>0.52375108003616333</v>
      </c>
      <c r="C657" s="98">
        <f t="shared" si="9"/>
        <v>5.9570342166594854E-2</v>
      </c>
      <c r="D657" s="98">
        <v>-0.15049198581515391</v>
      </c>
    </row>
    <row r="658" spans="1:4">
      <c r="A658">
        <v>630</v>
      </c>
      <c r="B658" s="98">
        <v>1.6824722290039063E-2</v>
      </c>
      <c r="C658" s="98">
        <f t="shared" si="9"/>
        <v>-2.1242476031774045</v>
      </c>
      <c r="D658" s="98">
        <v>1.726163461051752</v>
      </c>
    </row>
    <row r="659" spans="1:4">
      <c r="A659">
        <v>631</v>
      </c>
      <c r="B659" s="98">
        <v>0.91626673936843872</v>
      </c>
      <c r="C659" s="98">
        <f t="shared" si="9"/>
        <v>1.3803902476642147</v>
      </c>
      <c r="D659" s="98">
        <v>0.35747590892740277</v>
      </c>
    </row>
    <row r="660" spans="1:4">
      <c r="A660">
        <v>632</v>
      </c>
      <c r="B660" s="98">
        <v>0.14382028579711914</v>
      </c>
      <c r="C660" s="98">
        <f t="shared" si="9"/>
        <v>-1.0633118090789409</v>
      </c>
      <c r="D660" s="98">
        <v>0.95293325288083619</v>
      </c>
    </row>
    <row r="661" spans="1:4">
      <c r="A661">
        <v>633</v>
      </c>
      <c r="B661" s="98">
        <v>0.65291386842727661</v>
      </c>
      <c r="C661" s="98">
        <f t="shared" si="9"/>
        <v>0.39319933187405209</v>
      </c>
      <c r="D661" s="98">
        <v>0.10766411408188625</v>
      </c>
    </row>
    <row r="662" spans="1:4">
      <c r="A662">
        <v>634</v>
      </c>
      <c r="B662" s="98">
        <v>0.7046893835067749</v>
      </c>
      <c r="C662" s="98">
        <f t="shared" si="9"/>
        <v>0.53793600097825611</v>
      </c>
      <c r="D662" s="98">
        <v>-0.29868583794095044</v>
      </c>
    </row>
    <row r="663" spans="1:4">
      <c r="A663">
        <v>635</v>
      </c>
      <c r="B663" s="98">
        <v>0.59208983182907104</v>
      </c>
      <c r="C663" s="98">
        <f t="shared" si="9"/>
        <v>0.2329241098390151</v>
      </c>
      <c r="D663" s="98">
        <v>-3.1533655186213365E-2</v>
      </c>
    </row>
    <row r="664" spans="1:4">
      <c r="A664">
        <v>636</v>
      </c>
      <c r="B664" s="98">
        <v>0.9906151294708252</v>
      </c>
      <c r="C664" s="98">
        <f t="shared" si="9"/>
        <v>2.3500727712971226</v>
      </c>
      <c r="D664" s="98">
        <v>0.12719741405601978</v>
      </c>
    </row>
    <row r="665" spans="1:4">
      <c r="A665">
        <v>637</v>
      </c>
      <c r="B665" s="98">
        <v>0.86782222986221313</v>
      </c>
      <c r="C665" s="98">
        <f t="shared" si="9"/>
        <v>1.1161555901993658</v>
      </c>
      <c r="D665" s="98">
        <v>-0.34878392147910564</v>
      </c>
    </row>
    <row r="666" spans="1:4">
      <c r="A666">
        <v>638</v>
      </c>
      <c r="B666" s="98">
        <v>0.53619682788848877</v>
      </c>
      <c r="C666" s="98">
        <f t="shared" si="9"/>
        <v>9.0856840953122062E-2</v>
      </c>
      <c r="D666" s="98">
        <v>0.41261815470562974</v>
      </c>
    </row>
    <row r="667" spans="1:4">
      <c r="A667">
        <v>639</v>
      </c>
      <c r="B667" s="98">
        <v>0.77249234914779663</v>
      </c>
      <c r="C667" s="98">
        <f t="shared" si="9"/>
        <v>0.74707995074502032</v>
      </c>
      <c r="D667" s="98">
        <v>0.35799941888636583</v>
      </c>
    </row>
    <row r="668" spans="1:4">
      <c r="A668">
        <v>640</v>
      </c>
      <c r="B668" s="98">
        <v>0.47565042972564697</v>
      </c>
      <c r="C668" s="98">
        <f t="shared" si="9"/>
        <v>-6.1073266735437247E-2</v>
      </c>
      <c r="D668" s="98">
        <v>1.3403056857148281</v>
      </c>
    </row>
    <row r="669" spans="1:4">
      <c r="A669">
        <v>641</v>
      </c>
      <c r="B669" s="98">
        <v>0.60011619329452515</v>
      </c>
      <c r="C669" s="98">
        <f t="shared" si="9"/>
        <v>0.25364786661142324</v>
      </c>
      <c r="D669" s="98">
        <v>0.99945712140666665</v>
      </c>
    </row>
    <row r="670" spans="1:4">
      <c r="A670">
        <v>642</v>
      </c>
      <c r="B670" s="98">
        <v>0.25026333332061768</v>
      </c>
      <c r="C670" s="98">
        <f t="shared" ref="C670:C733" si="10">NORMINV(B670,0,1)</f>
        <v>-0.67366130717037287</v>
      </c>
      <c r="D670" s="98">
        <v>0.1609300212368745</v>
      </c>
    </row>
    <row r="671" spans="1:4">
      <c r="A671">
        <v>643</v>
      </c>
      <c r="B671" s="98">
        <v>0.11281388998031616</v>
      </c>
      <c r="C671" s="98">
        <f t="shared" si="10"/>
        <v>-1.2116985876615478</v>
      </c>
      <c r="D671" s="98">
        <v>-0.4990546327409176</v>
      </c>
    </row>
    <row r="672" spans="1:4">
      <c r="A672">
        <v>644</v>
      </c>
      <c r="B672" s="98">
        <v>0.89810657501220703</v>
      </c>
      <c r="C672" s="98">
        <f t="shared" si="10"/>
        <v>1.2708364176676223</v>
      </c>
      <c r="D672" s="98">
        <v>-1.4097045167936371</v>
      </c>
    </row>
    <row r="673" spans="1:4">
      <c r="A673">
        <v>645</v>
      </c>
      <c r="B673" s="98">
        <v>5.4457783699035645E-3</v>
      </c>
      <c r="C673" s="98">
        <f t="shared" si="10"/>
        <v>-2.5461589961255813</v>
      </c>
      <c r="D673" s="98">
        <v>-1.7628701617976137</v>
      </c>
    </row>
    <row r="674" spans="1:4">
      <c r="A674">
        <v>646</v>
      </c>
      <c r="B674" s="98">
        <v>0.53874349594116211</v>
      </c>
      <c r="C674" s="98">
        <f t="shared" si="10"/>
        <v>9.7268704748759316E-2</v>
      </c>
      <c r="D674" s="98">
        <v>-0.99284301939179764</v>
      </c>
    </row>
    <row r="675" spans="1:4">
      <c r="A675">
        <v>647</v>
      </c>
      <c r="B675" s="98">
        <v>0.53002625703811646</v>
      </c>
      <c r="C675" s="98">
        <f t="shared" si="10"/>
        <v>7.5335865606095967E-2</v>
      </c>
      <c r="D675" s="98">
        <v>-0.12226394729131937</v>
      </c>
    </row>
    <row r="676" spans="1:4">
      <c r="A676">
        <v>648</v>
      </c>
      <c r="B676" s="98">
        <v>0.44160020351409912</v>
      </c>
      <c r="C676" s="98">
        <f t="shared" si="10"/>
        <v>-0.14691335944915812</v>
      </c>
      <c r="D676" s="98">
        <v>0.79923300673463815</v>
      </c>
    </row>
    <row r="677" spans="1:4">
      <c r="A677">
        <v>649</v>
      </c>
      <c r="B677" s="98">
        <v>0.38397425413131714</v>
      </c>
      <c r="C677" s="98">
        <f t="shared" si="10"/>
        <v>-0.29505939413854509</v>
      </c>
      <c r="D677" s="98">
        <v>-0.19212858364137253</v>
      </c>
    </row>
    <row r="678" spans="1:4">
      <c r="A678">
        <v>650</v>
      </c>
      <c r="B678" s="98">
        <v>2.0868539810180664E-2</v>
      </c>
      <c r="C678" s="98">
        <f t="shared" si="10"/>
        <v>-2.0361322250615244</v>
      </c>
      <c r="D678" s="98">
        <v>-0.50684270703637591</v>
      </c>
    </row>
    <row r="679" spans="1:4">
      <c r="A679">
        <v>651</v>
      </c>
      <c r="B679" s="98">
        <v>0.95039421319961548</v>
      </c>
      <c r="C679" s="98">
        <f t="shared" si="10"/>
        <v>1.6486879815381315</v>
      </c>
      <c r="D679" s="98">
        <v>-1.2101695387375571</v>
      </c>
    </row>
    <row r="680" spans="1:4">
      <c r="A680">
        <v>652</v>
      </c>
      <c r="B680" s="98">
        <v>2.2573590278625488E-2</v>
      </c>
      <c r="C680" s="98">
        <f t="shared" si="10"/>
        <v>-2.0032805817506198</v>
      </c>
      <c r="D680" s="98">
        <v>4.0281333542109811E-2</v>
      </c>
    </row>
    <row r="681" spans="1:4">
      <c r="A681">
        <v>653</v>
      </c>
      <c r="B681" s="98">
        <v>0.31317132711410522</v>
      </c>
      <c r="C681" s="98">
        <f t="shared" si="10"/>
        <v>-0.48688101411464219</v>
      </c>
      <c r="D681" s="98">
        <v>4.318302191392364E-2</v>
      </c>
    </row>
    <row r="682" spans="1:4">
      <c r="A682">
        <v>654</v>
      </c>
      <c r="B682" s="98">
        <v>6.4627647399902344E-2</v>
      </c>
      <c r="C682" s="98">
        <f t="shared" si="10"/>
        <v>-1.517045111555503</v>
      </c>
      <c r="D682" s="98">
        <v>-1.6640231598179545</v>
      </c>
    </row>
    <row r="683" spans="1:4">
      <c r="A683">
        <v>655</v>
      </c>
      <c r="B683" s="98">
        <v>0.95273619890213013</v>
      </c>
      <c r="C683" s="98">
        <f t="shared" si="10"/>
        <v>1.671983365975801</v>
      </c>
      <c r="D683" s="98">
        <v>0.36554077366349047</v>
      </c>
    </row>
    <row r="684" spans="1:4">
      <c r="A684">
        <v>656</v>
      </c>
      <c r="B684" s="98">
        <v>0.74571692943572998</v>
      </c>
      <c r="C684" s="98">
        <f t="shared" si="10"/>
        <v>0.66107199946352857</v>
      </c>
      <c r="D684" s="98">
        <v>-1.9200463312787674</v>
      </c>
    </row>
    <row r="685" spans="1:4">
      <c r="A685">
        <v>657</v>
      </c>
      <c r="B685" s="98">
        <v>0.71810036897659302</v>
      </c>
      <c r="C685" s="98">
        <f t="shared" si="10"/>
        <v>0.57720754312931422</v>
      </c>
      <c r="D685" s="98">
        <v>0.10485087320687504</v>
      </c>
    </row>
    <row r="686" spans="1:4">
      <c r="A686">
        <v>658</v>
      </c>
      <c r="B686" s="98">
        <v>0.795806884765625</v>
      </c>
      <c r="C686" s="98">
        <f t="shared" si="10"/>
        <v>0.8267368493035967</v>
      </c>
      <c r="D686" s="98">
        <v>0.70374232492165734</v>
      </c>
    </row>
    <row r="687" spans="1:4">
      <c r="A687">
        <v>659</v>
      </c>
      <c r="B687" s="98">
        <v>0.19821876287460327</v>
      </c>
      <c r="C687" s="98">
        <f t="shared" si="10"/>
        <v>-0.84800079901484127</v>
      </c>
      <c r="D687" s="98">
        <v>-1.6148268267958563</v>
      </c>
    </row>
    <row r="688" spans="1:4">
      <c r="A688">
        <v>660</v>
      </c>
      <c r="B688" s="98">
        <v>0.15516328811645508</v>
      </c>
      <c r="C688" s="98">
        <f t="shared" si="10"/>
        <v>-1.014537015307593</v>
      </c>
      <c r="D688" s="98">
        <v>-2.2725696778954454</v>
      </c>
    </row>
    <row r="689" spans="1:4">
      <c r="A689">
        <v>661</v>
      </c>
      <c r="B689" s="98">
        <v>0.54502290487289429</v>
      </c>
      <c r="C689" s="98">
        <f t="shared" si="10"/>
        <v>0.11309632281935458</v>
      </c>
      <c r="D689" s="98">
        <v>-0.47713710132266329</v>
      </c>
    </row>
    <row r="690" spans="1:4">
      <c r="A690">
        <v>662</v>
      </c>
      <c r="B690" s="98">
        <v>0.1384207010269165</v>
      </c>
      <c r="C690" s="98">
        <f t="shared" si="10"/>
        <v>-1.0874422627157216</v>
      </c>
      <c r="D690" s="98">
        <v>-0.44102535832799977</v>
      </c>
    </row>
    <row r="691" spans="1:4">
      <c r="A691">
        <v>663</v>
      </c>
      <c r="B691" s="98">
        <v>2.4654805660247803E-2</v>
      </c>
      <c r="C691" s="98">
        <f t="shared" si="10"/>
        <v>-1.9659047756676948</v>
      </c>
      <c r="D691" s="98">
        <v>0.14811683838970099</v>
      </c>
    </row>
    <row r="692" spans="1:4">
      <c r="A692">
        <v>664</v>
      </c>
      <c r="B692" s="98">
        <v>0.69197607040405273</v>
      </c>
      <c r="C692" s="98">
        <f t="shared" si="10"/>
        <v>0.50145937893823245</v>
      </c>
      <c r="D692" s="98">
        <v>0.45183749771763282</v>
      </c>
    </row>
    <row r="693" spans="1:4">
      <c r="A693">
        <v>665</v>
      </c>
      <c r="B693" s="98">
        <v>0.90446549654006958</v>
      </c>
      <c r="C693" s="98">
        <f t="shared" si="10"/>
        <v>1.3074232453428283</v>
      </c>
      <c r="D693" s="98">
        <v>1.1225342861995902</v>
      </c>
    </row>
    <row r="694" spans="1:4">
      <c r="A694">
        <v>666</v>
      </c>
      <c r="B694" s="98">
        <v>0.51533448696136475</v>
      </c>
      <c r="C694" s="98">
        <f t="shared" si="10"/>
        <v>3.8447328615905052E-2</v>
      </c>
      <c r="D694" s="98">
        <v>-0.34542755629335276</v>
      </c>
    </row>
    <row r="695" spans="1:4">
      <c r="A695">
        <v>667</v>
      </c>
      <c r="B695" s="98">
        <v>0.84605342149734497</v>
      </c>
      <c r="C695" s="98">
        <f t="shared" si="10"/>
        <v>1.0196527943621718</v>
      </c>
      <c r="D695" s="98">
        <v>-8.8563963622078093E-2</v>
      </c>
    </row>
    <row r="696" spans="1:4">
      <c r="A696">
        <v>668</v>
      </c>
      <c r="B696" s="98">
        <v>0.5763472318649292</v>
      </c>
      <c r="C696" s="98">
        <f t="shared" si="10"/>
        <v>0.19255749456207114</v>
      </c>
      <c r="D696" s="98">
        <v>0.10208877947960773</v>
      </c>
    </row>
    <row r="697" spans="1:4">
      <c r="A697">
        <v>669</v>
      </c>
      <c r="B697" s="98">
        <v>0.22383183240890503</v>
      </c>
      <c r="C697" s="98">
        <f t="shared" si="10"/>
        <v>-0.75931580564554324</v>
      </c>
      <c r="D697" s="98">
        <v>-9.0328278217170224E-2</v>
      </c>
    </row>
    <row r="698" spans="1:4">
      <c r="A698">
        <v>670</v>
      </c>
      <c r="B698" s="98">
        <v>0.93797564506530762</v>
      </c>
      <c r="C698" s="98">
        <f t="shared" si="10"/>
        <v>1.5379996111091114</v>
      </c>
      <c r="D698" s="98">
        <v>1.4773737445212456</v>
      </c>
    </row>
    <row r="699" spans="1:4">
      <c r="A699">
        <v>671</v>
      </c>
      <c r="B699" s="98">
        <v>0.20370024442672729</v>
      </c>
      <c r="C699" s="98">
        <f t="shared" si="10"/>
        <v>-0.82847686987749747</v>
      </c>
      <c r="D699" s="98">
        <v>1.5511874209868044</v>
      </c>
    </row>
    <row r="700" spans="1:4">
      <c r="A700">
        <v>672</v>
      </c>
      <c r="B700" s="98">
        <v>0.98436820507049561</v>
      </c>
      <c r="C700" s="98">
        <f t="shared" si="10"/>
        <v>2.1537014819769578</v>
      </c>
      <c r="D700" s="98">
        <v>0.13039415782436123</v>
      </c>
    </row>
    <row r="701" spans="1:4">
      <c r="A701">
        <v>673</v>
      </c>
      <c r="B701" s="98">
        <v>0.74537163972854614</v>
      </c>
      <c r="C701" s="98">
        <f t="shared" si="10"/>
        <v>0.65999549466798235</v>
      </c>
      <c r="D701" s="98">
        <v>0.7648467785173535</v>
      </c>
    </row>
    <row r="702" spans="1:4">
      <c r="A702">
        <v>674</v>
      </c>
      <c r="B702" s="98">
        <v>0.52766549587249756</v>
      </c>
      <c r="C702" s="98">
        <f t="shared" si="10"/>
        <v>6.9402789902840212E-2</v>
      </c>
      <c r="D702" s="98">
        <v>0.80979104881219421</v>
      </c>
    </row>
    <row r="703" spans="1:4">
      <c r="A703">
        <v>675</v>
      </c>
      <c r="B703" s="98">
        <v>0.74966448545455933</v>
      </c>
      <c r="C703" s="98">
        <f t="shared" si="10"/>
        <v>0.67343430675970495</v>
      </c>
      <c r="D703" s="98">
        <v>2.097159466132176</v>
      </c>
    </row>
    <row r="704" spans="1:4">
      <c r="A704">
        <v>676</v>
      </c>
      <c r="B704" s="98">
        <v>0.5319979190826416</v>
      </c>
      <c r="C704" s="98">
        <f t="shared" si="10"/>
        <v>8.0293079963540279E-2</v>
      </c>
      <c r="D704" s="98">
        <v>-1.1140414973322816</v>
      </c>
    </row>
    <row r="705" spans="1:4">
      <c r="A705">
        <v>677</v>
      </c>
      <c r="B705" s="98">
        <v>0.76122909784317017</v>
      </c>
      <c r="C705" s="98">
        <f t="shared" si="10"/>
        <v>0.71026179901696818</v>
      </c>
      <c r="D705" s="98">
        <v>-0.99518886537570772</v>
      </c>
    </row>
    <row r="706" spans="1:4">
      <c r="A706">
        <v>678</v>
      </c>
      <c r="B706" s="98">
        <v>0.62417232990264893</v>
      </c>
      <c r="C706" s="98">
        <f t="shared" si="10"/>
        <v>0.31645741921733028</v>
      </c>
      <c r="D706" s="98">
        <v>-0.5503031586551913</v>
      </c>
    </row>
    <row r="707" spans="1:4">
      <c r="A707">
        <v>679</v>
      </c>
      <c r="B707" s="98">
        <v>0.72820848226547241</v>
      </c>
      <c r="C707" s="98">
        <f t="shared" si="10"/>
        <v>0.60740369720024923</v>
      </c>
      <c r="D707" s="98">
        <v>1.5683317695895895</v>
      </c>
    </row>
    <row r="708" spans="1:4">
      <c r="A708">
        <v>680</v>
      </c>
      <c r="B708" s="98">
        <v>8.7140083312988281E-2</v>
      </c>
      <c r="C708" s="98">
        <f t="shared" si="10"/>
        <v>-1.358578579774691</v>
      </c>
      <c r="D708" s="98">
        <v>-1.0323004741436748</v>
      </c>
    </row>
    <row r="709" spans="1:4">
      <c r="A709">
        <v>681</v>
      </c>
      <c r="B709" s="98">
        <v>0.70330387353897095</v>
      </c>
      <c r="C709" s="98">
        <f t="shared" si="10"/>
        <v>0.53392669363203127</v>
      </c>
      <c r="D709" s="98">
        <v>1.8876838239329559</v>
      </c>
    </row>
    <row r="710" spans="1:4">
      <c r="A710">
        <v>682</v>
      </c>
      <c r="B710" s="98">
        <v>0.59342682361602783</v>
      </c>
      <c r="C710" s="98">
        <f t="shared" si="10"/>
        <v>0.23636899530676386</v>
      </c>
      <c r="D710" s="98">
        <v>0.74225284786715529</v>
      </c>
    </row>
    <row r="711" spans="1:4">
      <c r="A711">
        <v>683</v>
      </c>
      <c r="B711" s="98">
        <v>0.61595433950424194</v>
      </c>
      <c r="C711" s="98">
        <f t="shared" si="10"/>
        <v>0.29487244660937156</v>
      </c>
      <c r="D711" s="98">
        <v>0.17786662442877241</v>
      </c>
    </row>
    <row r="712" spans="1:4">
      <c r="A712">
        <v>684</v>
      </c>
      <c r="B712" s="98">
        <v>0.10227739810943604</v>
      </c>
      <c r="C712" s="98">
        <f t="shared" si="10"/>
        <v>-1.2686811834658995</v>
      </c>
      <c r="D712" s="98">
        <v>-1.9557073950007924</v>
      </c>
    </row>
    <row r="713" spans="1:4">
      <c r="A713">
        <v>685</v>
      </c>
      <c r="B713" s="98">
        <v>0.75735992193222046</v>
      </c>
      <c r="C713" s="98">
        <f t="shared" si="10"/>
        <v>0.69783537065185297</v>
      </c>
      <c r="D713" s="98">
        <v>-0.32489172490692592</v>
      </c>
    </row>
    <row r="714" spans="1:4">
      <c r="A714">
        <v>686</v>
      </c>
      <c r="B714" s="98">
        <v>0.19042789936065674</v>
      </c>
      <c r="C714" s="98">
        <f t="shared" si="10"/>
        <v>-0.87632054576262985</v>
      </c>
      <c r="D714" s="98">
        <v>0.10444059236309201</v>
      </c>
    </row>
    <row r="715" spans="1:4">
      <c r="A715">
        <v>687</v>
      </c>
      <c r="B715" s="98">
        <v>0.49204248189926147</v>
      </c>
      <c r="C715" s="98">
        <f t="shared" si="10"/>
        <v>-1.994786272127716E-2</v>
      </c>
      <c r="D715" s="98">
        <v>-0.64338308286128509</v>
      </c>
    </row>
    <row r="716" spans="1:4">
      <c r="A716">
        <v>688</v>
      </c>
      <c r="B716" s="98">
        <v>3.9793968200683594E-2</v>
      </c>
      <c r="C716" s="98">
        <f t="shared" si="10"/>
        <v>-1.753081978816641</v>
      </c>
      <c r="D716" s="98">
        <v>0.28058952905105955</v>
      </c>
    </row>
    <row r="717" spans="1:4">
      <c r="A717">
        <v>689</v>
      </c>
      <c r="B717" s="98">
        <v>0.89668303728103638</v>
      </c>
      <c r="C717" s="98">
        <f t="shared" si="10"/>
        <v>1.2628755015744122</v>
      </c>
      <c r="D717" s="98">
        <v>-0.34886856480590245</v>
      </c>
    </row>
    <row r="718" spans="1:4">
      <c r="A718">
        <v>690</v>
      </c>
      <c r="B718" s="98">
        <v>0.87633979320526123</v>
      </c>
      <c r="C718" s="98">
        <f t="shared" si="10"/>
        <v>1.1568823919593643</v>
      </c>
      <c r="D718" s="98">
        <v>-0.32938904009781905</v>
      </c>
    </row>
    <row r="719" spans="1:4">
      <c r="A719">
        <v>691</v>
      </c>
      <c r="B719" s="98">
        <v>0.11524361371994019</v>
      </c>
      <c r="C719" s="98">
        <f t="shared" si="10"/>
        <v>-1.1991047240660475</v>
      </c>
      <c r="D719" s="98">
        <v>0.56319930327474488</v>
      </c>
    </row>
    <row r="720" spans="1:4">
      <c r="A720">
        <v>692</v>
      </c>
      <c r="B720" s="98">
        <v>0.96091461181640625</v>
      </c>
      <c r="C720" s="98">
        <f t="shared" si="10"/>
        <v>1.7613996965625465</v>
      </c>
      <c r="D720" s="98">
        <v>0.21620456541532435</v>
      </c>
    </row>
    <row r="721" spans="1:4">
      <c r="A721">
        <v>693</v>
      </c>
      <c r="B721" s="98">
        <v>0.90435534715652466</v>
      </c>
      <c r="C721" s="98">
        <f t="shared" si="10"/>
        <v>1.3067745068262768</v>
      </c>
      <c r="D721" s="98">
        <v>0.73731006055382997</v>
      </c>
    </row>
    <row r="722" spans="1:4">
      <c r="A722">
        <v>694</v>
      </c>
      <c r="B722" s="98">
        <v>0.96508586406707764</v>
      </c>
      <c r="C722" s="98">
        <f t="shared" si="10"/>
        <v>1.8130230137216852</v>
      </c>
      <c r="D722" s="98">
        <v>-0.11082785268848669</v>
      </c>
    </row>
    <row r="723" spans="1:4">
      <c r="A723">
        <v>695</v>
      </c>
      <c r="B723" s="98">
        <v>0.72984188795089722</v>
      </c>
      <c r="C723" s="98">
        <f t="shared" si="10"/>
        <v>0.61233486902992085</v>
      </c>
      <c r="D723" s="98">
        <v>0.78734392257875763</v>
      </c>
    </row>
    <row r="724" spans="1:4">
      <c r="A724">
        <v>696</v>
      </c>
      <c r="B724" s="98">
        <v>0.22296977043151855</v>
      </c>
      <c r="C724" s="98">
        <f t="shared" si="10"/>
        <v>-0.76220185212647329</v>
      </c>
      <c r="D724" s="98">
        <v>-4.7519806456411663E-2</v>
      </c>
    </row>
    <row r="725" spans="1:4">
      <c r="A725">
        <v>697</v>
      </c>
      <c r="B725" s="98">
        <v>0.30754965543746948</v>
      </c>
      <c r="C725" s="98">
        <f t="shared" si="10"/>
        <v>-0.50280793975846838</v>
      </c>
      <c r="D725" s="98">
        <v>0.2911420078181195</v>
      </c>
    </row>
    <row r="726" spans="1:4">
      <c r="A726">
        <v>698</v>
      </c>
      <c r="B726" s="98">
        <v>0.86265301704406738</v>
      </c>
      <c r="C726" s="98">
        <f t="shared" si="10"/>
        <v>1.0923166011683934</v>
      </c>
      <c r="D726" s="98">
        <v>0.2661729842188672</v>
      </c>
    </row>
    <row r="727" spans="1:4">
      <c r="A727">
        <v>699</v>
      </c>
      <c r="B727" s="98">
        <v>0.20756489038467407</v>
      </c>
      <c r="C727" s="98">
        <f t="shared" si="10"/>
        <v>-0.8148996024342835</v>
      </c>
      <c r="D727" s="98">
        <v>0.63772159563516995</v>
      </c>
    </row>
    <row r="728" spans="1:4">
      <c r="A728">
        <v>700</v>
      </c>
      <c r="B728" s="98">
        <v>0.47447311878204346</v>
      </c>
      <c r="C728" s="98">
        <f t="shared" si="10"/>
        <v>-6.4030127727720113E-2</v>
      </c>
      <c r="D728" s="98">
        <v>0.82683576659824309</v>
      </c>
    </row>
    <row r="729" spans="1:4">
      <c r="A729">
        <v>701</v>
      </c>
      <c r="B729" s="98">
        <v>0.43317312002182007</v>
      </c>
      <c r="C729" s="98">
        <f t="shared" si="10"/>
        <v>-0.16830131418100122</v>
      </c>
      <c r="D729" s="98">
        <v>-0.7541288062319037</v>
      </c>
    </row>
    <row r="730" spans="1:4">
      <c r="A730">
        <v>702</v>
      </c>
      <c r="B730" s="98">
        <v>0.30326998233795166</v>
      </c>
      <c r="C730" s="98">
        <f t="shared" si="10"/>
        <v>-0.51501868283183794</v>
      </c>
      <c r="D730" s="98">
        <v>0.98512672563365722</v>
      </c>
    </row>
    <row r="731" spans="1:4">
      <c r="A731">
        <v>703</v>
      </c>
      <c r="B731" s="98">
        <v>0.81102889776229858</v>
      </c>
      <c r="C731" s="98">
        <f t="shared" si="10"/>
        <v>0.88169418865539273</v>
      </c>
      <c r="D731" s="98">
        <v>0.45845189730294483</v>
      </c>
    </row>
    <row r="732" spans="1:4">
      <c r="A732">
        <v>704</v>
      </c>
      <c r="B732" s="98">
        <v>5.2649021148681641E-2</v>
      </c>
      <c r="C732" s="98">
        <f t="shared" si="10"/>
        <v>-1.6196939228696052</v>
      </c>
      <c r="D732" s="98">
        <v>0.90343454050222449</v>
      </c>
    </row>
    <row r="733" spans="1:4">
      <c r="A733">
        <v>705</v>
      </c>
      <c r="B733" s="98">
        <v>0.16141301393508911</v>
      </c>
      <c r="C733" s="98">
        <f t="shared" si="10"/>
        <v>-0.98866713431051101</v>
      </c>
      <c r="D733" s="98">
        <v>1.7392085057668174</v>
      </c>
    </row>
    <row r="734" spans="1:4">
      <c r="A734">
        <v>706</v>
      </c>
      <c r="B734" s="98">
        <v>0.55032634735107422</v>
      </c>
      <c r="C734" s="98">
        <f t="shared" ref="C734:C797" si="11">NORMINV(B734,0,1)</f>
        <v>0.12648590540234983</v>
      </c>
      <c r="D734" s="98">
        <v>0.52035240085640821</v>
      </c>
    </row>
    <row r="735" spans="1:4">
      <c r="A735">
        <v>707</v>
      </c>
      <c r="B735" s="98">
        <v>0.2490275502204895</v>
      </c>
      <c r="C735" s="98">
        <f t="shared" si="11"/>
        <v>-0.67755308576924378</v>
      </c>
      <c r="D735" s="98">
        <v>-1.2291880834453863</v>
      </c>
    </row>
    <row r="736" spans="1:4">
      <c r="A736">
        <v>708</v>
      </c>
      <c r="B736" s="98">
        <v>0.67163169384002686</v>
      </c>
      <c r="C736" s="98">
        <f t="shared" si="11"/>
        <v>0.44442324262721167</v>
      </c>
      <c r="D736" s="98">
        <v>-1.1488936499185174</v>
      </c>
    </row>
    <row r="737" spans="1:4">
      <c r="A737">
        <v>709</v>
      </c>
      <c r="B737" s="98">
        <v>0.31033104658126831</v>
      </c>
      <c r="C737" s="98">
        <f t="shared" si="11"/>
        <v>-0.4949122075644582</v>
      </c>
      <c r="D737" s="98">
        <v>5.2367539277780997E-2</v>
      </c>
    </row>
    <row r="738" spans="1:4">
      <c r="A738">
        <v>710</v>
      </c>
      <c r="B738" s="98">
        <v>0.80464529991149902</v>
      </c>
      <c r="C738" s="98">
        <f t="shared" si="11"/>
        <v>0.85833157278008065</v>
      </c>
      <c r="D738" s="98">
        <v>1.0585106411222176</v>
      </c>
    </row>
    <row r="739" spans="1:4">
      <c r="A739">
        <v>711</v>
      </c>
      <c r="B739" s="98">
        <v>0.73285692930221558</v>
      </c>
      <c r="C739" s="98">
        <f t="shared" si="11"/>
        <v>0.62147651590106934</v>
      </c>
      <c r="D739" s="98">
        <v>0.19860545395008772</v>
      </c>
    </row>
    <row r="740" spans="1:4">
      <c r="A740">
        <v>712</v>
      </c>
      <c r="B740" s="98">
        <v>0.66548943519592285</v>
      </c>
      <c r="C740" s="98">
        <f t="shared" si="11"/>
        <v>0.4274918368437618</v>
      </c>
      <c r="D740" s="98">
        <v>1.359782337703392</v>
      </c>
    </row>
    <row r="741" spans="1:4">
      <c r="A741">
        <v>713</v>
      </c>
      <c r="B741" s="98">
        <v>0.58532971143722534</v>
      </c>
      <c r="C741" s="98">
        <f t="shared" si="11"/>
        <v>0.21554737878186561</v>
      </c>
      <c r="D741" s="98">
        <v>0.99080779704928335</v>
      </c>
    </row>
    <row r="742" spans="1:4">
      <c r="A742">
        <v>714</v>
      </c>
      <c r="B742" s="98">
        <v>5.0653815269470215E-2</v>
      </c>
      <c r="C742" s="98">
        <f t="shared" si="11"/>
        <v>-1.6385470359133383</v>
      </c>
      <c r="D742" s="98">
        <v>-0.19686546514021977</v>
      </c>
    </row>
    <row r="743" spans="1:4">
      <c r="A743">
        <v>715</v>
      </c>
      <c r="B743" s="98">
        <v>0.94440954923629761</v>
      </c>
      <c r="C743" s="98">
        <f t="shared" si="11"/>
        <v>1.5929076872525099</v>
      </c>
      <c r="D743" s="98">
        <v>0.61201592327937049</v>
      </c>
    </row>
    <row r="744" spans="1:4">
      <c r="A744">
        <v>716</v>
      </c>
      <c r="B744" s="98">
        <v>0.75727963447570801</v>
      </c>
      <c r="C744" s="98">
        <f t="shared" si="11"/>
        <v>0.69757866002751345</v>
      </c>
      <c r="D744" s="98">
        <v>0.38276181583237767</v>
      </c>
    </row>
    <row r="745" spans="1:4">
      <c r="A745">
        <v>717</v>
      </c>
      <c r="B745" s="98">
        <v>0.6268649697303772</v>
      </c>
      <c r="C745" s="98">
        <f t="shared" si="11"/>
        <v>0.32356147248836098</v>
      </c>
      <c r="D745" s="98">
        <v>0.70136999819184054</v>
      </c>
    </row>
    <row r="746" spans="1:4">
      <c r="A746">
        <v>718</v>
      </c>
      <c r="B746" s="98">
        <v>0.64946472644805908</v>
      </c>
      <c r="C746" s="98">
        <f t="shared" si="11"/>
        <v>0.38387574124101304</v>
      </c>
      <c r="D746" s="98">
        <v>0.63589189929042755</v>
      </c>
    </row>
    <row r="747" spans="1:4">
      <c r="A747">
        <v>719</v>
      </c>
      <c r="B747" s="98">
        <v>0.31386846303939819</v>
      </c>
      <c r="C747" s="98">
        <f t="shared" si="11"/>
        <v>-0.48491459904565826</v>
      </c>
      <c r="D747" s="98">
        <v>2.5720032773463601</v>
      </c>
    </row>
    <row r="748" spans="1:4">
      <c r="A748">
        <v>720</v>
      </c>
      <c r="B748" s="98">
        <v>2.3344039916992188E-2</v>
      </c>
      <c r="C748" s="98">
        <f t="shared" si="11"/>
        <v>-1.9891189075883629</v>
      </c>
      <c r="D748" s="98">
        <v>-0.11026128357357141</v>
      </c>
    </row>
    <row r="749" spans="1:4">
      <c r="A749">
        <v>721</v>
      </c>
      <c r="B749" s="98">
        <v>0.67383891344070435</v>
      </c>
      <c r="C749" s="98">
        <f t="shared" si="11"/>
        <v>0.45053853742587202</v>
      </c>
      <c r="D749" s="98">
        <v>1.0494414756107142</v>
      </c>
    </row>
    <row r="750" spans="1:4">
      <c r="A750">
        <v>722</v>
      </c>
      <c r="B750" s="98">
        <v>0.90192019939422607</v>
      </c>
      <c r="C750" s="98">
        <f t="shared" si="11"/>
        <v>1.2925706352526722</v>
      </c>
      <c r="D750" s="98">
        <v>-0.60762117119326742</v>
      </c>
    </row>
    <row r="751" spans="1:4">
      <c r="A751">
        <v>723</v>
      </c>
      <c r="B751" s="98">
        <v>0.24019795656204224</v>
      </c>
      <c r="C751" s="98">
        <f t="shared" si="11"/>
        <v>-0.70566593003655698</v>
      </c>
      <c r="D751" s="98">
        <v>0.26777442507136212</v>
      </c>
    </row>
    <row r="752" spans="1:4">
      <c r="A752">
        <v>724</v>
      </c>
      <c r="B752" s="98">
        <v>0.51598775386810303</v>
      </c>
      <c r="C752" s="98">
        <f t="shared" si="11"/>
        <v>4.0086088992649239E-2</v>
      </c>
      <c r="D752" s="98">
        <v>-1.3502580917917728</v>
      </c>
    </row>
    <row r="753" spans="1:4">
      <c r="A753">
        <v>725</v>
      </c>
      <c r="B753" s="98">
        <v>0.65187758207321167</v>
      </c>
      <c r="C753" s="98">
        <f t="shared" si="11"/>
        <v>0.39039452485864112</v>
      </c>
      <c r="D753" s="98">
        <v>-0.53433963489688707</v>
      </c>
    </row>
    <row r="754" spans="1:4">
      <c r="A754">
        <v>726</v>
      </c>
      <c r="B754" s="98">
        <v>0.32556462287902832</v>
      </c>
      <c r="C754" s="98">
        <f t="shared" si="11"/>
        <v>-0.45219397843840636</v>
      </c>
      <c r="D754" s="98">
        <v>1.4156119680335693</v>
      </c>
    </row>
    <row r="755" spans="1:4">
      <c r="A755">
        <v>727</v>
      </c>
      <c r="B755" s="98">
        <v>0.19527965784072876</v>
      </c>
      <c r="C755" s="98">
        <f t="shared" si="11"/>
        <v>-0.85860348329990377</v>
      </c>
      <c r="D755" s="98">
        <v>-0.57630060406164874</v>
      </c>
    </row>
    <row r="756" spans="1:4">
      <c r="A756">
        <v>728</v>
      </c>
      <c r="B756" s="98">
        <v>0.67531502246856689</v>
      </c>
      <c r="C756" s="98">
        <f t="shared" si="11"/>
        <v>0.45463763427275827</v>
      </c>
      <c r="D756" s="98">
        <v>-0.94057866036237581</v>
      </c>
    </row>
    <row r="757" spans="1:4">
      <c r="A757">
        <v>729</v>
      </c>
      <c r="B757" s="98">
        <v>0.54364484548568726</v>
      </c>
      <c r="C757" s="98">
        <f t="shared" si="11"/>
        <v>0.10962055416665707</v>
      </c>
      <c r="D757" s="98">
        <v>0.8093676863251813</v>
      </c>
    </row>
    <row r="758" spans="1:4">
      <c r="A758">
        <v>730</v>
      </c>
      <c r="B758" s="98">
        <v>0.5113750696182251</v>
      </c>
      <c r="C758" s="98">
        <f t="shared" si="11"/>
        <v>2.8516935729125458E-2</v>
      </c>
      <c r="D758" s="98">
        <v>1.2256505897705146</v>
      </c>
    </row>
    <row r="759" spans="1:4">
      <c r="A759">
        <v>731</v>
      </c>
      <c r="B759" s="98">
        <v>0.98128753900527954</v>
      </c>
      <c r="C759" s="98">
        <f t="shared" si="11"/>
        <v>2.0810981627472405</v>
      </c>
      <c r="D759" s="98">
        <v>-0.9906897374479996</v>
      </c>
    </row>
    <row r="760" spans="1:4">
      <c r="A760">
        <v>732</v>
      </c>
      <c r="B760" s="98">
        <v>0.38683927059173584</v>
      </c>
      <c r="C760" s="98">
        <f t="shared" si="11"/>
        <v>-0.28756656539539621</v>
      </c>
      <c r="D760" s="98">
        <v>-0.47500233156403149</v>
      </c>
    </row>
    <row r="761" spans="1:4">
      <c r="A761">
        <v>733</v>
      </c>
      <c r="B761" s="98">
        <v>0.89363318681716919</v>
      </c>
      <c r="C761" s="98">
        <f t="shared" si="11"/>
        <v>1.2460838142744641</v>
      </c>
      <c r="D761" s="98">
        <v>-0.59249175409156551</v>
      </c>
    </row>
    <row r="762" spans="1:4">
      <c r="A762">
        <v>734</v>
      </c>
      <c r="B762" s="98">
        <v>0.35373449325561523</v>
      </c>
      <c r="C762" s="98">
        <f t="shared" si="11"/>
        <v>-0.37525747850825814</v>
      </c>
      <c r="D762" s="98">
        <v>-0.31633825316859865</v>
      </c>
    </row>
    <row r="763" spans="1:4">
      <c r="A763">
        <v>735</v>
      </c>
      <c r="B763" s="98">
        <v>8.386307954788208E-2</v>
      </c>
      <c r="C763" s="98">
        <f t="shared" si="11"/>
        <v>-1.3795470210418261</v>
      </c>
      <c r="D763" s="98">
        <v>-1.6573887070762594</v>
      </c>
    </row>
    <row r="764" spans="1:4">
      <c r="A764">
        <v>736</v>
      </c>
      <c r="B764" s="98">
        <v>0.40597474575042725</v>
      </c>
      <c r="C764" s="98">
        <f t="shared" si="11"/>
        <v>-0.23791181506110021</v>
      </c>
      <c r="D764" s="98">
        <v>1.042197795783361</v>
      </c>
    </row>
    <row r="765" spans="1:4">
      <c r="A765">
        <v>737</v>
      </c>
      <c r="B765" s="98">
        <v>0.56070536375045776</v>
      </c>
      <c r="C765" s="98">
        <f t="shared" si="11"/>
        <v>0.15275780670468928</v>
      </c>
      <c r="D765" s="98">
        <v>-1.4371378692998884</v>
      </c>
    </row>
    <row r="766" spans="1:4">
      <c r="A766">
        <v>738</v>
      </c>
      <c r="B766" s="98">
        <v>0.6920851469039917</v>
      </c>
      <c r="C766" s="98">
        <f t="shared" si="11"/>
        <v>0.501769448453946</v>
      </c>
      <c r="D766" s="98">
        <v>-0.40991049379695205</v>
      </c>
    </row>
    <row r="767" spans="1:4">
      <c r="A767">
        <v>739</v>
      </c>
      <c r="B767" s="98">
        <v>0.77078312635421753</v>
      </c>
      <c r="C767" s="98">
        <f t="shared" si="11"/>
        <v>0.74142837151651053</v>
      </c>
      <c r="D767" s="98">
        <v>-0.42671019562312273</v>
      </c>
    </row>
    <row r="768" spans="1:4">
      <c r="A768">
        <v>740</v>
      </c>
      <c r="B768" s="98">
        <v>0.94445836544036865</v>
      </c>
      <c r="C768" s="98">
        <f t="shared" si="11"/>
        <v>1.5933429827024974</v>
      </c>
      <c r="D768" s="98">
        <v>-7.3039165304432024E-2</v>
      </c>
    </row>
    <row r="769" spans="1:4">
      <c r="A769">
        <v>741</v>
      </c>
      <c r="B769" s="98">
        <v>0.83088833093643188</v>
      </c>
      <c r="C769" s="98">
        <f t="shared" si="11"/>
        <v>0.95768159937313591</v>
      </c>
      <c r="D769" s="98">
        <v>-0.84056477435297794</v>
      </c>
    </row>
    <row r="770" spans="1:4">
      <c r="A770">
        <v>742</v>
      </c>
      <c r="B770" s="98">
        <v>0.50997459888458252</v>
      </c>
      <c r="C770" s="98">
        <f t="shared" si="11"/>
        <v>2.5005217145184895E-2</v>
      </c>
      <c r="D770" s="98">
        <v>0.74633696857856013</v>
      </c>
    </row>
    <row r="771" spans="1:4">
      <c r="A771">
        <v>743</v>
      </c>
      <c r="B771" s="98">
        <v>0.11330503225326538</v>
      </c>
      <c r="C771" s="98">
        <f t="shared" si="11"/>
        <v>-1.209137395516618</v>
      </c>
      <c r="D771" s="98">
        <v>0.22052067932994043</v>
      </c>
    </row>
    <row r="772" spans="1:4">
      <c r="A772">
        <v>744</v>
      </c>
      <c r="B772" s="98">
        <v>0.36910593509674072</v>
      </c>
      <c r="C772" s="98">
        <f t="shared" si="11"/>
        <v>-0.33422223034074988</v>
      </c>
      <c r="D772" s="98">
        <v>-1.6087799243983065</v>
      </c>
    </row>
    <row r="773" spans="1:4">
      <c r="A773">
        <v>745</v>
      </c>
      <c r="B773" s="98">
        <v>0.56486004590988159</v>
      </c>
      <c r="C773" s="98">
        <f t="shared" si="11"/>
        <v>0.16330295398672157</v>
      </c>
      <c r="D773" s="98">
        <v>-0.95613395069746865</v>
      </c>
    </row>
    <row r="774" spans="1:4">
      <c r="A774">
        <v>746</v>
      </c>
      <c r="B774" s="98">
        <v>0.82201075553894043</v>
      </c>
      <c r="C774" s="98">
        <f t="shared" si="11"/>
        <v>0.92305510533018287</v>
      </c>
      <c r="D774" s="98">
        <v>0.48209435500431014</v>
      </c>
    </row>
    <row r="775" spans="1:4">
      <c r="A775">
        <v>747</v>
      </c>
      <c r="B775" s="98">
        <v>0.32297235727310181</v>
      </c>
      <c r="C775" s="98">
        <f t="shared" si="11"/>
        <v>-0.45940311111949828</v>
      </c>
      <c r="D775" s="98">
        <v>-0.45175961150515853</v>
      </c>
    </row>
    <row r="776" spans="1:4">
      <c r="A776">
        <v>748</v>
      </c>
      <c r="B776" s="98">
        <v>0.37067854404449463</v>
      </c>
      <c r="C776" s="98">
        <f t="shared" si="11"/>
        <v>-0.33005674213123137</v>
      </c>
      <c r="D776" s="98">
        <v>-0.54846031477330015</v>
      </c>
    </row>
    <row r="777" spans="1:4">
      <c r="A777">
        <v>749</v>
      </c>
      <c r="B777" s="98">
        <v>0.21058231592178345</v>
      </c>
      <c r="C777" s="98">
        <f t="shared" si="11"/>
        <v>-0.80440237181418628</v>
      </c>
      <c r="D777" s="98">
        <v>0.71668604254031576</v>
      </c>
    </row>
    <row r="778" spans="1:4">
      <c r="A778">
        <v>750</v>
      </c>
      <c r="B778" s="98">
        <v>0.52756059169769287</v>
      </c>
      <c r="C778" s="98">
        <f t="shared" si="11"/>
        <v>6.9139202481144107E-2</v>
      </c>
      <c r="D778" s="98">
        <v>-1.4693810406847325</v>
      </c>
    </row>
    <row r="779" spans="1:4">
      <c r="A779">
        <v>751</v>
      </c>
      <c r="B779" s="98">
        <v>0.32085627317428589</v>
      </c>
      <c r="C779" s="98">
        <f t="shared" si="11"/>
        <v>-0.46530570994297499</v>
      </c>
      <c r="D779" s="98">
        <v>-0.26593736136021634</v>
      </c>
    </row>
    <row r="780" spans="1:4">
      <c r="A780">
        <v>752</v>
      </c>
      <c r="B780" s="98">
        <v>0.76411652565002441</v>
      </c>
      <c r="C780" s="98">
        <f t="shared" si="11"/>
        <v>0.7196070847253182</v>
      </c>
      <c r="D780" s="98">
        <v>1.3887304953669524</v>
      </c>
    </row>
    <row r="781" spans="1:4">
      <c r="A781">
        <v>753</v>
      </c>
      <c r="B781" s="98">
        <v>0.82801109552383423</v>
      </c>
      <c r="C781" s="98">
        <f t="shared" si="11"/>
        <v>0.94633487856904919</v>
      </c>
      <c r="D781" s="98">
        <v>0.29235585792822516</v>
      </c>
    </row>
    <row r="782" spans="1:4">
      <c r="A782">
        <v>754</v>
      </c>
      <c r="B782" s="98">
        <v>0.80348026752471924</v>
      </c>
      <c r="C782" s="98">
        <f t="shared" si="11"/>
        <v>0.85411826442072758</v>
      </c>
      <c r="D782" s="98">
        <v>1.0744636676956758</v>
      </c>
    </row>
    <row r="783" spans="1:4">
      <c r="A783">
        <v>755</v>
      </c>
      <c r="B783" s="98">
        <v>0.36150354146957397</v>
      </c>
      <c r="C783" s="98">
        <f t="shared" si="11"/>
        <v>-0.35444277468424429</v>
      </c>
      <c r="D783" s="98">
        <v>-0.47062486939541154</v>
      </c>
    </row>
    <row r="784" spans="1:4">
      <c r="A784">
        <v>756</v>
      </c>
      <c r="B784" s="98">
        <v>0.17372035980224609</v>
      </c>
      <c r="C784" s="98">
        <f t="shared" si="11"/>
        <v>-0.93956503257711144</v>
      </c>
      <c r="D784" s="98">
        <v>7.7303653891236376E-2</v>
      </c>
    </row>
    <row r="785" spans="1:4">
      <c r="A785">
        <v>757</v>
      </c>
      <c r="B785" s="98">
        <v>0.82754546403884888</v>
      </c>
      <c r="C785" s="98">
        <f t="shared" si="11"/>
        <v>0.94451004351720369</v>
      </c>
      <c r="D785" s="98">
        <v>0.42937039705768987</v>
      </c>
    </row>
    <row r="786" spans="1:4">
      <c r="A786">
        <v>758</v>
      </c>
      <c r="B786" s="98">
        <v>0.98141050338745117</v>
      </c>
      <c r="C786" s="98">
        <f t="shared" si="11"/>
        <v>2.0837930782845402</v>
      </c>
      <c r="D786" s="98">
        <v>2.6777395611550507</v>
      </c>
    </row>
    <row r="787" spans="1:4">
      <c r="A787">
        <v>759</v>
      </c>
      <c r="B787" s="98">
        <v>0.87144178152084351</v>
      </c>
      <c r="C787" s="98">
        <f t="shared" si="11"/>
        <v>1.1332329583372347</v>
      </c>
      <c r="D787" s="98">
        <v>1.1494267837922882</v>
      </c>
    </row>
    <row r="788" spans="1:4">
      <c r="A788">
        <v>760</v>
      </c>
      <c r="B788" s="98">
        <v>0.22472381591796875</v>
      </c>
      <c r="C788" s="98">
        <f t="shared" si="11"/>
        <v>-0.75633622909642717</v>
      </c>
      <c r="D788" s="98">
        <v>1.8406991843283698</v>
      </c>
    </row>
    <row r="789" spans="1:4">
      <c r="A789">
        <v>761</v>
      </c>
      <c r="B789" s="98">
        <v>0.32838183641433716</v>
      </c>
      <c r="C789" s="98">
        <f t="shared" si="11"/>
        <v>-0.44438580731386124</v>
      </c>
      <c r="D789" s="98">
        <v>0.72582187992233715</v>
      </c>
    </row>
    <row r="790" spans="1:4">
      <c r="A790">
        <v>762</v>
      </c>
      <c r="B790" s="98">
        <v>0.75074565410614014</v>
      </c>
      <c r="C790" s="98">
        <f t="shared" si="11"/>
        <v>0.67683808403395784</v>
      </c>
      <c r="D790" s="98">
        <v>0.58701656440108718</v>
      </c>
    </row>
    <row r="791" spans="1:4">
      <c r="A791">
        <v>763</v>
      </c>
      <c r="B791" s="98">
        <v>0.18890255689620972</v>
      </c>
      <c r="C791" s="98">
        <f t="shared" si="11"/>
        <v>-0.88194765677382148</v>
      </c>
      <c r="D791" s="98">
        <v>0.50449943647434892</v>
      </c>
    </row>
    <row r="792" spans="1:4">
      <c r="A792">
        <v>764</v>
      </c>
      <c r="B792" s="98">
        <v>0.68770670890808105</v>
      </c>
      <c r="C792" s="98">
        <f t="shared" si="11"/>
        <v>0.48936037786899705</v>
      </c>
      <c r="D792" s="98">
        <v>1.998355269261725</v>
      </c>
    </row>
    <row r="793" spans="1:4">
      <c r="A793">
        <v>765</v>
      </c>
      <c r="B793" s="98">
        <v>0.64840036630630493</v>
      </c>
      <c r="C793" s="98">
        <f t="shared" si="11"/>
        <v>0.38100536525315642</v>
      </c>
      <c r="D793" s="98">
        <v>-0.31942461584017584</v>
      </c>
    </row>
    <row r="794" spans="1:4">
      <c r="A794">
        <v>766</v>
      </c>
      <c r="B794" s="98">
        <v>0.70521605014801025</v>
      </c>
      <c r="C794" s="98">
        <f t="shared" si="11"/>
        <v>0.53946230554970109</v>
      </c>
      <c r="D794" s="98">
        <v>0.61973648458511055</v>
      </c>
    </row>
    <row r="795" spans="1:4">
      <c r="A795">
        <v>767</v>
      </c>
      <c r="B795" s="98">
        <v>0.10399287939071655</v>
      </c>
      <c r="C795" s="98">
        <f t="shared" si="11"/>
        <v>-1.2591234134215139</v>
      </c>
      <c r="D795" s="98">
        <v>-1.1581837885477002</v>
      </c>
    </row>
    <row r="796" spans="1:4">
      <c r="A796">
        <v>768</v>
      </c>
      <c r="B796" s="98">
        <v>0.43811142444610596</v>
      </c>
      <c r="C796" s="98">
        <f t="shared" si="11"/>
        <v>-0.15575917819934831</v>
      </c>
      <c r="D796" s="98">
        <v>0.51493073544177392</v>
      </c>
    </row>
    <row r="797" spans="1:4">
      <c r="A797">
        <v>769</v>
      </c>
      <c r="B797" s="98">
        <v>9.6365034580230713E-2</v>
      </c>
      <c r="C797" s="98">
        <f t="shared" si="11"/>
        <v>-1.3025452229855736</v>
      </c>
      <c r="D797" s="98">
        <v>-0.61901392036869984</v>
      </c>
    </row>
    <row r="798" spans="1:4">
      <c r="A798">
        <v>770</v>
      </c>
      <c r="B798" s="98">
        <v>6.6435337066650391E-3</v>
      </c>
      <c r="C798" s="98">
        <f t="shared" ref="C798:C861" si="12">NORMINV(B798,0,1)</f>
        <v>-2.4759809323783792</v>
      </c>
      <c r="D798" s="98">
        <v>-0.63011181547054873</v>
      </c>
    </row>
    <row r="799" spans="1:4">
      <c r="A799">
        <v>771</v>
      </c>
      <c r="B799" s="98">
        <v>0.60400062799453735</v>
      </c>
      <c r="C799" s="98">
        <f t="shared" si="12"/>
        <v>0.26371602807086664</v>
      </c>
      <c r="D799" s="98">
        <v>-0.89892691536717628</v>
      </c>
    </row>
    <row r="800" spans="1:4">
      <c r="A800">
        <v>772</v>
      </c>
      <c r="B800" s="98">
        <v>0.82355761528015137</v>
      </c>
      <c r="C800" s="98">
        <f t="shared" si="12"/>
        <v>0.92900832989875948</v>
      </c>
      <c r="D800" s="98">
        <v>1.146513246883438</v>
      </c>
    </row>
    <row r="801" spans="1:4">
      <c r="A801">
        <v>773</v>
      </c>
      <c r="B801" s="98">
        <v>0.95503526926040649</v>
      </c>
      <c r="C801" s="98">
        <f t="shared" si="12"/>
        <v>1.695769918158482</v>
      </c>
      <c r="D801" s="98">
        <v>0.12228962536214935</v>
      </c>
    </row>
    <row r="802" spans="1:4">
      <c r="A802">
        <v>774</v>
      </c>
      <c r="B802" s="98">
        <v>0.11162054538726807</v>
      </c>
      <c r="C802" s="98">
        <f t="shared" si="12"/>
        <v>-1.2179549551714004</v>
      </c>
      <c r="D802" s="98">
        <v>-0.35896911767402545</v>
      </c>
    </row>
    <row r="803" spans="1:4">
      <c r="A803">
        <v>775</v>
      </c>
      <c r="B803" s="98">
        <v>0.62130588293075562</v>
      </c>
      <c r="C803" s="98">
        <f t="shared" si="12"/>
        <v>0.30891230779970835</v>
      </c>
      <c r="D803" s="98">
        <v>1.0096775035407242</v>
      </c>
    </row>
    <row r="804" spans="1:4">
      <c r="A804">
        <v>776</v>
      </c>
      <c r="B804" s="98">
        <v>1.0131359100341797E-2</v>
      </c>
      <c r="C804" s="98">
        <f t="shared" si="12"/>
        <v>-2.3214472449577817</v>
      </c>
      <c r="D804" s="98">
        <v>-0.50689250798313445</v>
      </c>
    </row>
    <row r="805" spans="1:4">
      <c r="A805">
        <v>777</v>
      </c>
      <c r="B805" s="98">
        <v>0.76544457674026489</v>
      </c>
      <c r="C805" s="98">
        <f t="shared" si="12"/>
        <v>0.72392652179856054</v>
      </c>
      <c r="D805" s="98">
        <v>-0.35280667139376209</v>
      </c>
    </row>
    <row r="806" spans="1:4">
      <c r="A806">
        <v>778</v>
      </c>
      <c r="B806" s="98">
        <v>6.8508148193359375E-2</v>
      </c>
      <c r="C806" s="98">
        <f t="shared" si="12"/>
        <v>-1.4869943757784401</v>
      </c>
      <c r="D806" s="98">
        <v>-2.0745561319844015</v>
      </c>
    </row>
    <row r="807" spans="1:4">
      <c r="A807">
        <v>779</v>
      </c>
      <c r="B807" s="98">
        <v>3.7280499935150146E-2</v>
      </c>
      <c r="C807" s="98">
        <f t="shared" si="12"/>
        <v>-1.7831554641871714</v>
      </c>
      <c r="D807" s="98">
        <v>-0.6933875048566428</v>
      </c>
    </row>
    <row r="808" spans="1:4">
      <c r="A808">
        <v>780</v>
      </c>
      <c r="B808" s="98">
        <v>0.30058681964874268</v>
      </c>
      <c r="C808" s="98">
        <f t="shared" si="12"/>
        <v>-0.52271350420965046</v>
      </c>
      <c r="D808" s="98">
        <v>0.41726036661848492</v>
      </c>
    </row>
    <row r="809" spans="1:4">
      <c r="A809">
        <v>781</v>
      </c>
      <c r="B809" s="98">
        <v>0.59782975912094116</v>
      </c>
      <c r="C809" s="98">
        <f t="shared" si="12"/>
        <v>0.24773366622802673</v>
      </c>
      <c r="D809" s="98">
        <v>0.45354836281269095</v>
      </c>
    </row>
    <row r="810" spans="1:4">
      <c r="A810">
        <v>782</v>
      </c>
      <c r="B810" s="98">
        <v>2.1428108215332031E-2</v>
      </c>
      <c r="C810" s="98">
        <f t="shared" si="12"/>
        <v>-2.0251085765814554</v>
      </c>
      <c r="D810" s="98">
        <v>1.5631225478727071</v>
      </c>
    </row>
    <row r="811" spans="1:4">
      <c r="A811">
        <v>783</v>
      </c>
      <c r="B811" s="98">
        <v>0.45917552709579468</v>
      </c>
      <c r="C811" s="98">
        <f t="shared" si="12"/>
        <v>-0.10251103517414717</v>
      </c>
      <c r="D811" s="98">
        <v>-1.0859668068693551</v>
      </c>
    </row>
    <row r="812" spans="1:4">
      <c r="A812">
        <v>784</v>
      </c>
      <c r="B812" s="98">
        <v>0.90132284164428711</v>
      </c>
      <c r="C812" s="98">
        <f t="shared" si="12"/>
        <v>1.28912591141774</v>
      </c>
      <c r="D812" s="98">
        <v>1.2522069457715554</v>
      </c>
    </row>
    <row r="813" spans="1:4">
      <c r="A813">
        <v>785</v>
      </c>
      <c r="B813" s="98">
        <v>0.47141546010971069</v>
      </c>
      <c r="C813" s="98">
        <f t="shared" si="12"/>
        <v>-7.171223360804943E-2</v>
      </c>
      <c r="D813" s="98">
        <v>1.7945887700653771</v>
      </c>
    </row>
    <row r="814" spans="1:4">
      <c r="A814">
        <v>786</v>
      </c>
      <c r="B814" s="98">
        <v>0.37895011901855469</v>
      </c>
      <c r="C814" s="98">
        <f t="shared" si="12"/>
        <v>-0.30823931601333687</v>
      </c>
      <c r="D814" s="98">
        <v>1.9147709630418499</v>
      </c>
    </row>
    <row r="815" spans="1:4">
      <c r="A815">
        <v>787</v>
      </c>
      <c r="B815" s="98">
        <v>0.12527221441268921</v>
      </c>
      <c r="C815" s="98">
        <f t="shared" si="12"/>
        <v>-1.1490280153412407</v>
      </c>
      <c r="D815" s="98">
        <v>1.5427871920887277</v>
      </c>
    </row>
    <row r="816" spans="1:4">
      <c r="A816">
        <v>788</v>
      </c>
      <c r="B816" s="98">
        <v>0.70479822158813477</v>
      </c>
      <c r="C816" s="98">
        <f t="shared" si="12"/>
        <v>0.53825131600200671</v>
      </c>
      <c r="D816" s="98">
        <v>0.74114076939885987</v>
      </c>
    </row>
    <row r="817" spans="1:4">
      <c r="A817">
        <v>789</v>
      </c>
      <c r="B817" s="98">
        <v>0.86197835206985474</v>
      </c>
      <c r="C817" s="98">
        <f t="shared" si="12"/>
        <v>1.0892508152240432</v>
      </c>
      <c r="D817" s="98">
        <v>0.15089881931980798</v>
      </c>
    </row>
    <row r="818" spans="1:4">
      <c r="A818">
        <v>790</v>
      </c>
      <c r="B818" s="98">
        <v>0.46229207515716553</v>
      </c>
      <c r="C818" s="98">
        <f t="shared" si="12"/>
        <v>-9.4660932017108332E-2</v>
      </c>
      <c r="D818" s="98">
        <v>1.1598716154739448</v>
      </c>
    </row>
    <row r="819" spans="1:4">
      <c r="A819">
        <v>791</v>
      </c>
      <c r="B819" s="98">
        <v>0.27353590726852417</v>
      </c>
      <c r="C819" s="98">
        <f t="shared" si="12"/>
        <v>-0.60215372614225215</v>
      </c>
      <c r="D819" s="98">
        <v>-0.57507241811652132</v>
      </c>
    </row>
    <row r="820" spans="1:4">
      <c r="A820">
        <v>792</v>
      </c>
      <c r="B820" s="98">
        <v>0.90016484260559082</v>
      </c>
      <c r="C820" s="98">
        <f t="shared" si="12"/>
        <v>1.2824914144966917</v>
      </c>
      <c r="D820" s="98">
        <v>3.5053950607659527E-2</v>
      </c>
    </row>
    <row r="821" spans="1:4">
      <c r="A821">
        <v>793</v>
      </c>
      <c r="B821" s="98">
        <v>0.97794872522354126</v>
      </c>
      <c r="C821" s="98">
        <f t="shared" si="12"/>
        <v>2.0131148384295825</v>
      </c>
      <c r="D821" s="98">
        <v>-0.34050518172043565</v>
      </c>
    </row>
    <row r="822" spans="1:4">
      <c r="A822">
        <v>794</v>
      </c>
      <c r="B822" s="98">
        <v>0.52762520313262939</v>
      </c>
      <c r="C822" s="98">
        <f t="shared" si="12"/>
        <v>6.9301547801057406E-2</v>
      </c>
      <c r="D822" s="98">
        <v>0.45613160712320611</v>
      </c>
    </row>
    <row r="823" spans="1:4">
      <c r="A823">
        <v>795</v>
      </c>
      <c r="B823" s="98">
        <v>0.95314496755599976</v>
      </c>
      <c r="C823" s="98">
        <f t="shared" si="12"/>
        <v>1.6761436177675733</v>
      </c>
      <c r="D823" s="98">
        <v>-1.2895604287587143</v>
      </c>
    </row>
    <row r="824" spans="1:4">
      <c r="A824">
        <v>796</v>
      </c>
      <c r="B824" s="98">
        <v>0.32342529296875</v>
      </c>
      <c r="C824" s="98">
        <f t="shared" si="12"/>
        <v>-0.45814177755272312</v>
      </c>
      <c r="D824" s="98">
        <v>-0.78926218306044427</v>
      </c>
    </row>
    <row r="825" spans="1:4">
      <c r="A825">
        <v>797</v>
      </c>
      <c r="B825" s="98">
        <v>0.39319556951522827</v>
      </c>
      <c r="C825" s="98">
        <f t="shared" si="12"/>
        <v>-0.2709998611767393</v>
      </c>
      <c r="D825" s="98">
        <v>1.1136552989312669</v>
      </c>
    </row>
    <row r="826" spans="1:4">
      <c r="A826">
        <v>798</v>
      </c>
      <c r="B826" s="98">
        <v>0.4181220531463623</v>
      </c>
      <c r="C826" s="98">
        <f t="shared" si="12"/>
        <v>-0.20670006543689867</v>
      </c>
      <c r="D826" s="98">
        <v>-0.10657828786732761</v>
      </c>
    </row>
    <row r="827" spans="1:4">
      <c r="A827">
        <v>799</v>
      </c>
      <c r="B827" s="98">
        <v>0.81523245573043823</v>
      </c>
      <c r="C827" s="98">
        <f t="shared" si="12"/>
        <v>0.89734455494910037</v>
      </c>
      <c r="D827" s="98">
        <v>0.52569047915802036</v>
      </c>
    </row>
    <row r="828" spans="1:4">
      <c r="A828">
        <v>800</v>
      </c>
      <c r="B828" s="98">
        <v>0.69427990913391113</v>
      </c>
      <c r="C828" s="98">
        <f t="shared" si="12"/>
        <v>0.50801876742334207</v>
      </c>
      <c r="D828" s="98">
        <v>1.4819401617731596</v>
      </c>
    </row>
    <row r="829" spans="1:4">
      <c r="A829">
        <v>801</v>
      </c>
      <c r="B829" s="98">
        <v>0.19895130395889282</v>
      </c>
      <c r="C829" s="98">
        <f t="shared" si="12"/>
        <v>-0.84537301182153712</v>
      </c>
      <c r="D829" s="98">
        <v>0.46282944335071319</v>
      </c>
    </row>
    <row r="830" spans="1:4">
      <c r="A830">
        <v>802</v>
      </c>
      <c r="B830" s="98">
        <v>0.99175429344177246</v>
      </c>
      <c r="C830" s="98">
        <f t="shared" si="12"/>
        <v>2.3978545315286159</v>
      </c>
      <c r="D830" s="98">
        <v>-0.4910747180978135</v>
      </c>
    </row>
    <row r="831" spans="1:4">
      <c r="A831">
        <v>803</v>
      </c>
      <c r="B831" s="98">
        <v>0.60610777139663696</v>
      </c>
      <c r="C831" s="98">
        <f t="shared" si="12"/>
        <v>0.26918872381912862</v>
      </c>
      <c r="D831" s="98">
        <v>-8.9141590268268456E-2</v>
      </c>
    </row>
    <row r="832" spans="1:4">
      <c r="A832">
        <v>804</v>
      </c>
      <c r="B832" s="98">
        <v>0.33832705020904541</v>
      </c>
      <c r="C832" s="98">
        <f t="shared" si="12"/>
        <v>-0.41703323220250049</v>
      </c>
      <c r="D832" s="98">
        <v>0.31588208571144893</v>
      </c>
    </row>
    <row r="833" spans="1:4">
      <c r="A833">
        <v>805</v>
      </c>
      <c r="B833" s="98">
        <v>0.74730056524276733</v>
      </c>
      <c r="C833" s="98">
        <f t="shared" si="12"/>
        <v>0.66601913540357194</v>
      </c>
      <c r="D833" s="98">
        <v>-0.22374300994417542</v>
      </c>
    </row>
    <row r="834" spans="1:4">
      <c r="A834">
        <v>806</v>
      </c>
      <c r="B834" s="98">
        <v>0.93737649917602539</v>
      </c>
      <c r="C834" s="98">
        <f t="shared" si="12"/>
        <v>1.5331171141005653</v>
      </c>
      <c r="D834" s="98">
        <v>-0.85380385714954199</v>
      </c>
    </row>
    <row r="835" spans="1:4">
      <c r="A835">
        <v>807</v>
      </c>
      <c r="B835" s="98">
        <v>0.84408360719680786</v>
      </c>
      <c r="C835" s="98">
        <f t="shared" si="12"/>
        <v>1.0113837709840117</v>
      </c>
      <c r="D835" s="98">
        <v>-2.2809707160990507</v>
      </c>
    </row>
    <row r="836" spans="1:4">
      <c r="A836">
        <v>808</v>
      </c>
      <c r="B836" s="98">
        <v>0.87904393672943115</v>
      </c>
      <c r="C836" s="98">
        <f t="shared" si="12"/>
        <v>1.1702207947243881</v>
      </c>
      <c r="D836" s="98">
        <v>-0.47884600509525355</v>
      </c>
    </row>
    <row r="837" spans="1:4">
      <c r="A837">
        <v>809</v>
      </c>
      <c r="B837" s="98">
        <v>0.81420439481735229</v>
      </c>
      <c r="C837" s="98">
        <f t="shared" si="12"/>
        <v>0.89349675267130313</v>
      </c>
      <c r="D837" s="98">
        <v>0.93974549861708945</v>
      </c>
    </row>
    <row r="838" spans="1:4">
      <c r="A838">
        <v>810</v>
      </c>
      <c r="B838" s="98">
        <v>0.89195942878723145</v>
      </c>
      <c r="C838" s="98">
        <f t="shared" si="12"/>
        <v>1.2370160006426916</v>
      </c>
      <c r="D838" s="98">
        <v>0.51521649065656339</v>
      </c>
    </row>
    <row r="839" spans="1:4">
      <c r="A839">
        <v>811</v>
      </c>
      <c r="B839" s="98">
        <v>0.27371364831924438</v>
      </c>
      <c r="C839" s="98">
        <f t="shared" si="12"/>
        <v>-0.60161972387993257</v>
      </c>
      <c r="D839" s="98">
        <v>-0.3903652880286328</v>
      </c>
    </row>
    <row r="840" spans="1:4">
      <c r="A840">
        <v>812</v>
      </c>
      <c r="B840" s="98">
        <v>0.53806602954864502</v>
      </c>
      <c r="C840" s="98">
        <f t="shared" si="12"/>
        <v>9.5562636742032137E-2</v>
      </c>
      <c r="D840" s="98">
        <v>0.21600467193172637</v>
      </c>
    </row>
    <row r="841" spans="1:4">
      <c r="A841">
        <v>813</v>
      </c>
      <c r="B841" s="98">
        <v>0.77671140432357788</v>
      </c>
      <c r="C841" s="98">
        <f t="shared" si="12"/>
        <v>0.7611337372254684</v>
      </c>
      <c r="D841" s="98">
        <v>1.4127117706208188</v>
      </c>
    </row>
    <row r="842" spans="1:4">
      <c r="A842">
        <v>814</v>
      </c>
      <c r="B842" s="98">
        <v>0.23947525024414063</v>
      </c>
      <c r="C842" s="98">
        <f t="shared" si="12"/>
        <v>-0.70799155718450224</v>
      </c>
      <c r="D842" s="98">
        <v>-0.49751303765316951</v>
      </c>
    </row>
    <row r="843" spans="1:4">
      <c r="A843">
        <v>815</v>
      </c>
      <c r="B843" s="98">
        <v>0.59024935960769653</v>
      </c>
      <c r="C843" s="98">
        <f t="shared" si="12"/>
        <v>0.22818646818709934</v>
      </c>
      <c r="D843" s="98">
        <v>-0.27961747764424932</v>
      </c>
    </row>
    <row r="844" spans="1:4">
      <c r="A844">
        <v>816</v>
      </c>
      <c r="B844" s="98">
        <v>0.85610377788543701</v>
      </c>
      <c r="C844" s="98">
        <f t="shared" si="12"/>
        <v>1.0629768623394709</v>
      </c>
      <c r="D844" s="98">
        <v>-0.71350087448946076</v>
      </c>
    </row>
    <row r="845" spans="1:4">
      <c r="A845">
        <v>817</v>
      </c>
      <c r="B845" s="98">
        <v>0.59813946485519409</v>
      </c>
      <c r="C845" s="98">
        <f t="shared" si="12"/>
        <v>0.24853425417518576</v>
      </c>
      <c r="D845" s="98">
        <v>-4.2302649464615559E-2</v>
      </c>
    </row>
    <row r="846" spans="1:4">
      <c r="A846">
        <v>818</v>
      </c>
      <c r="B846" s="98">
        <v>0.78284144401550293</v>
      </c>
      <c r="C846" s="98">
        <f t="shared" si="12"/>
        <v>0.78182553532370458</v>
      </c>
      <c r="D846" s="98">
        <v>-0.90582354314186619</v>
      </c>
    </row>
    <row r="847" spans="1:4">
      <c r="A847">
        <v>819</v>
      </c>
      <c r="B847" s="98">
        <v>0.17741876840591431</v>
      </c>
      <c r="C847" s="98">
        <f t="shared" si="12"/>
        <v>-0.92524681514990981</v>
      </c>
      <c r="D847" s="98">
        <v>1.0657552548151863</v>
      </c>
    </row>
    <row r="848" spans="1:4">
      <c r="A848">
        <v>820</v>
      </c>
      <c r="B848" s="98">
        <v>0.78500044345855713</v>
      </c>
      <c r="C848" s="98">
        <f t="shared" si="12"/>
        <v>0.78919317036415138</v>
      </c>
      <c r="D848" s="98">
        <v>-2.0446420870677966</v>
      </c>
    </row>
    <row r="849" spans="1:4">
      <c r="A849">
        <v>821</v>
      </c>
      <c r="B849" s="98">
        <v>0.14122051000595093</v>
      </c>
      <c r="C849" s="98">
        <f t="shared" si="12"/>
        <v>-1.0748519442785471</v>
      </c>
      <c r="D849" s="98">
        <v>1.3069140986658068</v>
      </c>
    </row>
    <row r="850" spans="1:4">
      <c r="A850">
        <v>822</v>
      </c>
      <c r="B850" s="98">
        <v>4.0795803070068359E-2</v>
      </c>
      <c r="C850" s="98">
        <f t="shared" si="12"/>
        <v>-1.7415249364240051</v>
      </c>
      <c r="D850" s="98">
        <v>-0.65769295953657725</v>
      </c>
    </row>
    <row r="851" spans="1:4">
      <c r="A851">
        <v>823</v>
      </c>
      <c r="B851" s="98">
        <v>0.93104833364486694</v>
      </c>
      <c r="C851" s="98">
        <f t="shared" si="12"/>
        <v>1.4836442156401028</v>
      </c>
      <c r="D851" s="98">
        <v>-0.73043800271942572</v>
      </c>
    </row>
    <row r="852" spans="1:4">
      <c r="A852">
        <v>824</v>
      </c>
      <c r="B852" s="98">
        <v>0.81568682193756104</v>
      </c>
      <c r="C852" s="98">
        <f t="shared" si="12"/>
        <v>0.89904938541578394</v>
      </c>
      <c r="D852" s="98">
        <v>-0.64777581890579994</v>
      </c>
    </row>
    <row r="853" spans="1:4">
      <c r="A853">
        <v>825</v>
      </c>
      <c r="B853" s="98">
        <v>0.33905547857284546</v>
      </c>
      <c r="C853" s="98">
        <f t="shared" si="12"/>
        <v>-0.41504227329922999</v>
      </c>
      <c r="D853" s="98">
        <v>-0.48512680608209224</v>
      </c>
    </row>
    <row r="854" spans="1:4">
      <c r="A854">
        <v>826</v>
      </c>
      <c r="B854" s="98">
        <v>0.44945406913757324</v>
      </c>
      <c r="C854" s="98">
        <f t="shared" si="12"/>
        <v>-0.12704075974796492</v>
      </c>
      <c r="D854" s="98">
        <v>-0.51424846952266967</v>
      </c>
    </row>
    <row r="855" spans="1:4">
      <c r="A855">
        <v>827</v>
      </c>
      <c r="B855" s="98">
        <v>0.65348726511001587</v>
      </c>
      <c r="C855" s="98">
        <f t="shared" si="12"/>
        <v>0.39475261314257509</v>
      </c>
      <c r="D855" s="98">
        <v>0.16785684700757589</v>
      </c>
    </row>
    <row r="856" spans="1:4">
      <c r="A856">
        <v>828</v>
      </c>
      <c r="B856" s="98">
        <v>0.11669790744781494</v>
      </c>
      <c r="C856" s="98">
        <f t="shared" si="12"/>
        <v>-1.1916568730171837</v>
      </c>
      <c r="D856" s="98">
        <v>-1.026840048469619</v>
      </c>
    </row>
    <row r="857" spans="1:4">
      <c r="A857">
        <v>829</v>
      </c>
      <c r="B857" s="98">
        <v>0.17562335729598999</v>
      </c>
      <c r="C857" s="98">
        <f t="shared" si="12"/>
        <v>-0.93217379736036388</v>
      </c>
      <c r="D857" s="98">
        <v>0.67502989235966104</v>
      </c>
    </row>
    <row r="858" spans="1:4">
      <c r="A858">
        <v>830</v>
      </c>
      <c r="B858" s="98">
        <v>0.37559080123901367</v>
      </c>
      <c r="C858" s="98">
        <f t="shared" si="12"/>
        <v>-0.31708171025991089</v>
      </c>
      <c r="D858" s="98">
        <v>1.5687509657574747</v>
      </c>
    </row>
    <row r="859" spans="1:4">
      <c r="A859">
        <v>831</v>
      </c>
      <c r="B859" s="98">
        <v>0.93319588899612427</v>
      </c>
      <c r="C859" s="98">
        <f t="shared" si="12"/>
        <v>1.5000238602351128</v>
      </c>
      <c r="D859" s="98">
        <v>-0.68458998207749289</v>
      </c>
    </row>
    <row r="860" spans="1:4">
      <c r="A860">
        <v>832</v>
      </c>
      <c r="B860" s="98">
        <v>0.60875451564788818</v>
      </c>
      <c r="C860" s="98">
        <f t="shared" si="12"/>
        <v>0.2760743400956665</v>
      </c>
      <c r="D860" s="98">
        <v>-0.65230362615699522</v>
      </c>
    </row>
    <row r="861" spans="1:4">
      <c r="A861">
        <v>833</v>
      </c>
      <c r="B861" s="98">
        <v>0.14303332567214966</v>
      </c>
      <c r="C861" s="98">
        <f t="shared" si="12"/>
        <v>-1.066790052872209</v>
      </c>
      <c r="D861" s="98">
        <v>1.3799596137469941</v>
      </c>
    </row>
    <row r="862" spans="1:4">
      <c r="A862">
        <v>834</v>
      </c>
      <c r="B862" s="98">
        <v>0.98953044414520264</v>
      </c>
      <c r="C862" s="98">
        <f t="shared" ref="C862:C925" si="13">NORMINV(B862,0,1)</f>
        <v>2.3090805524712974</v>
      </c>
      <c r="D862" s="98">
        <v>0.16797196156187499</v>
      </c>
    </row>
    <row r="863" spans="1:4">
      <c r="A863">
        <v>835</v>
      </c>
      <c r="B863" s="98">
        <v>0.41358822584152222</v>
      </c>
      <c r="C863" s="98">
        <f t="shared" si="13"/>
        <v>-0.21832428812987109</v>
      </c>
      <c r="D863" s="98">
        <v>5.2633644808197683E-2</v>
      </c>
    </row>
    <row r="864" spans="1:4">
      <c r="A864">
        <v>836</v>
      </c>
      <c r="B864" s="98">
        <v>0.48056864738464355</v>
      </c>
      <c r="C864" s="98">
        <f t="shared" si="13"/>
        <v>-4.8726452617879557E-2</v>
      </c>
      <c r="D864" s="98">
        <v>-0.26750144521614322</v>
      </c>
    </row>
    <row r="865" spans="1:4">
      <c r="A865">
        <v>837</v>
      </c>
      <c r="B865" s="98">
        <v>3.8003027439117432E-2</v>
      </c>
      <c r="C865" s="98">
        <f t="shared" si="13"/>
        <v>-1.7743452814025285</v>
      </c>
      <c r="D865" s="98">
        <v>0.15594797156868148</v>
      </c>
    </row>
    <row r="866" spans="1:4">
      <c r="A866">
        <v>838</v>
      </c>
      <c r="B866" s="98">
        <v>0.67031919956207275</v>
      </c>
      <c r="C866" s="98">
        <f t="shared" si="13"/>
        <v>0.44079474135614893</v>
      </c>
      <c r="D866" s="98">
        <v>0.27503933288704474</v>
      </c>
    </row>
    <row r="867" spans="1:4">
      <c r="A867">
        <v>839</v>
      </c>
      <c r="B867" s="98">
        <v>0.96808284521102905</v>
      </c>
      <c r="C867" s="98">
        <f t="shared" si="13"/>
        <v>1.8533353348084785</v>
      </c>
      <c r="D867" s="98">
        <v>-0.33947486139117472</v>
      </c>
    </row>
    <row r="868" spans="1:4">
      <c r="A868">
        <v>840</v>
      </c>
      <c r="B868" s="98">
        <v>0.99285650253295898</v>
      </c>
      <c r="C868" s="98">
        <f t="shared" si="13"/>
        <v>2.4499653833552877</v>
      </c>
      <c r="D868" s="98">
        <v>0.47828545971273856</v>
      </c>
    </row>
    <row r="869" spans="1:4">
      <c r="A869">
        <v>841</v>
      </c>
      <c r="B869" s="98">
        <v>0.25607961416244507</v>
      </c>
      <c r="C869" s="98">
        <f t="shared" si="13"/>
        <v>-0.65547927095499925</v>
      </c>
      <c r="D869" s="98">
        <v>0.70737113484442771</v>
      </c>
    </row>
    <row r="870" spans="1:4">
      <c r="A870">
        <v>842</v>
      </c>
      <c r="B870" s="98">
        <v>0.15004920959472656</v>
      </c>
      <c r="C870" s="98">
        <f t="shared" si="13"/>
        <v>-1.0362223564171611</v>
      </c>
      <c r="D870" s="98">
        <v>-8.8589472395367005E-2</v>
      </c>
    </row>
    <row r="871" spans="1:4">
      <c r="A871">
        <v>843</v>
      </c>
      <c r="B871" s="98">
        <v>0.95983058214187622</v>
      </c>
      <c r="C871" s="98">
        <f t="shared" si="13"/>
        <v>1.7487234430617653</v>
      </c>
      <c r="D871" s="98">
        <v>-0.44791328191315594</v>
      </c>
    </row>
    <row r="872" spans="1:4">
      <c r="A872">
        <v>844</v>
      </c>
      <c r="B872" s="98">
        <v>9.0301394462585449E-2</v>
      </c>
      <c r="C872" s="98">
        <f t="shared" si="13"/>
        <v>-1.3389013536977434</v>
      </c>
      <c r="D872" s="98">
        <v>-4.0715907871543666E-2</v>
      </c>
    </row>
    <row r="873" spans="1:4">
      <c r="A873">
        <v>845</v>
      </c>
      <c r="B873" s="98">
        <v>0.52675694227218628</v>
      </c>
      <c r="C873" s="98">
        <f t="shared" si="13"/>
        <v>6.7120071153360356E-2</v>
      </c>
      <c r="D873" s="98">
        <v>-0.42485354843731787</v>
      </c>
    </row>
    <row r="874" spans="1:4">
      <c r="A874">
        <v>846</v>
      </c>
      <c r="B874" s="98">
        <v>0.90743517875671387</v>
      </c>
      <c r="C874" s="98">
        <f t="shared" si="13"/>
        <v>1.3251251599946994</v>
      </c>
      <c r="D874" s="98">
        <v>1.8267408274998223</v>
      </c>
    </row>
    <row r="875" spans="1:4">
      <c r="A875">
        <v>847</v>
      </c>
      <c r="B875" s="98">
        <v>0.48721605539321899</v>
      </c>
      <c r="C875" s="98">
        <f t="shared" si="13"/>
        <v>-3.2050083183408636E-2</v>
      </c>
      <c r="D875" s="98">
        <v>-1.3602963444135083</v>
      </c>
    </row>
    <row r="876" spans="1:4">
      <c r="A876">
        <v>848</v>
      </c>
      <c r="B876" s="98">
        <v>0.22711431980133057</v>
      </c>
      <c r="C876" s="98">
        <f t="shared" si="13"/>
        <v>-0.74838388549260026</v>
      </c>
      <c r="D876" s="98">
        <v>-1.0976642575972966</v>
      </c>
    </row>
    <row r="877" spans="1:4">
      <c r="A877">
        <v>849</v>
      </c>
      <c r="B877" s="98">
        <v>0.42484897375106812</v>
      </c>
      <c r="C877" s="98">
        <f t="shared" si="13"/>
        <v>-0.18950383775450647</v>
      </c>
      <c r="D877" s="98">
        <v>0.31108740038182098</v>
      </c>
    </row>
    <row r="878" spans="1:4">
      <c r="A878">
        <v>850</v>
      </c>
      <c r="B878" s="98">
        <v>0.4238429069519043</v>
      </c>
      <c r="C878" s="98">
        <f t="shared" si="13"/>
        <v>-0.1920719915735975</v>
      </c>
      <c r="D878" s="98">
        <v>1.1734974319268787</v>
      </c>
    </row>
    <row r="879" spans="1:4">
      <c r="A879">
        <v>851</v>
      </c>
      <c r="B879" s="98">
        <v>0.64210778474807739</v>
      </c>
      <c r="C879" s="98">
        <f t="shared" si="13"/>
        <v>0.3640985353409058</v>
      </c>
      <c r="D879" s="98">
        <v>-0.48401045971501466</v>
      </c>
    </row>
    <row r="880" spans="1:4">
      <c r="A880">
        <v>852</v>
      </c>
      <c r="B880" s="98">
        <v>0.15172708034515381</v>
      </c>
      <c r="C880" s="98">
        <f t="shared" si="13"/>
        <v>-1.0290542972690973</v>
      </c>
      <c r="D880" s="98">
        <v>-2.0283079376631177</v>
      </c>
    </row>
    <row r="881" spans="1:4">
      <c r="A881">
        <v>853</v>
      </c>
      <c r="B881" s="98">
        <v>0.34523135423660278</v>
      </c>
      <c r="C881" s="98">
        <f t="shared" si="13"/>
        <v>-0.39822721262231625</v>
      </c>
      <c r="D881" s="98">
        <v>-1.7381085506910943</v>
      </c>
    </row>
    <row r="882" spans="1:4">
      <c r="A882">
        <v>854</v>
      </c>
      <c r="B882" s="98">
        <v>0.58877742290496826</v>
      </c>
      <c r="C882" s="98">
        <f t="shared" si="13"/>
        <v>0.22440117794801007</v>
      </c>
      <c r="D882" s="98">
        <v>1.5320094361902914</v>
      </c>
    </row>
    <row r="883" spans="1:4">
      <c r="A883">
        <v>855</v>
      </c>
      <c r="B883" s="98">
        <v>0.48037701845169067</v>
      </c>
      <c r="C883" s="98">
        <f t="shared" si="13"/>
        <v>-4.9207371342069435E-2</v>
      </c>
      <c r="D883" s="98">
        <v>0.38706193990441096</v>
      </c>
    </row>
    <row r="884" spans="1:4">
      <c r="A884">
        <v>856</v>
      </c>
      <c r="B884" s="98">
        <v>0.65810620784759521</v>
      </c>
      <c r="C884" s="98">
        <f t="shared" si="13"/>
        <v>0.4073001068760424</v>
      </c>
      <c r="D884" s="98">
        <v>-1.1999541141005596</v>
      </c>
    </row>
    <row r="885" spans="1:4">
      <c r="A885">
        <v>857</v>
      </c>
      <c r="B885" s="98">
        <v>0.88694494962692261</v>
      </c>
      <c r="C885" s="98">
        <f t="shared" si="13"/>
        <v>1.2104400003846381</v>
      </c>
      <c r="D885" s="98">
        <v>0.46426065919604653</v>
      </c>
    </row>
    <row r="886" spans="1:4">
      <c r="A886">
        <v>858</v>
      </c>
      <c r="B886" s="98">
        <v>2.7573823928833008E-2</v>
      </c>
      <c r="C886" s="98">
        <f t="shared" si="13"/>
        <v>-1.9177111443548347</v>
      </c>
      <c r="D886" s="98">
        <v>-0.27270168664369865</v>
      </c>
    </row>
    <row r="887" spans="1:4">
      <c r="A887">
        <v>859</v>
      </c>
      <c r="B887" s="98">
        <v>0.9226718544960022</v>
      </c>
      <c r="C887" s="98">
        <f t="shared" si="13"/>
        <v>1.4232755530384393</v>
      </c>
      <c r="D887" s="98">
        <v>0.45500856551063379</v>
      </c>
    </row>
    <row r="888" spans="1:4">
      <c r="A888">
        <v>860</v>
      </c>
      <c r="B888" s="98">
        <v>0.45187926292419434</v>
      </c>
      <c r="C888" s="98">
        <f t="shared" si="13"/>
        <v>-0.12091479195800667</v>
      </c>
      <c r="D888" s="98">
        <v>0.70829875567026468</v>
      </c>
    </row>
    <row r="889" spans="1:4">
      <c r="A889">
        <v>861</v>
      </c>
      <c r="B889" s="98">
        <v>0.53038984537124634</v>
      </c>
      <c r="C889" s="98">
        <f t="shared" si="13"/>
        <v>7.6249867937139532E-2</v>
      </c>
      <c r="D889" s="98">
        <v>-1.3692728917934645</v>
      </c>
    </row>
    <row r="890" spans="1:4">
      <c r="A890">
        <v>862</v>
      </c>
      <c r="B890" s="98">
        <v>0.99599230289459229</v>
      </c>
      <c r="C890" s="98">
        <f t="shared" si="13"/>
        <v>2.6514206609248139</v>
      </c>
      <c r="D890" s="98">
        <v>-0.38427919849254483</v>
      </c>
    </row>
    <row r="891" spans="1:4">
      <c r="A891">
        <v>863</v>
      </c>
      <c r="B891" s="98">
        <v>0.89703422784805298</v>
      </c>
      <c r="C891" s="98">
        <f t="shared" si="13"/>
        <v>1.26483203713127</v>
      </c>
      <c r="D891" s="98">
        <v>0.17894102274988141</v>
      </c>
    </row>
    <row r="892" spans="1:4">
      <c r="A892">
        <v>864</v>
      </c>
      <c r="B892" s="98">
        <v>0.41641819477081299</v>
      </c>
      <c r="C892" s="98">
        <f t="shared" si="13"/>
        <v>-0.21106520683489471</v>
      </c>
      <c r="D892" s="98">
        <v>-0.19344390619976121</v>
      </c>
    </row>
    <row r="893" spans="1:4">
      <c r="A893">
        <v>865</v>
      </c>
      <c r="B893" s="98">
        <v>0.94499200582504272</v>
      </c>
      <c r="C893" s="98">
        <f t="shared" si="13"/>
        <v>1.5981212809912253</v>
      </c>
      <c r="D893" s="98">
        <v>-0.55465461223250467</v>
      </c>
    </row>
    <row r="894" spans="1:4">
      <c r="A894">
        <v>866</v>
      </c>
      <c r="B894" s="98">
        <v>0.83359432220458984</v>
      </c>
      <c r="C894" s="98">
        <f t="shared" si="13"/>
        <v>0.96846667274771003</v>
      </c>
      <c r="D894" s="98">
        <v>-1.2383364284264728</v>
      </c>
    </row>
    <row r="895" spans="1:4">
      <c r="A895">
        <v>867</v>
      </c>
      <c r="B895" s="98">
        <v>0.83126097917556763</v>
      </c>
      <c r="C895" s="98">
        <f t="shared" si="13"/>
        <v>0.95916021090518255</v>
      </c>
      <c r="D895" s="98">
        <v>-6.096466809829694E-2</v>
      </c>
    </row>
    <row r="896" spans="1:4">
      <c r="A896">
        <v>868</v>
      </c>
      <c r="B896" s="98">
        <v>0.72867286205291748</v>
      </c>
      <c r="C896" s="98">
        <f t="shared" si="13"/>
        <v>0.60880412983736854</v>
      </c>
      <c r="D896" s="98">
        <v>-0.30234645831886442</v>
      </c>
    </row>
    <row r="897" spans="1:4">
      <c r="A897">
        <v>869</v>
      </c>
      <c r="B897" s="98">
        <v>0.78193825483322144</v>
      </c>
      <c r="C897" s="98">
        <f t="shared" si="13"/>
        <v>0.77875595065541425</v>
      </c>
      <c r="D897" s="98">
        <v>1.3639371695717446</v>
      </c>
    </row>
    <row r="898" spans="1:4">
      <c r="A898">
        <v>870</v>
      </c>
      <c r="B898" s="98">
        <v>0.62926995754241943</v>
      </c>
      <c r="C898" s="98">
        <f t="shared" si="13"/>
        <v>0.3299204315781703</v>
      </c>
      <c r="D898" s="98">
        <v>1.8409075518773075</v>
      </c>
    </row>
    <row r="899" spans="1:4">
      <c r="A899">
        <v>871</v>
      </c>
      <c r="B899" s="98">
        <v>0.9790002703666687</v>
      </c>
      <c r="C899" s="98">
        <f t="shared" si="13"/>
        <v>2.0335255071410665</v>
      </c>
      <c r="D899" s="98">
        <v>0.38454955997477785</v>
      </c>
    </row>
    <row r="900" spans="1:4">
      <c r="A900">
        <v>872</v>
      </c>
      <c r="B900" s="98">
        <v>7.8212976455688477E-2</v>
      </c>
      <c r="C900" s="98">
        <f t="shared" si="13"/>
        <v>-1.4171948984831508</v>
      </c>
      <c r="D900" s="98">
        <v>0.20634928867168786</v>
      </c>
    </row>
    <row r="901" spans="1:4">
      <c r="A901">
        <v>873</v>
      </c>
      <c r="B901" s="98">
        <v>7.9828798770904541E-2</v>
      </c>
      <c r="C901" s="98">
        <f t="shared" si="13"/>
        <v>-1.4062240744169334</v>
      </c>
      <c r="D901" s="98">
        <v>-1.3856892349812358</v>
      </c>
    </row>
    <row r="902" spans="1:4">
      <c r="A902">
        <v>874</v>
      </c>
      <c r="B902" s="98">
        <v>0.2290116548538208</v>
      </c>
      <c r="C902" s="98">
        <f t="shared" si="13"/>
        <v>-0.7421056783458172</v>
      </c>
      <c r="D902" s="98">
        <v>-0.20329880641089687</v>
      </c>
    </row>
    <row r="903" spans="1:4">
      <c r="A903">
        <v>875</v>
      </c>
      <c r="B903" s="98">
        <v>0.80770295858383179</v>
      </c>
      <c r="C903" s="98">
        <f t="shared" si="13"/>
        <v>0.86946273377354544</v>
      </c>
      <c r="D903" s="98">
        <v>0.62351869539960381</v>
      </c>
    </row>
    <row r="904" spans="1:4">
      <c r="A904">
        <v>876</v>
      </c>
      <c r="B904" s="98">
        <v>0.729042649269104</v>
      </c>
      <c r="C904" s="98">
        <f t="shared" si="13"/>
        <v>0.6099201535878731</v>
      </c>
      <c r="D904" s="98">
        <v>-0.36662847689245553</v>
      </c>
    </row>
    <row r="905" spans="1:4">
      <c r="A905">
        <v>877</v>
      </c>
      <c r="B905" s="98">
        <v>0.8434872031211853</v>
      </c>
      <c r="C905" s="98">
        <f t="shared" si="13"/>
        <v>1.0088937482952309</v>
      </c>
      <c r="D905" s="98">
        <v>-0.51243983181131081</v>
      </c>
    </row>
    <row r="906" spans="1:4">
      <c r="A906">
        <v>878</v>
      </c>
      <c r="B906" s="98">
        <v>0.91162633895874023</v>
      </c>
      <c r="C906" s="98">
        <f t="shared" si="13"/>
        <v>1.3508380323275815</v>
      </c>
      <c r="D906" s="98">
        <v>0.73144840742927042</v>
      </c>
    </row>
    <row r="907" spans="1:4">
      <c r="A907">
        <v>879</v>
      </c>
      <c r="B907" s="98">
        <v>0.11453324556350708</v>
      </c>
      <c r="C907" s="98">
        <f t="shared" si="13"/>
        <v>-1.2027670185398351</v>
      </c>
      <c r="D907" s="98">
        <v>-0.5216903747732935</v>
      </c>
    </row>
    <row r="908" spans="1:4">
      <c r="A908">
        <v>880</v>
      </c>
      <c r="B908" s="98">
        <v>4.6630263328552246E-2</v>
      </c>
      <c r="C908" s="98">
        <f t="shared" si="13"/>
        <v>-1.6784436278921409</v>
      </c>
      <c r="D908" s="98">
        <v>-1.1596338492471608E-2</v>
      </c>
    </row>
    <row r="909" spans="1:4">
      <c r="A909">
        <v>881</v>
      </c>
      <c r="B909" s="98">
        <v>0.60675638914108276</v>
      </c>
      <c r="C909" s="98">
        <f t="shared" si="13"/>
        <v>0.27087493736592339</v>
      </c>
      <c r="D909" s="98">
        <v>-1.4152104905058518</v>
      </c>
    </row>
    <row r="910" spans="1:4">
      <c r="A910">
        <v>882</v>
      </c>
      <c r="B910" s="98">
        <v>0.92371964454650879</v>
      </c>
      <c r="C910" s="98">
        <f t="shared" si="13"/>
        <v>1.430544822694183</v>
      </c>
      <c r="D910" s="98">
        <v>-0.5260735135853728</v>
      </c>
    </row>
    <row r="911" spans="1:4">
      <c r="A911">
        <v>883</v>
      </c>
      <c r="B911" s="98">
        <v>0.7882581353187561</v>
      </c>
      <c r="C911" s="98">
        <f t="shared" si="13"/>
        <v>0.80039197451864563</v>
      </c>
      <c r="D911" s="98">
        <v>0.15066851113346108</v>
      </c>
    </row>
    <row r="912" spans="1:4">
      <c r="A912">
        <v>884</v>
      </c>
      <c r="B912" s="98">
        <v>0.59946644306182861</v>
      </c>
      <c r="C912" s="98">
        <f t="shared" si="13"/>
        <v>0.25196629791336489</v>
      </c>
      <c r="D912" s="98">
        <v>0.34666730421032621</v>
      </c>
    </row>
    <row r="913" spans="1:4">
      <c r="A913">
        <v>885</v>
      </c>
      <c r="B913" s="98">
        <v>0.35815805196762085</v>
      </c>
      <c r="C913" s="98">
        <f t="shared" si="13"/>
        <v>-0.36338660850299942</v>
      </c>
      <c r="D913" s="98">
        <v>-0.65945686043924956</v>
      </c>
    </row>
    <row r="914" spans="1:4">
      <c r="A914">
        <v>886</v>
      </c>
      <c r="B914" s="98">
        <v>0.75171589851379395</v>
      </c>
      <c r="C914" s="98">
        <f t="shared" si="13"/>
        <v>0.67989933463100261</v>
      </c>
      <c r="D914" s="98">
        <v>-0.24723436543894364</v>
      </c>
    </row>
    <row r="915" spans="1:4">
      <c r="A915">
        <v>887</v>
      </c>
      <c r="B915" s="98">
        <v>0.83054131269454956</v>
      </c>
      <c r="C915" s="98">
        <f t="shared" si="13"/>
        <v>0.95630656401488334</v>
      </c>
      <c r="D915" s="98">
        <v>-1.7175454315684129</v>
      </c>
    </row>
    <row r="916" spans="1:4">
      <c r="A916">
        <v>888</v>
      </c>
      <c r="B916" s="98">
        <v>0.40740561485290527</v>
      </c>
      <c r="C916" s="98">
        <f t="shared" si="13"/>
        <v>-0.2342238121380309</v>
      </c>
      <c r="D916" s="98">
        <v>-0.38313342675384615</v>
      </c>
    </row>
    <row r="917" spans="1:4">
      <c r="A917">
        <v>889</v>
      </c>
      <c r="B917" s="98">
        <v>3.0006468296051025E-2</v>
      </c>
      <c r="C917" s="98">
        <f t="shared" si="13"/>
        <v>-1.8806985532954301</v>
      </c>
      <c r="D917" s="98">
        <v>0.22871713725335469</v>
      </c>
    </row>
    <row r="918" spans="1:4">
      <c r="A918">
        <v>890</v>
      </c>
      <c r="B918" s="98">
        <v>0.43798410892486572</v>
      </c>
      <c r="C918" s="98">
        <f t="shared" si="13"/>
        <v>-0.15608221381870047</v>
      </c>
      <c r="D918" s="98">
        <v>1.7921903669438859</v>
      </c>
    </row>
    <row r="919" spans="1:4">
      <c r="A919">
        <v>891</v>
      </c>
      <c r="B919" s="98">
        <v>0.3436693549156189</v>
      </c>
      <c r="C919" s="98">
        <f t="shared" si="13"/>
        <v>-0.40246925622090851</v>
      </c>
      <c r="D919" s="98">
        <v>-0.4534642365745985</v>
      </c>
    </row>
    <row r="920" spans="1:4">
      <c r="A920">
        <v>892</v>
      </c>
      <c r="B920" s="98">
        <v>8.3466053009033203E-2</v>
      </c>
      <c r="C920" s="98">
        <f t="shared" si="13"/>
        <v>-1.3821289658365297</v>
      </c>
      <c r="D920" s="98">
        <v>-0.86724422317292915</v>
      </c>
    </row>
    <row r="921" spans="1:4">
      <c r="A921">
        <v>893</v>
      </c>
      <c r="B921" s="98">
        <v>0.20240002870559692</v>
      </c>
      <c r="C921" s="98">
        <f t="shared" si="13"/>
        <v>-0.83307921081184866</v>
      </c>
      <c r="D921" s="98">
        <v>-0.78736711262113834</v>
      </c>
    </row>
    <row r="922" spans="1:4">
      <c r="A922">
        <v>894</v>
      </c>
      <c r="B922" s="98">
        <v>3.0672430992126465E-2</v>
      </c>
      <c r="C922" s="98">
        <f t="shared" si="13"/>
        <v>-1.8710015802538182</v>
      </c>
      <c r="D922" s="98">
        <v>-1.5377110626607113</v>
      </c>
    </row>
    <row r="923" spans="1:4">
      <c r="A923">
        <v>895</v>
      </c>
      <c r="B923" s="98">
        <v>0.99295645952224731</v>
      </c>
      <c r="C923" s="98">
        <f t="shared" si="13"/>
        <v>2.4550351594848503</v>
      </c>
      <c r="D923" s="98">
        <v>5.9651612878765241E-2</v>
      </c>
    </row>
    <row r="924" spans="1:4">
      <c r="A924">
        <v>896</v>
      </c>
      <c r="B924" s="98">
        <v>0.95078551769256592</v>
      </c>
      <c r="C924" s="98">
        <f t="shared" si="13"/>
        <v>1.6525181679232224</v>
      </c>
      <c r="D924" s="98">
        <v>-1.0218431471581697</v>
      </c>
    </row>
    <row r="925" spans="1:4">
      <c r="A925">
        <v>897</v>
      </c>
      <c r="B925" s="98">
        <v>0.91184967756271362</v>
      </c>
      <c r="C925" s="98">
        <f t="shared" si="13"/>
        <v>1.3522334539989735</v>
      </c>
      <c r="D925" s="98">
        <v>5.662792775098862E-2</v>
      </c>
    </row>
    <row r="926" spans="1:4">
      <c r="A926">
        <v>898</v>
      </c>
      <c r="B926" s="98">
        <v>0.81950163841247559</v>
      </c>
      <c r="C926" s="98">
        <f t="shared" ref="C926:C989" si="14">NORMINV(B926,0,1)</f>
        <v>0.91346749198425181</v>
      </c>
      <c r="D926" s="98">
        <v>1.2268977925135562</v>
      </c>
    </row>
    <row r="927" spans="1:4">
      <c r="A927">
        <v>899</v>
      </c>
      <c r="B927" s="98">
        <v>0.50302320718765259</v>
      </c>
      <c r="C927" s="98">
        <f t="shared" si="14"/>
        <v>7.5781291488652511E-3</v>
      </c>
      <c r="D927" s="98">
        <v>-4.4210893950586962</v>
      </c>
    </row>
    <row r="928" spans="1:4">
      <c r="A928">
        <v>900</v>
      </c>
      <c r="B928" s="98">
        <v>0.47707903385162354</v>
      </c>
      <c r="C928" s="98">
        <f t="shared" si="14"/>
        <v>-5.7485987878651383E-2</v>
      </c>
      <c r="D928" s="98">
        <v>1.199451730267096</v>
      </c>
    </row>
    <row r="929" spans="1:4">
      <c r="A929">
        <v>901</v>
      </c>
      <c r="B929" s="98">
        <v>0.40334075689315796</v>
      </c>
      <c r="C929" s="98">
        <f t="shared" si="14"/>
        <v>-0.2447093165318753</v>
      </c>
      <c r="D929" s="98">
        <v>0.91183848371085807</v>
      </c>
    </row>
    <row r="930" spans="1:4">
      <c r="A930">
        <v>902</v>
      </c>
      <c r="B930" s="98">
        <v>0.36101007461547852</v>
      </c>
      <c r="C930" s="98">
        <f t="shared" si="14"/>
        <v>-0.35576021084334336</v>
      </c>
      <c r="D930" s="98">
        <v>0.40991306405197064</v>
      </c>
    </row>
    <row r="931" spans="1:4">
      <c r="A931">
        <v>903</v>
      </c>
      <c r="B931" s="98">
        <v>0.71457082033157349</v>
      </c>
      <c r="C931" s="98">
        <f t="shared" si="14"/>
        <v>0.56678780144531649</v>
      </c>
      <c r="D931" s="98">
        <v>9.7741808179180892E-2</v>
      </c>
    </row>
    <row r="932" spans="1:4">
      <c r="A932">
        <v>904</v>
      </c>
      <c r="B932" s="98">
        <v>4.3857932090759277E-2</v>
      </c>
      <c r="C932" s="98">
        <f t="shared" si="14"/>
        <v>-1.7075715870787804</v>
      </c>
      <c r="D932" s="98">
        <v>-0.55247297913834437</v>
      </c>
    </row>
    <row r="933" spans="1:4">
      <c r="A933">
        <v>905</v>
      </c>
      <c r="B933" s="98">
        <v>0.32907027006149292</v>
      </c>
      <c r="C933" s="98">
        <f t="shared" si="14"/>
        <v>-0.44248187934772187</v>
      </c>
      <c r="D933" s="98">
        <v>-0.32036099938295715</v>
      </c>
    </row>
    <row r="934" spans="1:4">
      <c r="A934">
        <v>906</v>
      </c>
      <c r="B934" s="98">
        <v>0.93979954719543457</v>
      </c>
      <c r="C934" s="98">
        <f t="shared" si="14"/>
        <v>1.5530930526895945</v>
      </c>
      <c r="D934" s="98">
        <v>1.1012767777765919</v>
      </c>
    </row>
    <row r="935" spans="1:4">
      <c r="A935">
        <v>907</v>
      </c>
      <c r="B935" s="98">
        <v>0.35312420129776001</v>
      </c>
      <c r="C935" s="98">
        <f t="shared" si="14"/>
        <v>-0.3768993525536985</v>
      </c>
      <c r="D935" s="98">
        <v>0.59930409346341185</v>
      </c>
    </row>
    <row r="936" spans="1:4">
      <c r="A936">
        <v>908</v>
      </c>
      <c r="B936" s="98">
        <v>0.37444984912872314</v>
      </c>
      <c r="C936" s="98">
        <f t="shared" si="14"/>
        <v>-0.32009053794548065</v>
      </c>
      <c r="D936" s="98">
        <v>-1.1315129067952285</v>
      </c>
    </row>
    <row r="937" spans="1:4">
      <c r="A937">
        <v>909</v>
      </c>
      <c r="B937" s="98">
        <v>0.72169202566146851</v>
      </c>
      <c r="C937" s="98">
        <f t="shared" si="14"/>
        <v>0.58787537140144397</v>
      </c>
      <c r="D937" s="98">
        <v>-0.14575535442997148</v>
      </c>
    </row>
    <row r="938" spans="1:4">
      <c r="A938">
        <v>910</v>
      </c>
      <c r="B938" s="98">
        <v>0.48671722412109375</v>
      </c>
      <c r="C938" s="98">
        <f t="shared" si="14"/>
        <v>-3.3301135529050702E-2</v>
      </c>
      <c r="D938" s="98">
        <v>0.16838955680023748</v>
      </c>
    </row>
    <row r="939" spans="1:4">
      <c r="A939">
        <v>911</v>
      </c>
      <c r="B939" s="98">
        <v>0.34830981492996216</v>
      </c>
      <c r="C939" s="98">
        <f t="shared" si="14"/>
        <v>-0.38988764553565575</v>
      </c>
      <c r="D939" s="98">
        <v>2.4825117572433699</v>
      </c>
    </row>
    <row r="940" spans="1:4">
      <c r="A940">
        <v>912</v>
      </c>
      <c r="B940" s="98">
        <v>0.68144023418426514</v>
      </c>
      <c r="C940" s="98">
        <f t="shared" si="14"/>
        <v>0.47172998498884594</v>
      </c>
      <c r="D940" s="98">
        <v>0.24472115437319489</v>
      </c>
    </row>
    <row r="941" spans="1:4">
      <c r="A941">
        <v>913</v>
      </c>
      <c r="B941" s="98">
        <v>0.40389889478683472</v>
      </c>
      <c r="C941" s="98">
        <f t="shared" si="14"/>
        <v>-0.24326800336157875</v>
      </c>
      <c r="D941" s="98">
        <v>0.46820150502282903</v>
      </c>
    </row>
    <row r="942" spans="1:4">
      <c r="A942">
        <v>914</v>
      </c>
      <c r="B942" s="98">
        <v>0.60155558586120605</v>
      </c>
      <c r="C942" s="98">
        <f t="shared" si="14"/>
        <v>0.25737561124414693</v>
      </c>
      <c r="D942" s="98">
        <v>0.17980903811705481</v>
      </c>
    </row>
    <row r="943" spans="1:4">
      <c r="A943">
        <v>915</v>
      </c>
      <c r="B943" s="98">
        <v>0.17057150602340698</v>
      </c>
      <c r="C943" s="98">
        <f t="shared" si="14"/>
        <v>-0.95190924195534377</v>
      </c>
      <c r="D943" s="98">
        <v>1.1998908651238391</v>
      </c>
    </row>
    <row r="944" spans="1:4">
      <c r="A944">
        <v>916</v>
      </c>
      <c r="B944" s="98">
        <v>0.63918805122375488</v>
      </c>
      <c r="C944" s="98">
        <f t="shared" si="14"/>
        <v>0.35628933216276976</v>
      </c>
      <c r="D944" s="98">
        <v>-1.3340959744939915</v>
      </c>
    </row>
    <row r="945" spans="1:4">
      <c r="A945">
        <v>917</v>
      </c>
      <c r="B945" s="98">
        <v>0.13174396753311157</v>
      </c>
      <c r="C945" s="98">
        <f t="shared" si="14"/>
        <v>-1.1181851270597809</v>
      </c>
      <c r="D945" s="98">
        <v>0.5155561097472493</v>
      </c>
    </row>
    <row r="946" spans="1:4">
      <c r="A946">
        <v>918</v>
      </c>
      <c r="B946" s="98">
        <v>0.47476303577423096</v>
      </c>
      <c r="C946" s="98">
        <f t="shared" si="14"/>
        <v>-6.3301939269926166E-2</v>
      </c>
      <c r="D946" s="98">
        <v>0.6177853584514279</v>
      </c>
    </row>
    <row r="947" spans="1:4">
      <c r="A947">
        <v>919</v>
      </c>
      <c r="B947" s="98">
        <v>0.84627348184585571</v>
      </c>
      <c r="C947" s="98">
        <f t="shared" si="14"/>
        <v>1.0205809129836327</v>
      </c>
      <c r="D947" s="98">
        <v>-1.6624009310670367</v>
      </c>
    </row>
    <row r="948" spans="1:4">
      <c r="A948">
        <v>920</v>
      </c>
      <c r="B948" s="98">
        <v>0.83885180950164795</v>
      </c>
      <c r="C948" s="98">
        <f t="shared" si="14"/>
        <v>0.98974989429784865</v>
      </c>
      <c r="D948" s="98">
        <v>1.9696570871465782</v>
      </c>
    </row>
    <row r="949" spans="1:4">
      <c r="A949">
        <v>921</v>
      </c>
      <c r="B949" s="98">
        <v>0.16002184152603149</v>
      </c>
      <c r="C949" s="98">
        <f t="shared" si="14"/>
        <v>-0.99436811955449311</v>
      </c>
      <c r="D949" s="98">
        <v>-1.2176290802117469</v>
      </c>
    </row>
    <row r="950" spans="1:4">
      <c r="A950">
        <v>922</v>
      </c>
      <c r="B950" s="98">
        <v>0.54573309421539307</v>
      </c>
      <c r="C950" s="98">
        <f t="shared" si="14"/>
        <v>0.11488810743088043</v>
      </c>
      <c r="D950" s="98">
        <v>0.3179690606733474</v>
      </c>
    </row>
    <row r="951" spans="1:4">
      <c r="A951">
        <v>923</v>
      </c>
      <c r="B951" s="98">
        <v>0.74401706457138062</v>
      </c>
      <c r="C951" s="98">
        <f t="shared" si="14"/>
        <v>0.65577971364194165</v>
      </c>
      <c r="D951" s="98">
        <v>1.4045045727852838</v>
      </c>
    </row>
    <row r="952" spans="1:4">
      <c r="A952">
        <v>924</v>
      </c>
      <c r="B952" s="98">
        <v>0.9156794548034668</v>
      </c>
      <c r="C952" s="98">
        <f t="shared" si="14"/>
        <v>1.3765833859846444</v>
      </c>
      <c r="D952" s="98">
        <v>-1.2835983958080441</v>
      </c>
    </row>
    <row r="953" spans="1:4">
      <c r="A953">
        <v>925</v>
      </c>
      <c r="B953" s="98">
        <v>0.40939599275588989</v>
      </c>
      <c r="C953" s="98">
        <f t="shared" si="14"/>
        <v>-0.22909898091787703</v>
      </c>
      <c r="D953" s="98">
        <v>1.4530632357858462</v>
      </c>
    </row>
    <row r="954" spans="1:4">
      <c r="A954">
        <v>926</v>
      </c>
      <c r="B954" s="98">
        <v>0.16932046413421631</v>
      </c>
      <c r="C954" s="98">
        <f t="shared" si="14"/>
        <v>-0.95685404680980424</v>
      </c>
      <c r="D954" s="98">
        <v>-0.32748439525772316</v>
      </c>
    </row>
    <row r="955" spans="1:4">
      <c r="A955">
        <v>927</v>
      </c>
      <c r="B955" s="98">
        <v>2.6542842388153076E-2</v>
      </c>
      <c r="C955" s="98">
        <f t="shared" si="14"/>
        <v>-1.9342232515119866</v>
      </c>
      <c r="D955" s="98">
        <v>-1.1579347067445847</v>
      </c>
    </row>
    <row r="956" spans="1:4">
      <c r="A956">
        <v>928</v>
      </c>
      <c r="B956" s="98">
        <v>0.81409478187561035</v>
      </c>
      <c r="C956" s="98">
        <f t="shared" si="14"/>
        <v>0.89308727626109574</v>
      </c>
      <c r="D956" s="98">
        <v>0.54754585911618714</v>
      </c>
    </row>
    <row r="957" spans="1:4">
      <c r="A957">
        <v>929</v>
      </c>
      <c r="B957" s="98">
        <v>0.68367630243301392</v>
      </c>
      <c r="C957" s="98">
        <f t="shared" si="14"/>
        <v>0.4780039479041977</v>
      </c>
      <c r="D957" s="98">
        <v>-0.21789777118309811</v>
      </c>
    </row>
    <row r="958" spans="1:4">
      <c r="A958">
        <v>930</v>
      </c>
      <c r="B958" s="98">
        <v>0.71432185173034668</v>
      </c>
      <c r="C958" s="98">
        <f t="shared" si="14"/>
        <v>0.56605514127537304</v>
      </c>
      <c r="D958" s="98">
        <v>-1.0453439654195829</v>
      </c>
    </row>
    <row r="959" spans="1:4">
      <c r="A959">
        <v>931</v>
      </c>
      <c r="B959" s="98">
        <v>0.22276026010513306</v>
      </c>
      <c r="C959" s="98">
        <f t="shared" si="14"/>
        <v>-0.7629042184781617</v>
      </c>
      <c r="D959" s="98">
        <v>-0.29053971780800819</v>
      </c>
    </row>
    <row r="960" spans="1:4">
      <c r="A960">
        <v>932</v>
      </c>
      <c r="B960" s="98">
        <v>0.28734266757965088</v>
      </c>
      <c r="C960" s="98">
        <f t="shared" si="14"/>
        <v>-0.56116459683643716</v>
      </c>
      <c r="D960" s="98">
        <v>-0.84056469770351239</v>
      </c>
    </row>
    <row r="961" spans="1:4">
      <c r="A961">
        <v>933</v>
      </c>
      <c r="B961" s="98">
        <v>0.96079295873641968</v>
      </c>
      <c r="C961" s="98">
        <f t="shared" si="14"/>
        <v>1.7599629864523412</v>
      </c>
      <c r="D961" s="98">
        <v>0.432983105396126</v>
      </c>
    </row>
    <row r="962" spans="1:4">
      <c r="A962">
        <v>934</v>
      </c>
      <c r="B962" s="98">
        <v>0.67709839344024658</v>
      </c>
      <c r="C962" s="98">
        <f t="shared" si="14"/>
        <v>0.45960020339844809</v>
      </c>
      <c r="D962" s="98">
        <v>0.75451004890772</v>
      </c>
    </row>
    <row r="963" spans="1:4">
      <c r="A963">
        <v>935</v>
      </c>
      <c r="B963" s="98">
        <v>0.83338445425033569</v>
      </c>
      <c r="C963" s="98">
        <f t="shared" si="14"/>
        <v>0.9676261920172029</v>
      </c>
      <c r="D963" s="98">
        <v>0.77037361852582464</v>
      </c>
    </row>
    <row r="964" spans="1:4">
      <c r="A964">
        <v>936</v>
      </c>
      <c r="B964" s="98">
        <v>0.82453727722167969</v>
      </c>
      <c r="C964" s="98">
        <f t="shared" si="14"/>
        <v>0.93279573147438144</v>
      </c>
      <c r="D964" s="98">
        <v>-0.81769808484168982</v>
      </c>
    </row>
    <row r="965" spans="1:4">
      <c r="A965">
        <v>937</v>
      </c>
      <c r="B965" s="98">
        <v>0.68224650621414185</v>
      </c>
      <c r="C965" s="98">
        <f t="shared" si="14"/>
        <v>0.47399007109842556</v>
      </c>
      <c r="D965" s="98">
        <v>-0.6230713958678018</v>
      </c>
    </row>
    <row r="966" spans="1:4">
      <c r="A966">
        <v>938</v>
      </c>
      <c r="B966" s="98">
        <v>0.37804019451141357</v>
      </c>
      <c r="C966" s="98">
        <f t="shared" si="14"/>
        <v>-0.31063201095591109</v>
      </c>
      <c r="D966" s="98">
        <v>1.2726295063505506</v>
      </c>
    </row>
    <row r="967" spans="1:4">
      <c r="A967">
        <v>939</v>
      </c>
      <c r="B967" s="98">
        <v>0.3476530909538269</v>
      </c>
      <c r="C967" s="98">
        <f t="shared" si="14"/>
        <v>-0.39166442088930326</v>
      </c>
      <c r="D967" s="98">
        <v>-0.72802724008411901</v>
      </c>
    </row>
    <row r="968" spans="1:4">
      <c r="A968">
        <v>940</v>
      </c>
      <c r="B968" s="98">
        <v>0.81745791435241699</v>
      </c>
      <c r="C968" s="98">
        <f t="shared" si="14"/>
        <v>0.90571981591855344</v>
      </c>
      <c r="D968" s="98">
        <v>0.48020926176519352</v>
      </c>
    </row>
    <row r="969" spans="1:4">
      <c r="A969">
        <v>941</v>
      </c>
      <c r="B969" s="98">
        <v>0.91269594430923462</v>
      </c>
      <c r="C969" s="98">
        <f t="shared" si="14"/>
        <v>1.3575449805525648</v>
      </c>
      <c r="D969" s="98">
        <v>0.57334398984546864</v>
      </c>
    </row>
    <row r="970" spans="1:4">
      <c r="A970">
        <v>942</v>
      </c>
      <c r="B970" s="98">
        <v>0.84462606906890869</v>
      </c>
      <c r="C970" s="98">
        <f t="shared" si="14"/>
        <v>1.0136540399617817</v>
      </c>
      <c r="D970" s="98">
        <v>-1.5875933429896583</v>
      </c>
    </row>
    <row r="971" spans="1:4">
      <c r="A971">
        <v>943</v>
      </c>
      <c r="B971" s="98">
        <v>0.90437549352645874</v>
      </c>
      <c r="C971" s="98">
        <f t="shared" si="14"/>
        <v>1.3068931202850991</v>
      </c>
      <c r="D971" s="98">
        <v>0.54607266370820828</v>
      </c>
    </row>
    <row r="972" spans="1:4">
      <c r="A972">
        <v>944</v>
      </c>
      <c r="B972" s="98">
        <v>0.36334562301635742</v>
      </c>
      <c r="C972" s="98">
        <f t="shared" si="14"/>
        <v>-0.34953027516832946</v>
      </c>
      <c r="D972" s="98">
        <v>-0.8908142716663221</v>
      </c>
    </row>
    <row r="973" spans="1:4">
      <c r="A973">
        <v>945</v>
      </c>
      <c r="B973" s="98">
        <v>0.33412820100784302</v>
      </c>
      <c r="C973" s="98">
        <f t="shared" si="14"/>
        <v>-0.42854222007706078</v>
      </c>
      <c r="D973" s="98">
        <v>0.22965223358603309</v>
      </c>
    </row>
    <row r="974" spans="1:4">
      <c r="A974">
        <v>946</v>
      </c>
      <c r="B974" s="98">
        <v>0.163543701171875</v>
      </c>
      <c r="C974" s="98">
        <f t="shared" si="14"/>
        <v>-0.97999739943807063</v>
      </c>
      <c r="D974" s="98">
        <v>0.90891517984251524</v>
      </c>
    </row>
    <row r="975" spans="1:4">
      <c r="A975">
        <v>947</v>
      </c>
      <c r="B975" s="98">
        <v>0.65067237615585327</v>
      </c>
      <c r="C975" s="98">
        <f t="shared" si="14"/>
        <v>0.38713637783909483</v>
      </c>
      <c r="D975" s="98">
        <v>-1.7114890528681699</v>
      </c>
    </row>
    <row r="976" spans="1:4">
      <c r="A976">
        <v>948</v>
      </c>
      <c r="B976" s="98">
        <v>0.37641572952270508</v>
      </c>
      <c r="C976" s="98">
        <f t="shared" si="14"/>
        <v>-0.31490806354815537</v>
      </c>
      <c r="D976" s="98">
        <v>0.70424307322583302</v>
      </c>
    </row>
    <row r="977" spans="1:4">
      <c r="A977">
        <v>949</v>
      </c>
      <c r="B977" s="98">
        <v>0.5779150128364563</v>
      </c>
      <c r="C977" s="98">
        <f t="shared" si="14"/>
        <v>0.19656242892346398</v>
      </c>
      <c r="D977" s="98">
        <v>1.7224522208028155</v>
      </c>
    </row>
    <row r="978" spans="1:4">
      <c r="A978">
        <v>950</v>
      </c>
      <c r="B978" s="98">
        <v>0.19254910945892334</v>
      </c>
      <c r="C978" s="98">
        <f t="shared" si="14"/>
        <v>-0.86854103381973058</v>
      </c>
      <c r="D978" s="98">
        <v>-0.71641614148262411</v>
      </c>
    </row>
    <row r="979" spans="1:4">
      <c r="A979">
        <v>951</v>
      </c>
      <c r="B979" s="98">
        <v>0.92183035612106323</v>
      </c>
      <c r="C979" s="98">
        <f t="shared" si="14"/>
        <v>1.4174914657550912</v>
      </c>
      <c r="D979" s="98">
        <v>2.7957757603951814</v>
      </c>
    </row>
    <row r="980" spans="1:4">
      <c r="A980">
        <v>952</v>
      </c>
      <c r="B980" s="98">
        <v>0.49242293834686279</v>
      </c>
      <c r="C980" s="98">
        <f t="shared" si="14"/>
        <v>-1.8994019004010276E-2</v>
      </c>
      <c r="D980" s="98">
        <v>1.3759734379037982</v>
      </c>
    </row>
    <row r="981" spans="1:4">
      <c r="A981">
        <v>953</v>
      </c>
      <c r="B981" s="98">
        <v>0.96580582857131958</v>
      </c>
      <c r="C981" s="98">
        <f t="shared" si="14"/>
        <v>1.8224393869901636</v>
      </c>
      <c r="D981" s="98">
        <v>-0.32486603442384637</v>
      </c>
    </row>
    <row r="982" spans="1:4">
      <c r="A982">
        <v>954</v>
      </c>
      <c r="B982" s="98">
        <v>0.79664552211761475</v>
      </c>
      <c r="C982" s="98">
        <f t="shared" si="14"/>
        <v>0.82969905521731246</v>
      </c>
      <c r="D982" s="98">
        <v>-1.293161319469802E-2</v>
      </c>
    </row>
    <row r="983" spans="1:4">
      <c r="A983">
        <v>955</v>
      </c>
      <c r="B983" s="98">
        <v>0.52821940183639526</v>
      </c>
      <c r="C983" s="98">
        <f t="shared" si="14"/>
        <v>7.0794641829336646E-2</v>
      </c>
      <c r="D983" s="98">
        <v>-0.64226078247143736</v>
      </c>
    </row>
    <row r="984" spans="1:4">
      <c r="A984">
        <v>956</v>
      </c>
      <c r="B984" s="98">
        <v>0.40359330177307129</v>
      </c>
      <c r="C984" s="98">
        <f t="shared" si="14"/>
        <v>-0.24405709185417335</v>
      </c>
      <c r="D984" s="98">
        <v>0.67766717916681651</v>
      </c>
    </row>
    <row r="985" spans="1:4">
      <c r="A985">
        <v>957</v>
      </c>
      <c r="B985" s="98">
        <v>0.1285443902015686</v>
      </c>
      <c r="C985" s="98">
        <f t="shared" si="14"/>
        <v>-1.1332988360328515</v>
      </c>
      <c r="D985" s="98">
        <v>-0.45456774135831196</v>
      </c>
    </row>
    <row r="986" spans="1:4">
      <c r="A986">
        <v>958</v>
      </c>
      <c r="B986" s="98">
        <v>0.27348589897155762</v>
      </c>
      <c r="C986" s="98">
        <f t="shared" si="14"/>
        <v>-0.6023040011900378</v>
      </c>
      <c r="D986" s="98">
        <v>-1.4928429514797352</v>
      </c>
    </row>
    <row r="987" spans="1:4">
      <c r="A987">
        <v>959</v>
      </c>
      <c r="B987" s="98">
        <v>0.79915910959243774</v>
      </c>
      <c r="C987" s="98">
        <f t="shared" si="14"/>
        <v>0.83862143054170912</v>
      </c>
      <c r="D987" s="98">
        <v>-0.67613032354842506</v>
      </c>
    </row>
    <row r="988" spans="1:4">
      <c r="A988">
        <v>960</v>
      </c>
      <c r="B988" s="98">
        <v>0.53121435642242432</v>
      </c>
      <c r="C988" s="98">
        <f t="shared" si="14"/>
        <v>7.8322792756123458E-2</v>
      </c>
      <c r="D988" s="98">
        <v>1.8495634634190934</v>
      </c>
    </row>
    <row r="989" spans="1:4">
      <c r="A989">
        <v>961</v>
      </c>
      <c r="B989" s="98">
        <v>0.59696048498153687</v>
      </c>
      <c r="C989" s="98">
        <f t="shared" si="14"/>
        <v>0.24548744269718295</v>
      </c>
      <c r="D989" s="98">
        <v>0.23314572331825684</v>
      </c>
    </row>
    <row r="990" spans="1:4">
      <c r="A990">
        <v>962</v>
      </c>
      <c r="B990" s="98">
        <v>0.44089460372924805</v>
      </c>
      <c r="C990" s="98">
        <f t="shared" ref="C990:C1028" si="15">NORMINV(B990,0,1)</f>
        <v>-0.14870146212425125</v>
      </c>
      <c r="D990" s="98">
        <v>-0.71382120815197192</v>
      </c>
    </row>
    <row r="991" spans="1:4">
      <c r="A991">
        <v>963</v>
      </c>
      <c r="B991" s="98">
        <v>0.25202447175979614</v>
      </c>
      <c r="C991" s="98">
        <f t="shared" si="15"/>
        <v>-0.66813261638078458</v>
      </c>
      <c r="D991" s="98">
        <v>-0.41929582208568533</v>
      </c>
    </row>
    <row r="992" spans="1:4">
      <c r="A992">
        <v>964</v>
      </c>
      <c r="B992" s="98">
        <v>0.78553903102874756</v>
      </c>
      <c r="C992" s="98">
        <f t="shared" si="15"/>
        <v>0.79103779285904863</v>
      </c>
      <c r="D992" s="98">
        <v>1.1471563096299446</v>
      </c>
    </row>
    <row r="993" spans="1:4">
      <c r="A993">
        <v>965</v>
      </c>
      <c r="B993" s="98">
        <v>0.47457903623580933</v>
      </c>
      <c r="C993" s="98">
        <f t="shared" si="15"/>
        <v>-6.3764089500697799E-2</v>
      </c>
      <c r="D993" s="98">
        <v>0.5956644258632553</v>
      </c>
    </row>
    <row r="994" spans="1:4">
      <c r="A994">
        <v>966</v>
      </c>
      <c r="B994" s="98">
        <v>0.3968050479888916</v>
      </c>
      <c r="C994" s="98">
        <f t="shared" si="15"/>
        <v>-0.26162561213278474</v>
      </c>
      <c r="D994" s="98">
        <v>2.4405507627147842</v>
      </c>
    </row>
    <row r="995" spans="1:4">
      <c r="A995">
        <v>967</v>
      </c>
      <c r="B995" s="98">
        <v>0.96157330274581909</v>
      </c>
      <c r="C995" s="98">
        <f t="shared" si="15"/>
        <v>1.7692426199907987</v>
      </c>
      <c r="D995" s="98">
        <v>0.36482224797629703</v>
      </c>
    </row>
    <row r="996" spans="1:4">
      <c r="A996">
        <v>968</v>
      </c>
      <c r="B996" s="98">
        <v>0.68887782096862793</v>
      </c>
      <c r="C996" s="98">
        <f t="shared" si="15"/>
        <v>0.49267200983108544</v>
      </c>
      <c r="D996" s="98">
        <v>0.8148009705017305</v>
      </c>
    </row>
    <row r="997" spans="1:4">
      <c r="A997">
        <v>969</v>
      </c>
      <c r="B997" s="98">
        <v>0.30818659067153931</v>
      </c>
      <c r="C997" s="98">
        <f t="shared" si="15"/>
        <v>-0.50099707518345671</v>
      </c>
      <c r="D997" s="98">
        <v>1.3147670853985256</v>
      </c>
    </row>
    <row r="998" spans="1:4">
      <c r="A998">
        <v>970</v>
      </c>
      <c r="B998" s="98">
        <v>0.22301924228668213</v>
      </c>
      <c r="C998" s="98">
        <f t="shared" si="15"/>
        <v>-0.76203605662512841</v>
      </c>
      <c r="D998" s="98">
        <v>-0.73236535555490268</v>
      </c>
    </row>
    <row r="999" spans="1:4">
      <c r="A999">
        <v>971</v>
      </c>
      <c r="B999" s="98">
        <v>0.57616764307022095</v>
      </c>
      <c r="C999" s="98">
        <f t="shared" si="15"/>
        <v>0.19209892895330816</v>
      </c>
      <c r="D999" s="98">
        <v>1.4083652551278791</v>
      </c>
    </row>
    <row r="1000" spans="1:4">
      <c r="A1000">
        <v>972</v>
      </c>
      <c r="B1000" s="98">
        <v>0.96360504627227783</v>
      </c>
      <c r="C1000" s="98">
        <f t="shared" si="15"/>
        <v>1.7941457560656755</v>
      </c>
      <c r="D1000" s="98">
        <v>0.81201100146001481</v>
      </c>
    </row>
    <row r="1001" spans="1:4">
      <c r="A1001">
        <v>973</v>
      </c>
      <c r="B1001" s="98">
        <v>0.30864232778549194</v>
      </c>
      <c r="C1001" s="98">
        <f t="shared" si="15"/>
        <v>-0.49970238118757832</v>
      </c>
      <c r="D1001" s="98">
        <v>-0.75582021724842474</v>
      </c>
    </row>
    <row r="1002" spans="1:4">
      <c r="A1002">
        <v>974</v>
      </c>
      <c r="B1002" s="98">
        <v>0.29726219177246094</v>
      </c>
      <c r="C1002" s="98">
        <f t="shared" si="15"/>
        <v>-0.53229111711946653</v>
      </c>
      <c r="D1002" s="98">
        <v>-0.16726631559039548</v>
      </c>
    </row>
    <row r="1003" spans="1:4">
      <c r="A1003">
        <v>975</v>
      </c>
      <c r="B1003" s="98">
        <v>0.6921113133430481</v>
      </c>
      <c r="C1003" s="98">
        <f t="shared" si="15"/>
        <v>0.50184383842422531</v>
      </c>
      <c r="D1003" s="98">
        <v>-0.45609609193835887</v>
      </c>
    </row>
    <row r="1004" spans="1:4">
      <c r="A1004">
        <v>976</v>
      </c>
      <c r="B1004" s="98">
        <v>0.81280755996704102</v>
      </c>
      <c r="C1004" s="98">
        <f t="shared" si="15"/>
        <v>0.88828980907873201</v>
      </c>
      <c r="D1004" s="98">
        <v>-0.34757717228196372</v>
      </c>
    </row>
    <row r="1005" spans="1:4">
      <c r="A1005">
        <v>977</v>
      </c>
      <c r="B1005" s="98">
        <v>0.56291371583938599</v>
      </c>
      <c r="C1005" s="98">
        <f t="shared" si="15"/>
        <v>0.1583607145867838</v>
      </c>
      <c r="D1005" s="98">
        <v>-2.4546416237459319</v>
      </c>
    </row>
    <row r="1006" spans="1:4">
      <c r="A1006">
        <v>978</v>
      </c>
      <c r="B1006" s="98">
        <v>0.98457252979278564</v>
      </c>
      <c r="C1006" s="98">
        <f t="shared" si="15"/>
        <v>2.1589384751554177</v>
      </c>
      <c r="D1006" s="98">
        <v>-0.60408503135911806</v>
      </c>
    </row>
    <row r="1007" spans="1:4">
      <c r="A1007">
        <v>979</v>
      </c>
      <c r="B1007" s="98">
        <v>0.67025464773178101</v>
      </c>
      <c r="C1007" s="98">
        <f t="shared" si="15"/>
        <v>0.44061643240738907</v>
      </c>
      <c r="D1007" s="98">
        <v>-1.4805326526625103E-2</v>
      </c>
    </row>
    <row r="1008" spans="1:4">
      <c r="A1008">
        <v>980</v>
      </c>
      <c r="B1008" s="98">
        <v>0.73738062381744385</v>
      </c>
      <c r="C1008" s="98">
        <f t="shared" si="15"/>
        <v>0.6352908312153156</v>
      </c>
      <c r="D1008" s="98">
        <v>-0.35948574109935688</v>
      </c>
    </row>
    <row r="1009" spans="1:4">
      <c r="A1009">
        <v>981</v>
      </c>
      <c r="B1009" s="98">
        <v>0.96037536859512329</v>
      </c>
      <c r="C1009" s="98">
        <f t="shared" si="15"/>
        <v>1.7550587285068939</v>
      </c>
      <c r="D1009" s="98">
        <v>0.37318267234400021</v>
      </c>
    </row>
    <row r="1010" spans="1:4">
      <c r="A1010">
        <v>982</v>
      </c>
      <c r="B1010" s="98">
        <v>0.93081676959991455</v>
      </c>
      <c r="C1010" s="98">
        <f t="shared" si="15"/>
        <v>1.4819016694182876</v>
      </c>
      <c r="D1010" s="98">
        <v>0.13012746473469214</v>
      </c>
    </row>
    <row r="1011" spans="1:4">
      <c r="A1011">
        <v>983</v>
      </c>
      <c r="B1011" s="98">
        <v>0.99177736043930054</v>
      </c>
      <c r="C1011" s="98">
        <f t="shared" si="15"/>
        <v>2.398880533197651</v>
      </c>
      <c r="D1011" s="98">
        <v>-0.79535907170265807</v>
      </c>
    </row>
    <row r="1012" spans="1:4">
      <c r="A1012">
        <v>984</v>
      </c>
      <c r="B1012" s="98">
        <v>0.31062412261962891</v>
      </c>
      <c r="C1012" s="98">
        <f t="shared" si="15"/>
        <v>-0.494082034369075</v>
      </c>
      <c r="D1012" s="98">
        <v>-0.84659793733844391</v>
      </c>
    </row>
    <row r="1013" spans="1:4">
      <c r="A1013">
        <v>985</v>
      </c>
      <c r="B1013" s="98">
        <v>0.72105365991592407</v>
      </c>
      <c r="C1013" s="98">
        <f t="shared" si="15"/>
        <v>0.58597445674538029</v>
      </c>
      <c r="D1013" s="98">
        <v>1.0030321309487942</v>
      </c>
    </row>
    <row r="1014" spans="1:4">
      <c r="A1014">
        <v>986</v>
      </c>
      <c r="B1014" s="98">
        <v>0.54777634143829346</v>
      </c>
      <c r="C1014" s="98">
        <f t="shared" si="15"/>
        <v>0.12004523191465574</v>
      </c>
      <c r="D1014" s="98">
        <v>2.3501921121255971</v>
      </c>
    </row>
    <row r="1015" spans="1:4">
      <c r="A1015">
        <v>987</v>
      </c>
      <c r="B1015" s="98">
        <v>0.14148610830307007</v>
      </c>
      <c r="C1015" s="98">
        <f t="shared" si="15"/>
        <v>-1.073666420544233</v>
      </c>
      <c r="D1015" s="98">
        <v>-0.44105237132506508</v>
      </c>
    </row>
    <row r="1016" spans="1:4">
      <c r="A1016">
        <v>988</v>
      </c>
      <c r="B1016" s="98">
        <v>0.46282386779785156</v>
      </c>
      <c r="C1016" s="98">
        <f t="shared" si="15"/>
        <v>-9.332202427003404E-2</v>
      </c>
      <c r="D1016" s="98">
        <v>-0.80027971592315306</v>
      </c>
    </row>
    <row r="1017" spans="1:4">
      <c r="A1017">
        <v>989</v>
      </c>
      <c r="B1017" s="98">
        <v>0.60866481065750122</v>
      </c>
      <c r="C1017" s="98">
        <f t="shared" si="15"/>
        <v>0.27584075622045912</v>
      </c>
      <c r="D1017" s="98">
        <v>-1.4048924527869986</v>
      </c>
    </row>
    <row r="1018" spans="1:4">
      <c r="A1018">
        <v>990</v>
      </c>
      <c r="B1018" s="98">
        <v>4.0527224540710449E-2</v>
      </c>
      <c r="C1018" s="98">
        <f t="shared" si="15"/>
        <v>-1.744600411973487</v>
      </c>
      <c r="D1018" s="98">
        <v>-1.2487038677516678</v>
      </c>
    </row>
    <row r="1019" spans="1:4">
      <c r="A1019">
        <v>991</v>
      </c>
      <c r="B1019" s="98">
        <v>0.21440953016281128</v>
      </c>
      <c r="C1019" s="98">
        <f t="shared" si="15"/>
        <v>-0.79121410775606182</v>
      </c>
      <c r="D1019" s="98">
        <v>-0.70958196271674256</v>
      </c>
    </row>
    <row r="1020" spans="1:4">
      <c r="A1020">
        <v>992</v>
      </c>
      <c r="B1020" s="98">
        <v>0.2604297399520874</v>
      </c>
      <c r="C1020" s="98">
        <f t="shared" si="15"/>
        <v>-0.64202110482940011</v>
      </c>
      <c r="D1020" s="98">
        <v>-9.1038811000134667E-2</v>
      </c>
    </row>
    <row r="1021" spans="1:4">
      <c r="A1021">
        <v>993</v>
      </c>
      <c r="B1021" s="98">
        <v>0.7068522572517395</v>
      </c>
      <c r="C1021" s="98">
        <f t="shared" si="15"/>
        <v>0.54421215922397137</v>
      </c>
      <c r="D1021" s="98">
        <v>1.6452770336913252</v>
      </c>
    </row>
    <row r="1022" spans="1:4">
      <c r="A1022">
        <v>994</v>
      </c>
      <c r="B1022" s="98">
        <v>0.24786460399627686</v>
      </c>
      <c r="C1022" s="98">
        <f t="shared" si="15"/>
        <v>-0.68122487900922712</v>
      </c>
      <c r="D1022" s="98">
        <v>1.9931875117641742</v>
      </c>
    </row>
    <row r="1023" spans="1:4">
      <c r="A1023">
        <v>995</v>
      </c>
      <c r="B1023" s="98">
        <v>0.43954247236251831</v>
      </c>
      <c r="C1023" s="98">
        <f t="shared" si="15"/>
        <v>-0.1521293131570407</v>
      </c>
      <c r="D1023" s="98">
        <v>-0.109324177432507</v>
      </c>
    </row>
    <row r="1024" spans="1:4">
      <c r="A1024">
        <v>996</v>
      </c>
      <c r="B1024" s="98">
        <v>0.75343680381774902</v>
      </c>
      <c r="C1024" s="98">
        <f t="shared" si="15"/>
        <v>0.68534476131072841</v>
      </c>
      <c r="D1024" s="98">
        <v>0.34866931624473246</v>
      </c>
    </row>
    <row r="1025" spans="1:4">
      <c r="A1025">
        <v>997</v>
      </c>
      <c r="B1025" s="98">
        <v>0.38247686624526978</v>
      </c>
      <c r="C1025" s="98">
        <f t="shared" si="15"/>
        <v>-0.29898206182654147</v>
      </c>
      <c r="D1025" s="98">
        <v>-0.92755624456374641</v>
      </c>
    </row>
    <row r="1026" spans="1:4">
      <c r="A1026">
        <v>998</v>
      </c>
      <c r="B1026" s="98">
        <v>0.18654656410217285</v>
      </c>
      <c r="C1026" s="98">
        <f t="shared" si="15"/>
        <v>-0.89069442176158087</v>
      </c>
      <c r="D1026" s="98">
        <v>1.1866947380920077</v>
      </c>
    </row>
    <row r="1027" spans="1:4">
      <c r="A1027">
        <v>999</v>
      </c>
      <c r="B1027" s="98">
        <v>0.70440655946731567</v>
      </c>
      <c r="C1027" s="98">
        <f t="shared" si="15"/>
        <v>0.53711688078763786</v>
      </c>
      <c r="D1027" s="98">
        <v>9.7966590899684805E-2</v>
      </c>
    </row>
    <row r="1028" spans="1:4">
      <c r="A1028">
        <v>1000</v>
      </c>
      <c r="B1028" s="98">
        <v>7.8058600425720215E-2</v>
      </c>
      <c r="C1028" s="98">
        <f t="shared" si="15"/>
        <v>-1.4182520145260198</v>
      </c>
      <c r="D1028" s="98">
        <v>-8.5090802253954545E-2</v>
      </c>
    </row>
  </sheetData>
  <phoneticPr fontId="8" type="noConversion"/>
  <pageMargins left="0.75" right="0.75" top="1" bottom="1" header="0.5" footer="0.5"/>
  <pageSetup orientation="portrait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7904" r:id="rId4">
          <objectPr defaultSize="0" autoPict="0" r:id="rId5">
            <anchor moveWithCells="1" sizeWithCells="1">
              <from>
                <xdr:col>1</xdr:col>
                <xdr:colOff>0</xdr:colOff>
                <xdr:row>3</xdr:row>
                <xdr:rowOff>9525</xdr:rowOff>
              </from>
              <to>
                <xdr:col>10</xdr:col>
                <xdr:colOff>571500</xdr:colOff>
                <xdr:row>20</xdr:row>
                <xdr:rowOff>142875</xdr:rowOff>
              </to>
            </anchor>
          </objectPr>
        </oleObject>
      </mc:Choice>
      <mc:Fallback>
        <oleObject progId="Word.Document.8" shapeId="37904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6" name="Button 1">
              <controlPr defaultSize="0" print="0" autoFill="0" autoLine="0" autoPict="0" macro="[1]!Go_Contents">
                <anchor moveWithCells="1" sizeWithCells="1">
                  <from>
                    <xdr:col>11</xdr:col>
                    <xdr:colOff>38100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7" name="Button 18">
              <controlPr defaultSize="0" print="0" autoFill="0" autoPict="0" macro="[0]!fillData">
                <anchor moveWithCells="1">
                  <from>
                    <xdr:col>5</xdr:col>
                    <xdr:colOff>9525</xdr:colOff>
                    <xdr:row>49</xdr:row>
                    <xdr:rowOff>66675</xdr:rowOff>
                  </from>
                  <to>
                    <xdr:col>7</xdr:col>
                    <xdr:colOff>0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M44"/>
  <sheetViews>
    <sheetView showGridLines="0" workbookViewId="0">
      <selection activeCell="G26" sqref="G26"/>
    </sheetView>
  </sheetViews>
  <sheetFormatPr defaultColWidth="10.28515625" defaultRowHeight="15"/>
  <cols>
    <col min="1" max="1" width="10.28515625" style="58" customWidth="1"/>
    <col min="2" max="2" width="16.85546875" style="58" customWidth="1"/>
    <col min="3" max="3" width="10.28515625" style="58" customWidth="1"/>
    <col min="4" max="4" width="14.5703125" style="58" customWidth="1"/>
    <col min="5" max="5" width="15.5703125" style="58" bestFit="1" customWidth="1"/>
    <col min="6" max="16384" width="10.28515625" style="58"/>
  </cols>
  <sheetData>
    <row r="1" spans="1:13" ht="27">
      <c r="A1" s="56" t="s">
        <v>391</v>
      </c>
      <c r="B1" s="56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2" spans="1:13">
      <c r="A2" s="59"/>
      <c r="B2" s="59"/>
      <c r="C2" s="59"/>
    </row>
    <row r="3" spans="1:13" ht="18">
      <c r="A3" s="60" t="s">
        <v>437</v>
      </c>
      <c r="B3" s="59"/>
      <c r="C3" s="59"/>
    </row>
    <row r="4" spans="1:13" ht="18">
      <c r="A4" s="108" t="s">
        <v>438</v>
      </c>
      <c r="B4" s="59"/>
      <c r="C4" s="59"/>
    </row>
    <row r="5" spans="1:13" ht="18">
      <c r="A5" s="59"/>
      <c r="B5" s="59"/>
      <c r="C5" s="59"/>
      <c r="G5" s="61" t="s">
        <v>391</v>
      </c>
    </row>
    <row r="6" spans="1:13" ht="18">
      <c r="B6" s="62" t="s">
        <v>392</v>
      </c>
    </row>
    <row r="7" spans="1:13">
      <c r="B7" s="63" t="s">
        <v>393</v>
      </c>
      <c r="C7" s="64"/>
      <c r="D7" s="64"/>
      <c r="E7" s="65">
        <v>100</v>
      </c>
    </row>
    <row r="8" spans="1:13">
      <c r="B8" s="63" t="s">
        <v>394</v>
      </c>
      <c r="C8" s="66"/>
      <c r="D8" s="66"/>
      <c r="E8" s="67">
        <v>80</v>
      </c>
      <c r="F8" s="68"/>
    </row>
    <row r="9" spans="1:13">
      <c r="B9" s="63" t="s">
        <v>395</v>
      </c>
      <c r="C9" s="66"/>
      <c r="D9" s="66"/>
      <c r="E9" s="69">
        <v>365</v>
      </c>
      <c r="F9" s="68"/>
    </row>
    <row r="10" spans="1:13">
      <c r="B10" s="63" t="s">
        <v>396</v>
      </c>
      <c r="C10" s="66"/>
      <c r="D10" s="66"/>
      <c r="E10" s="70">
        <v>0.02</v>
      </c>
    </row>
    <row r="11" spans="1:13">
      <c r="B11" s="63" t="s">
        <v>397</v>
      </c>
      <c r="C11" s="66"/>
      <c r="D11" s="66"/>
      <c r="E11" s="71">
        <v>0.25</v>
      </c>
    </row>
    <row r="12" spans="1:13">
      <c r="B12" s="72" t="s">
        <v>398</v>
      </c>
      <c r="C12" s="73"/>
      <c r="D12" s="73"/>
      <c r="E12" s="74">
        <v>0</v>
      </c>
    </row>
    <row r="13" spans="1:13">
      <c r="B13" s="75"/>
      <c r="C13" s="75"/>
      <c r="D13" s="75"/>
      <c r="E13" s="75"/>
    </row>
    <row r="15" spans="1:13">
      <c r="F15" s="76"/>
    </row>
    <row r="17" spans="1:7">
      <c r="A17" s="58" t="s">
        <v>399</v>
      </c>
    </row>
    <row r="18" spans="1:7" ht="18">
      <c r="B18" s="77" t="s">
        <v>400</v>
      </c>
      <c r="C18" s="78"/>
      <c r="D18" s="79"/>
      <c r="E18" s="79"/>
    </row>
    <row r="19" spans="1:7">
      <c r="B19" s="80" t="s">
        <v>401</v>
      </c>
      <c r="C19" s="81"/>
      <c r="D19" s="81"/>
      <c r="E19" s="82">
        <f>BS_Maturity/365.25</f>
        <v>0.99931553730321698</v>
      </c>
      <c r="G19" s="83" t="s">
        <v>402</v>
      </c>
    </row>
    <row r="20" spans="1:7">
      <c r="B20" s="80" t="s">
        <v>403</v>
      </c>
      <c r="C20" s="81"/>
      <c r="D20" s="81"/>
      <c r="E20" s="82">
        <f>LN(1+BS_Interest)</f>
        <v>1.980262729617973E-2</v>
      </c>
    </row>
    <row r="21" spans="1:7">
      <c r="B21" s="80" t="s">
        <v>404</v>
      </c>
      <c r="C21" s="81"/>
      <c r="D21" s="81"/>
      <c r="E21" s="82">
        <f>LN(1+BS_Dividend)</f>
        <v>0</v>
      </c>
    </row>
    <row r="22" spans="1:7">
      <c r="B22" s="80" t="s">
        <v>405</v>
      </c>
      <c r="C22" s="81"/>
      <c r="D22" s="81"/>
      <c r="E22" s="82">
        <f>(LN(BS_Spot/BS_Strike)+(E20-E21+BS_Volatility^2/2)*E19)/(BS_Volatility*SQRT(E19))</f>
        <v>1.0970204390145586</v>
      </c>
    </row>
    <row r="23" spans="1:7">
      <c r="B23" s="80" t="s">
        <v>406</v>
      </c>
      <c r="C23" s="81"/>
      <c r="D23" s="81"/>
      <c r="E23" s="84">
        <f>E22-BS_Volatility*SQRT(E19)</f>
        <v>0.84710601149695597</v>
      </c>
    </row>
    <row r="24" spans="1:7">
      <c r="B24" s="80"/>
      <c r="C24" s="81"/>
      <c r="D24" s="81"/>
      <c r="E24" s="84"/>
    </row>
    <row r="25" spans="1:7">
      <c r="B25" s="80" t="s">
        <v>407</v>
      </c>
      <c r="C25" s="81"/>
      <c r="D25" s="81"/>
      <c r="E25" s="94">
        <f>BS_Spot*NORMSDIST(E22)-BS_Strike*EXP(-E20*E19)*NORMSDIST(E23)</f>
        <v>23.502271495244258</v>
      </c>
      <c r="G25" s="95">
        <f>callBS(BS_Spot,BS_Strike,BS_Maturity,BS_Interest,BS_Volatility,BS_Dividend)</f>
        <v>0</v>
      </c>
    </row>
    <row r="26" spans="1:7">
      <c r="B26" s="85" t="s">
        <v>408</v>
      </c>
      <c r="C26" s="86"/>
      <c r="D26" s="86"/>
      <c r="E26" s="94">
        <f>BS_Strike*EXP(-E20*E19)*NORMSDIST(-E23)-BS_Spot*NORMSDIST(-E22)</f>
        <v>1.9347071228160662</v>
      </c>
      <c r="G26" s="95">
        <f>putBS(BS_Spot,BS_Strike,BS_Maturity,BS_Interest,BS_Volatility,BS_Dividend)</f>
        <v>0</v>
      </c>
    </row>
    <row r="27" spans="1:7">
      <c r="E27" s="87"/>
    </row>
    <row r="28" spans="1:7">
      <c r="E28" s="76"/>
    </row>
    <row r="30" spans="1:7" ht="18">
      <c r="A30" s="60" t="s">
        <v>440</v>
      </c>
    </row>
    <row r="31" spans="1:7" ht="18">
      <c r="A31" s="60" t="s">
        <v>439</v>
      </c>
    </row>
    <row r="33" spans="2:4">
      <c r="C33" s="88" t="s">
        <v>409</v>
      </c>
      <c r="D33" s="88" t="s">
        <v>410</v>
      </c>
    </row>
    <row r="34" spans="2:4">
      <c r="B34" s="89" t="s">
        <v>411</v>
      </c>
      <c r="C34" s="90">
        <f>G25</f>
        <v>0</v>
      </c>
      <c r="D34" s="90">
        <f>G26</f>
        <v>0</v>
      </c>
    </row>
    <row r="35" spans="2:4">
      <c r="B35" s="91">
        <v>0.05</v>
      </c>
      <c r="C35" s="92"/>
      <c r="D35" s="93"/>
    </row>
    <row r="36" spans="2:4">
      <c r="B36" s="91">
        <v>0.1</v>
      </c>
      <c r="C36" s="92"/>
      <c r="D36" s="93"/>
    </row>
    <row r="37" spans="2:4">
      <c r="B37" s="91">
        <v>0.15</v>
      </c>
      <c r="C37" s="92"/>
      <c r="D37" s="93"/>
    </row>
    <row r="38" spans="2:4">
      <c r="B38" s="91">
        <v>0.2</v>
      </c>
      <c r="C38" s="92"/>
      <c r="D38" s="93"/>
    </row>
    <row r="39" spans="2:4">
      <c r="B39" s="91">
        <v>0.25</v>
      </c>
      <c r="C39" s="92"/>
      <c r="D39" s="93"/>
    </row>
    <row r="40" spans="2:4">
      <c r="B40" s="91">
        <v>0.3</v>
      </c>
      <c r="C40" s="92"/>
      <c r="D40" s="93"/>
    </row>
    <row r="41" spans="2:4">
      <c r="B41" s="91">
        <v>0.35</v>
      </c>
      <c r="C41" s="92"/>
      <c r="D41" s="93"/>
    </row>
    <row r="42" spans="2:4">
      <c r="B42" s="91">
        <v>0.4</v>
      </c>
      <c r="C42" s="92"/>
      <c r="D42" s="93"/>
    </row>
    <row r="43" spans="2:4">
      <c r="B43" s="91">
        <v>0.45</v>
      </c>
      <c r="C43" s="92"/>
      <c r="D43" s="93"/>
    </row>
    <row r="44" spans="2:4">
      <c r="B44" s="91">
        <v>0.5</v>
      </c>
      <c r="C44" s="92"/>
      <c r="D44" s="93"/>
    </row>
  </sheetData>
  <phoneticPr fontId="33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35841" r:id="rId4">
          <objectPr defaultSize="0" autoPict="0" r:id="rId5">
            <anchor moveWithCells="1" sizeWithCells="1">
              <from>
                <xdr:col>6</xdr:col>
                <xdr:colOff>28575</xdr:colOff>
                <xdr:row>5</xdr:row>
                <xdr:rowOff>142875</xdr:rowOff>
              </from>
              <to>
                <xdr:col>12</xdr:col>
                <xdr:colOff>19050</xdr:colOff>
                <xdr:row>15</xdr:row>
                <xdr:rowOff>200025</xdr:rowOff>
              </to>
            </anchor>
          </objectPr>
        </oleObject>
      </mc:Choice>
      <mc:Fallback>
        <oleObject progId="Equation.3" shapeId="3584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6" name="Button 2">
              <controlPr defaultSize="0" print="0" autoFill="0" autoLine="0" autoPict="0" macro="[1]!Go_Contents">
                <anchor moveWithCells="1" sizeWithCells="1">
                  <from>
                    <xdr:col>11</xdr:col>
                    <xdr:colOff>400050</xdr:colOff>
                    <xdr:row>0</xdr:row>
                    <xdr:rowOff>19050</xdr:rowOff>
                  </from>
                  <to>
                    <xdr:col>13</xdr:col>
                    <xdr:colOff>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48"/>
  <sheetViews>
    <sheetView workbookViewId="0">
      <selection activeCell="G35" sqref="G35"/>
    </sheetView>
  </sheetViews>
  <sheetFormatPr defaultRowHeight="12.75"/>
  <cols>
    <col min="1" max="10" width="10.7109375" customWidth="1"/>
  </cols>
  <sheetData>
    <row r="1" spans="1:10">
      <c r="A1" s="110" t="s">
        <v>458</v>
      </c>
    </row>
    <row r="2" spans="1:10">
      <c r="A2" s="110"/>
    </row>
    <row r="3" spans="1:10">
      <c r="A3" s="110" t="s">
        <v>459</v>
      </c>
    </row>
    <row r="4" spans="1:10">
      <c r="A4" t="s">
        <v>460</v>
      </c>
      <c r="I4" s="111" t="s">
        <v>461</v>
      </c>
      <c r="J4" s="112">
        <f>B17</f>
        <v>-1</v>
      </c>
    </row>
    <row r="5" spans="1:10">
      <c r="A5" t="s">
        <v>462</v>
      </c>
      <c r="I5" s="111" t="s">
        <v>463</v>
      </c>
      <c r="J5" s="112">
        <f>B18</f>
        <v>5</v>
      </c>
    </row>
    <row r="7" spans="1:10" ht="13.5" thickBot="1">
      <c r="I7" s="113" t="s">
        <v>464</v>
      </c>
      <c r="J7" s="113" t="s">
        <v>465</v>
      </c>
    </row>
    <row r="8" spans="1:10">
      <c r="A8" s="114" t="s">
        <v>466</v>
      </c>
      <c r="B8" s="115"/>
      <c r="I8">
        <v>-1</v>
      </c>
      <c r="J8">
        <v>4</v>
      </c>
    </row>
    <row r="9" spans="1:10" ht="13.5">
      <c r="A9" s="116" t="s">
        <v>465</v>
      </c>
      <c r="B9" s="117">
        <f>B13^2-B13+2</f>
        <v>1.75</v>
      </c>
      <c r="I9">
        <v>-0.85</v>
      </c>
      <c r="J9">
        <v>3.5724999999999998</v>
      </c>
    </row>
    <row r="10" spans="1:10">
      <c r="I10">
        <v>-0.7</v>
      </c>
      <c r="J10">
        <v>3.19</v>
      </c>
    </row>
    <row r="11" spans="1:10">
      <c r="I11">
        <v>-0.55000000000000004</v>
      </c>
      <c r="J11">
        <v>2.8525</v>
      </c>
    </row>
    <row r="12" spans="1:10">
      <c r="A12" s="114" t="s">
        <v>467</v>
      </c>
      <c r="B12" s="115"/>
      <c r="I12">
        <v>-0.4</v>
      </c>
      <c r="J12">
        <v>2.56</v>
      </c>
    </row>
    <row r="13" spans="1:10" ht="13.5">
      <c r="A13" s="116" t="s">
        <v>464</v>
      </c>
      <c r="B13" s="118">
        <v>0.49999999924395161</v>
      </c>
      <c r="I13">
        <v>-0.25</v>
      </c>
      <c r="J13">
        <v>2.3125</v>
      </c>
    </row>
    <row r="14" spans="1:10">
      <c r="I14">
        <v>-9.9999999999999922E-2</v>
      </c>
      <c r="J14">
        <v>2.11</v>
      </c>
    </row>
    <row r="15" spans="1:10">
      <c r="I15">
        <v>5.0000000000000072E-2</v>
      </c>
      <c r="J15">
        <v>1.9524999999999999</v>
      </c>
    </row>
    <row r="16" spans="1:10">
      <c r="A16" s="114" t="s">
        <v>468</v>
      </c>
      <c r="B16" s="115"/>
      <c r="I16">
        <v>0.2</v>
      </c>
      <c r="J16">
        <v>1.84</v>
      </c>
    </row>
    <row r="17" spans="1:10">
      <c r="A17" s="111" t="s">
        <v>469</v>
      </c>
      <c r="B17" s="9">
        <v>-1</v>
      </c>
      <c r="I17">
        <v>0.35</v>
      </c>
      <c r="J17">
        <v>1.7725</v>
      </c>
    </row>
    <row r="18" spans="1:10">
      <c r="A18" s="111" t="s">
        <v>470</v>
      </c>
      <c r="B18" s="9">
        <v>5</v>
      </c>
      <c r="I18">
        <v>0.5</v>
      </c>
      <c r="J18">
        <v>1.75</v>
      </c>
    </row>
    <row r="19" spans="1:10">
      <c r="I19">
        <v>0.65</v>
      </c>
      <c r="J19">
        <v>1.7725</v>
      </c>
    </row>
    <row r="20" spans="1:10">
      <c r="I20">
        <v>0.8</v>
      </c>
      <c r="J20">
        <v>1.84</v>
      </c>
    </row>
    <row r="21" spans="1:10">
      <c r="I21">
        <v>0.95</v>
      </c>
      <c r="J21">
        <v>1.9524999999999999</v>
      </c>
    </row>
    <row r="22" spans="1:10">
      <c r="I22">
        <v>1.1000000000000001</v>
      </c>
      <c r="J22">
        <v>2.11</v>
      </c>
    </row>
    <row r="23" spans="1:10">
      <c r="I23">
        <v>1.25</v>
      </c>
      <c r="J23">
        <v>2.3125</v>
      </c>
    </row>
    <row r="24" spans="1:10">
      <c r="I24">
        <v>1.4</v>
      </c>
      <c r="J24">
        <v>2.56</v>
      </c>
    </row>
    <row r="25" spans="1:10">
      <c r="I25">
        <v>1.55</v>
      </c>
      <c r="J25">
        <v>2.8525</v>
      </c>
    </row>
    <row r="26" spans="1:10">
      <c r="C26" s="119"/>
      <c r="I26">
        <v>1.7</v>
      </c>
      <c r="J26">
        <v>3.19</v>
      </c>
    </row>
    <row r="27" spans="1:10">
      <c r="C27" s="120"/>
      <c r="I27">
        <v>1.85</v>
      </c>
      <c r="J27">
        <v>3.5724999999999998</v>
      </c>
    </row>
    <row r="28" spans="1:10">
      <c r="C28" s="120"/>
      <c r="I28">
        <v>2</v>
      </c>
      <c r="J28">
        <v>4</v>
      </c>
    </row>
    <row r="29" spans="1:10">
      <c r="C29" s="120"/>
      <c r="I29">
        <v>2.15</v>
      </c>
      <c r="J29">
        <v>4.4725000000000001</v>
      </c>
    </row>
    <row r="30" spans="1:10">
      <c r="C30" s="120"/>
      <c r="I30">
        <v>2.2999999999999998</v>
      </c>
      <c r="J30">
        <v>4.99</v>
      </c>
    </row>
    <row r="31" spans="1:10">
      <c r="C31" s="120"/>
      <c r="I31">
        <v>2.4500000000000002</v>
      </c>
      <c r="J31">
        <v>5.5525000000000002</v>
      </c>
    </row>
    <row r="32" spans="1:10">
      <c r="C32" s="120"/>
      <c r="I32">
        <v>2.6</v>
      </c>
      <c r="J32">
        <v>6.16</v>
      </c>
    </row>
    <row r="33" spans="3:10">
      <c r="C33" s="120"/>
      <c r="I33">
        <v>2.75</v>
      </c>
      <c r="J33">
        <v>6.8125</v>
      </c>
    </row>
    <row r="34" spans="3:10">
      <c r="C34" s="120"/>
      <c r="I34">
        <v>2.9</v>
      </c>
      <c r="J34">
        <v>7.51</v>
      </c>
    </row>
    <row r="35" spans="3:10">
      <c r="C35" s="120"/>
      <c r="I35">
        <v>3.05</v>
      </c>
      <c r="J35">
        <v>8.2524999999999942</v>
      </c>
    </row>
    <row r="36" spans="3:10">
      <c r="C36" s="120"/>
      <c r="I36">
        <v>3.2</v>
      </c>
      <c r="J36">
        <v>9.0399999999999938</v>
      </c>
    </row>
    <row r="37" spans="3:10">
      <c r="C37" s="120"/>
      <c r="I37">
        <v>3.35</v>
      </c>
      <c r="J37">
        <v>9.8724999999999916</v>
      </c>
    </row>
    <row r="38" spans="3:10">
      <c r="C38" s="121"/>
      <c r="I38">
        <v>3.5</v>
      </c>
      <c r="J38">
        <v>10.75</v>
      </c>
    </row>
    <row r="39" spans="3:10">
      <c r="I39">
        <v>3.65</v>
      </c>
      <c r="J39">
        <v>11.672499999999999</v>
      </c>
    </row>
    <row r="40" spans="3:10">
      <c r="I40">
        <v>3.8</v>
      </c>
      <c r="J40">
        <v>12.64</v>
      </c>
    </row>
    <row r="41" spans="3:10">
      <c r="I41">
        <v>3.95</v>
      </c>
      <c r="J41">
        <v>13.6525</v>
      </c>
    </row>
    <row r="42" spans="3:10">
      <c r="I42">
        <v>4.0999999999999996</v>
      </c>
      <c r="J42">
        <v>14.71</v>
      </c>
    </row>
    <row r="43" spans="3:10">
      <c r="I43">
        <v>4.25</v>
      </c>
      <c r="J43">
        <v>15.8125</v>
      </c>
    </row>
    <row r="44" spans="3:10">
      <c r="I44">
        <v>4.4000000000000004</v>
      </c>
      <c r="J44">
        <v>16.96</v>
      </c>
    </row>
    <row r="45" spans="3:10">
      <c r="I45">
        <v>4.55</v>
      </c>
      <c r="J45">
        <v>18.1525</v>
      </c>
    </row>
    <row r="46" spans="3:10">
      <c r="I46">
        <v>4.7</v>
      </c>
      <c r="J46">
        <v>19.39</v>
      </c>
    </row>
    <row r="47" spans="3:10">
      <c r="I47">
        <v>4.8499999999999996</v>
      </c>
      <c r="J47">
        <v>20.672499999999999</v>
      </c>
    </row>
    <row r="48" spans="3:10">
      <c r="I48">
        <v>5</v>
      </c>
      <c r="J48">
        <v>22</v>
      </c>
    </row>
  </sheetData>
  <phoneticPr fontId="55" type="noConversion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3" shapeId="39937" r:id="rId3">
          <objectPr defaultSize="0" autoPict="0" r:id="rId4">
            <anchor moveWithCells="1">
              <from>
                <xdr:col>3</xdr:col>
                <xdr:colOff>552450</xdr:colOff>
                <xdr:row>3</xdr:row>
                <xdr:rowOff>9525</xdr:rowOff>
              </from>
              <to>
                <xdr:col>5</xdr:col>
                <xdr:colOff>619125</xdr:colOff>
                <xdr:row>5</xdr:row>
                <xdr:rowOff>57150</xdr:rowOff>
              </to>
            </anchor>
          </objectPr>
        </oleObject>
      </mc:Choice>
      <mc:Fallback>
        <oleObject progId="Equation.3" shapeId="39937" r:id="rId3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3]!Invoke_Solver">
                <anchor moveWithCells="1" siz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15</vt:i4>
      </vt:variant>
    </vt:vector>
  </HeadingPairs>
  <TitlesOfParts>
    <vt:vector size="29" baseType="lpstr">
      <vt:lpstr>Table of Contents</vt:lpstr>
      <vt:lpstr>Macro Recorder</vt:lpstr>
      <vt:lpstr>Object</vt:lpstr>
      <vt:lpstr>Basics</vt:lpstr>
      <vt:lpstr>Variables</vt:lpstr>
      <vt:lpstr>Constants</vt:lpstr>
      <vt:lpstr>Operators</vt:lpstr>
      <vt:lpstr>Statements</vt:lpstr>
      <vt:lpstr>Array</vt:lpstr>
      <vt:lpstr>Sub &amp; Function</vt:lpstr>
      <vt:lpstr>Built-In Function</vt:lpstr>
      <vt:lpstr>Box Muller</vt:lpstr>
      <vt:lpstr>BS</vt:lpstr>
      <vt:lpstr>Solver</vt:lpstr>
      <vt:lpstr>BS!BS_Dividend</vt:lpstr>
      <vt:lpstr>BS!BS_Interest</vt:lpstr>
      <vt:lpstr>BS!BS_Maturity</vt:lpstr>
      <vt:lpstr>BS!BS_Spot</vt:lpstr>
      <vt:lpstr>BS!BS_Strike</vt:lpstr>
      <vt:lpstr>BS!BS_Volatility</vt:lpstr>
      <vt:lpstr>ClearContents</vt:lpstr>
      <vt:lpstr>Color_Constants</vt:lpstr>
      <vt:lpstr>nvBM</vt:lpstr>
      <vt:lpstr>nvNI</vt:lpstr>
      <vt:lpstr>Uniform</vt:lpstr>
      <vt:lpstr>Basics!xltocobjectmodelapplication</vt:lpstr>
      <vt:lpstr>Object!xltocobjectmodelapplication</vt:lpstr>
      <vt:lpstr>Variables!xltocobjectmodelapplication</vt:lpstr>
      <vt:lpstr>YellowCells</vt:lpstr>
    </vt:vector>
  </TitlesOfParts>
  <Company>SBC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Mylich</cp:lastModifiedBy>
  <cp:lastPrinted>2008-06-23T07:43:02Z</cp:lastPrinted>
  <dcterms:created xsi:type="dcterms:W3CDTF">1998-02-25T07:19:13Z</dcterms:created>
  <dcterms:modified xsi:type="dcterms:W3CDTF">2011-03-18T08:17:20Z</dcterms:modified>
</cp:coreProperties>
</file>