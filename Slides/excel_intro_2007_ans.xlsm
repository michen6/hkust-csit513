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embeddings/oleObject8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embeddings/oleObject6.bin" ContentType="application/vnd.openxmlformats-officedocument.oleObject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embeddings/oleObject4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embeddings/oleObject2.bin" ContentType="application/vnd.openxmlformats-officedocument.oleObject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activeX/activeX1.xml" ContentType="application/vnd.ms-office.activeX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embeddings/oleObject9.bin" ContentType="application/vnd.openxmlformats-officedocument.oleObject"/>
  <Override PartName="/xl/charts/chart12.xml" ContentType="application/vnd.openxmlformats-officedocument.drawingml.char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Default Extension="png" ContentType="image/png"/>
  <Override PartName="/xl/embeddings/oleObject7.bin" ContentType="application/vnd.openxmlformats-officedocument.oleObject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activeX/activeX1.bin" ContentType="application/vnd.ms-office.activeX"/>
  <Override PartName="/xl/charts/chart5.xml" ContentType="application/vnd.openxmlformats-officedocument.drawingml.chart+xml"/>
  <Override PartName="/xl/embeddings/oleObject5.bin" ContentType="application/vnd.openxmlformats-officedocument.oleObject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embeddings/oleObject3.bin" ContentType="application/vnd.openxmlformats-officedocument.oleObject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embeddings/oleObject1.bin" ContentType="application/vnd.openxmlformats-officedocument.oleObject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/>
  <bookViews>
    <workbookView xWindow="-15" yWindow="-15" windowWidth="7530" windowHeight="4785" firstSheet="12" activeTab="18"/>
  </bookViews>
  <sheets>
    <sheet name="Sheet.m" sheetId="1" state="veryHidden" r:id=""/>
    <sheet name="Table of Contents" sheetId="3" r:id="rId1"/>
    <sheet name="Very Basics" sheetId="4" r:id="rId2"/>
    <sheet name="Navigating" sheetId="4909" r:id="rId3"/>
    <sheet name="Copy &amp; Paste" sheetId="4910" r:id="rId4"/>
    <sheet name="Formatting cells" sheetId="8" r:id="rId5"/>
    <sheet name="Formula" sheetId="6" r:id="rId6"/>
    <sheet name="Build-In Functions" sheetId="7" r:id="rId7"/>
    <sheet name="Build-In Functions (Time Value)" sheetId="4913" r:id="rId8"/>
    <sheet name="Build-In Functions (Stat)" sheetId="4914" r:id="rId9"/>
    <sheet name="Rand" sheetId="4915" r:id="rId10"/>
    <sheet name="Security (Price Model)" sheetId="2819" r:id="rId11"/>
    <sheet name="Data Table" sheetId="44" r:id="rId12"/>
    <sheet name="Pivot Table" sheetId="4923" r:id="rId13"/>
    <sheet name="Solver" sheetId="4924" r:id="rId14"/>
    <sheet name="Misc" sheetId="100" r:id="rId15"/>
    <sheet name="Normal Variates" sheetId="4922" r:id="rId16"/>
    <sheet name="Monte Carlo" sheetId="4921" r:id="rId17"/>
    <sheet name="BS" sheetId="4919" r:id="rId18"/>
  </sheets>
  <functionGroups/>
  <externalReferences>
    <externalReference r:id="rId19"/>
    <externalReference r:id="rId20"/>
    <externalReference r:id="rId21"/>
  </externalReferences>
  <definedNames>
    <definedName name="_1_">Navigating!$A$14</definedName>
    <definedName name="_2_">Navigating!$D$14</definedName>
    <definedName name="_3_">Navigating!$G$14</definedName>
    <definedName name="_4_">Navigating!$G$17</definedName>
    <definedName name="_5_">Navigating!$A$17</definedName>
    <definedName name="_6_">Navigating!$A$20</definedName>
    <definedName name="_xlnm._FilterDatabase" localSheetId="15" hidden="1">Misc!$A$6:$D$24</definedName>
    <definedName name="BS_d1">BS!$E$22</definedName>
    <definedName name="BS_d2">BS!$E$23</definedName>
    <definedName name="BS_Dividend">BS!$E$12</definedName>
    <definedName name="BS_DividendCC">BS!$E$21</definedName>
    <definedName name="BS_Interest">BS!$E$10</definedName>
    <definedName name="BS_InterestCC">BS!$E$20</definedName>
    <definedName name="BS_Maturity">BS!$E$9</definedName>
    <definedName name="BS_MaturityY">BS!$E$19</definedName>
    <definedName name="BS_Spot">BS!$E$7</definedName>
    <definedName name="BS_Strike">BS!$E$8</definedName>
    <definedName name="BS_Volatility">BS!$E$11</definedName>
    <definedName name="ComRate" localSheetId="13">[1]Lookup!$F$5:$G$7</definedName>
    <definedName name="ComRate" localSheetId="14">[1]Lookup!$F$5:$G$7</definedName>
    <definedName name="ComRate">[2]Lookup!$F$5:$G$7</definedName>
    <definedName name="Coupon">#REF!</definedName>
    <definedName name="Data_Table" localSheetId="7">'Build-In Functions'!#REF!</definedName>
    <definedName name="Data_Table" localSheetId="8">'Build-In Functions (Time Value)'!#REF!</definedName>
    <definedName name="Dept." localSheetId="7">'Build-In Functions'!#REF!</definedName>
    <definedName name="Dept." localSheetId="8">'Build-In Functions (Time Value)'!#REF!</definedName>
    <definedName name="Go_To_This_Cell">Navigating!$D$7</definedName>
    <definedName name="Index">#REF!</definedName>
    <definedName name="Interest_At_Maturity">Formula!$B$75</definedName>
    <definedName name="invA" localSheetId="13">[1]MatDef!$I$17:$K$19</definedName>
    <definedName name="invA" localSheetId="14">[1]MatDef!$I$17:$K$19</definedName>
    <definedName name="invA">[2]MatDef!$I$17:$K$19</definedName>
    <definedName name="MC_Dividend">'Monte Carlo'!$E$8</definedName>
    <definedName name="MC_DividendCC">'Monte Carlo'!$E$21</definedName>
    <definedName name="MC_Interest">'Monte Carlo'!$E$7</definedName>
    <definedName name="MC_InterestCC">'Monte Carlo'!$E$20</definedName>
    <definedName name="MC_NumOfSteps">'Monte Carlo'!$E$14</definedName>
    <definedName name="MC_Spot">'Monte Carlo'!$E$6</definedName>
    <definedName name="MC_Step">'Monte Carlo'!$E$13</definedName>
    <definedName name="MC_StepY">'Monte Carlo'!$E$19</definedName>
    <definedName name="MC_Volatility">'Monte Carlo'!$E$9</definedName>
    <definedName name="Name" localSheetId="7">'Build-In Functions'!#REF!</definedName>
    <definedName name="Name" localSheetId="8">'Build-In Functions (Time Value)'!#REF!</definedName>
    <definedName name="One_Month_Fixed">Formula!$A$70:$B$74</definedName>
    <definedName name="Period" localSheetId="13">[3]Formula!#REF!</definedName>
    <definedName name="Period" localSheetId="14">[3]Formula!#REF!</definedName>
    <definedName name="Period">Formula!#REF!</definedName>
    <definedName name="Qty_Sold" localSheetId="7">'Build-In Functions'!#REF!</definedName>
    <definedName name="Qty_Sold" localSheetId="8">'Build-In Functions (Time Value)'!#REF!</definedName>
    <definedName name="regoutput" localSheetId="13">[1]Beta!$E$8:$M$28</definedName>
    <definedName name="regoutput" localSheetId="14">[1]Beta!$E$8:$M$28</definedName>
    <definedName name="regoutput">[2]Beta!$E$8:$M$28</definedName>
    <definedName name="Salary" localSheetId="7">'Build-In Functions'!#REF!</definedName>
    <definedName name="Salary" localSheetId="8">'Build-In Functions (Time Value)'!#REF!</definedName>
    <definedName name="Sample_text" localSheetId="7">'Build-In Functions'!#REF!</definedName>
    <definedName name="Sample_text" localSheetId="8">'Build-In Functions (Time Value)'!#REF!</definedName>
    <definedName name="ShareA">#REF!</definedName>
    <definedName name="solver_adj" localSheetId="14" hidden="1">Solver!$B$19</definedName>
    <definedName name="solver_cvg" localSheetId="14" hidden="1">0.0001</definedName>
    <definedName name="solver_drv" localSheetId="14" hidden="1">1</definedName>
    <definedName name="solver_est" localSheetId="14" hidden="1">1</definedName>
    <definedName name="solver_itr" localSheetId="14" hidden="1">100</definedName>
    <definedName name="solver_lhs1" localSheetId="14" hidden="1">Solver!$B$19</definedName>
    <definedName name="solver_lhs2" localSheetId="14" hidden="1">Solver!$B$19</definedName>
    <definedName name="solver_lin" localSheetId="14" hidden="1">2</definedName>
    <definedName name="solver_neg" localSheetId="14" hidden="1">2</definedName>
    <definedName name="solver_num" localSheetId="14" hidden="1">2</definedName>
    <definedName name="solver_nwt" localSheetId="14" hidden="1">1</definedName>
    <definedName name="solver_opt" localSheetId="14" hidden="1">Solver!$B$15</definedName>
    <definedName name="solver_pre" localSheetId="14" hidden="1">0.000001</definedName>
    <definedName name="solver_rel1" localSheetId="14" hidden="1">1</definedName>
    <definedName name="solver_rel2" localSheetId="14" hidden="1">3</definedName>
    <definedName name="solver_rhs1" localSheetId="14" hidden="1">Solver!$B$24</definedName>
    <definedName name="solver_rhs2" localSheetId="14" hidden="1">Solver!$B$23</definedName>
    <definedName name="solver_scl" localSheetId="14" hidden="1">2</definedName>
    <definedName name="solver_sho" localSheetId="14" hidden="1">2</definedName>
    <definedName name="solver_tim" localSheetId="14" hidden="1">100</definedName>
    <definedName name="solver_tol" localSheetId="14" hidden="1">0.05</definedName>
    <definedName name="solver_typ" localSheetId="14" hidden="1">2</definedName>
    <definedName name="solver_val" localSheetId="14" hidden="1">0</definedName>
    <definedName name="testrange">Formula!A$112</definedName>
    <definedName name="Y" localSheetId="13">[1]MatDef!$C$21:$C$23</definedName>
    <definedName name="Y" localSheetId="14">[1]MatDef!$C$21:$C$23</definedName>
    <definedName name="Y">[2]MatDef!$C$21:$C$23</definedName>
  </definedNames>
  <calcPr calcId="124519"/>
  <pivotCaches>
    <pivotCache cacheId="0" r:id="rId22"/>
  </pivotCaches>
</workbook>
</file>

<file path=xl/calcChain.xml><?xml version="1.0" encoding="utf-8"?>
<calcChain xmlns="http://schemas.openxmlformats.org/spreadsheetml/2006/main">
  <c r="E21" i="4919"/>
  <c r="E20"/>
  <c r="E19"/>
  <c r="C29" i="492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E21"/>
  <c r="E20"/>
  <c r="E19"/>
  <c r="B518" i="4922"/>
  <c r="B517"/>
  <c r="B516"/>
  <c r="B515"/>
  <c r="B514"/>
  <c r="B513"/>
  <c r="B512"/>
  <c r="B511"/>
  <c r="B510"/>
  <c r="B509"/>
  <c r="B508"/>
  <c r="B507"/>
  <c r="B506"/>
  <c r="B505"/>
  <c r="B504"/>
  <c r="B503"/>
  <c r="B502"/>
  <c r="B501"/>
  <c r="B500"/>
  <c r="B499"/>
  <c r="B498"/>
  <c r="B497"/>
  <c r="B496"/>
  <c r="B495"/>
  <c r="B494"/>
  <c r="B493"/>
  <c r="B492"/>
  <c r="B491"/>
  <c r="B490"/>
  <c r="B489"/>
  <c r="B488"/>
  <c r="B487"/>
  <c r="B486"/>
  <c r="B485"/>
  <c r="B484"/>
  <c r="B483"/>
  <c r="B482"/>
  <c r="B481"/>
  <c r="B480"/>
  <c r="B479"/>
  <c r="B478"/>
  <c r="B477"/>
  <c r="B476"/>
  <c r="B475"/>
  <c r="B474"/>
  <c r="B473"/>
  <c r="B472"/>
  <c r="B471"/>
  <c r="B470"/>
  <c r="B469"/>
  <c r="B468"/>
  <c r="B467"/>
  <c r="B466"/>
  <c r="B465"/>
  <c r="B464"/>
  <c r="B463"/>
  <c r="B462"/>
  <c r="B461"/>
  <c r="B460"/>
  <c r="B459"/>
  <c r="B458"/>
  <c r="B457"/>
  <c r="B456"/>
  <c r="B455"/>
  <c r="B454"/>
  <c r="B453"/>
  <c r="B452"/>
  <c r="B451"/>
  <c r="B450"/>
  <c r="B449"/>
  <c r="B448"/>
  <c r="B447"/>
  <c r="B446"/>
  <c r="B445"/>
  <c r="B444"/>
  <c r="B443"/>
  <c r="B442"/>
  <c r="B441"/>
  <c r="B440"/>
  <c r="B439"/>
  <c r="B438"/>
  <c r="B437"/>
  <c r="B436"/>
  <c r="B435"/>
  <c r="B434"/>
  <c r="B433"/>
  <c r="B432"/>
  <c r="B431"/>
  <c r="B430"/>
  <c r="B429"/>
  <c r="B428"/>
  <c r="B427"/>
  <c r="B426"/>
  <c r="B425"/>
  <c r="B424"/>
  <c r="B423"/>
  <c r="B422"/>
  <c r="B421"/>
  <c r="B420"/>
  <c r="B419"/>
  <c r="B418"/>
  <c r="B417"/>
  <c r="B416"/>
  <c r="B415"/>
  <c r="B414"/>
  <c r="B413"/>
  <c r="B412"/>
  <c r="B411"/>
  <c r="B410"/>
  <c r="B409"/>
  <c r="B408"/>
  <c r="B407"/>
  <c r="B406"/>
  <c r="B405"/>
  <c r="B404"/>
  <c r="B403"/>
  <c r="B402"/>
  <c r="B401"/>
  <c r="B400"/>
  <c r="B399"/>
  <c r="B398"/>
  <c r="B397"/>
  <c r="B396"/>
  <c r="B395"/>
  <c r="B394"/>
  <c r="B393"/>
  <c r="B392"/>
  <c r="B391"/>
  <c r="B390"/>
  <c r="B389"/>
  <c r="B388"/>
  <c r="B387"/>
  <c r="B386"/>
  <c r="B385"/>
  <c r="B384"/>
  <c r="B383"/>
  <c r="B382"/>
  <c r="B381"/>
  <c r="B380"/>
  <c r="B379"/>
  <c r="B378"/>
  <c r="B377"/>
  <c r="B376"/>
  <c r="B375"/>
  <c r="B374"/>
  <c r="B373"/>
  <c r="B372"/>
  <c r="B371"/>
  <c r="B370"/>
  <c r="B369"/>
  <c r="B368"/>
  <c r="B367"/>
  <c r="B366"/>
  <c r="B365"/>
  <c r="B364"/>
  <c r="B363"/>
  <c r="B362"/>
  <c r="B361"/>
  <c r="B360"/>
  <c r="B359"/>
  <c r="B358"/>
  <c r="B357"/>
  <c r="B356"/>
  <c r="B355"/>
  <c r="B354"/>
  <c r="B353"/>
  <c r="B352"/>
  <c r="B351"/>
  <c r="B350"/>
  <c r="B349"/>
  <c r="B348"/>
  <c r="B347"/>
  <c r="B346"/>
  <c r="B345"/>
  <c r="B344"/>
  <c r="B343"/>
  <c r="B342"/>
  <c r="B341"/>
  <c r="B340"/>
  <c r="B339"/>
  <c r="B338"/>
  <c r="B337"/>
  <c r="B336"/>
  <c r="B335"/>
  <c r="B334"/>
  <c r="B333"/>
  <c r="B332"/>
  <c r="B331"/>
  <c r="B330"/>
  <c r="B329"/>
  <c r="B328"/>
  <c r="B327"/>
  <c r="B326"/>
  <c r="B325"/>
  <c r="B324"/>
  <c r="B323"/>
  <c r="B322"/>
  <c r="B321"/>
  <c r="B320"/>
  <c r="B319"/>
  <c r="B318"/>
  <c r="B317"/>
  <c r="B316"/>
  <c r="B315"/>
  <c r="B314"/>
  <c r="B313"/>
  <c r="B312"/>
  <c r="B311"/>
  <c r="B310"/>
  <c r="B309"/>
  <c r="B308"/>
  <c r="B307"/>
  <c r="B306"/>
  <c r="B305"/>
  <c r="B304"/>
  <c r="B303"/>
  <c r="B302"/>
  <c r="B301"/>
  <c r="B300"/>
  <c r="B299"/>
  <c r="B298"/>
  <c r="B297"/>
  <c r="B296"/>
  <c r="B295"/>
  <c r="B294"/>
  <c r="B293"/>
  <c r="B292"/>
  <c r="B291"/>
  <c r="B290"/>
  <c r="B289"/>
  <c r="B288"/>
  <c r="B287"/>
  <c r="B286"/>
  <c r="B285"/>
  <c r="B284"/>
  <c r="B283"/>
  <c r="B282"/>
  <c r="B281"/>
  <c r="B280"/>
  <c r="B279"/>
  <c r="B278"/>
  <c r="B277"/>
  <c r="B276"/>
  <c r="B275"/>
  <c r="B274"/>
  <c r="B273"/>
  <c r="B272"/>
  <c r="B271"/>
  <c r="B270"/>
  <c r="B269"/>
  <c r="B268"/>
  <c r="B267"/>
  <c r="B266"/>
  <c r="B265"/>
  <c r="B264"/>
  <c r="B263"/>
  <c r="B262"/>
  <c r="B261"/>
  <c r="B260"/>
  <c r="B259"/>
  <c r="B258"/>
  <c r="B257"/>
  <c r="B256"/>
  <c r="B255"/>
  <c r="B254"/>
  <c r="B253"/>
  <c r="B252"/>
  <c r="B251"/>
  <c r="B250"/>
  <c r="B249"/>
  <c r="B248"/>
  <c r="B247"/>
  <c r="B246"/>
  <c r="B245"/>
  <c r="B244"/>
  <c r="B243"/>
  <c r="B242"/>
  <c r="B241"/>
  <c r="B240"/>
  <c r="B239"/>
  <c r="B238"/>
  <c r="B237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519"/>
  <c r="K20" i="2819"/>
  <c r="K11"/>
  <c r="K12"/>
  <c r="K13"/>
  <c r="K14"/>
  <c r="K15"/>
  <c r="K16"/>
  <c r="K17"/>
  <c r="K18"/>
  <c r="K19"/>
  <c r="K10"/>
  <c r="J12"/>
  <c r="J13"/>
  <c r="J14"/>
  <c r="J15"/>
  <c r="J16"/>
  <c r="J17"/>
  <c r="J18"/>
  <c r="J19"/>
  <c r="J20"/>
  <c r="J11"/>
  <c r="J10"/>
  <c r="I11"/>
  <c r="I12"/>
  <c r="I13"/>
  <c r="I14"/>
  <c r="I15"/>
  <c r="I16"/>
  <c r="I17"/>
  <c r="I18"/>
  <c r="I19"/>
  <c r="I20"/>
  <c r="I10"/>
  <c r="H10" a="1"/>
  <c r="H10"/>
  <c r="H11"/>
  <c r="H12"/>
  <c r="H13"/>
  <c r="H14"/>
  <c r="H15"/>
  <c r="H16"/>
  <c r="H17"/>
  <c r="H18"/>
  <c r="H19"/>
  <c r="H20"/>
  <c r="E12"/>
  <c r="D12"/>
  <c r="E11"/>
  <c r="D11"/>
  <c r="E10"/>
  <c r="D10"/>
  <c r="E9"/>
  <c r="D9"/>
  <c r="B67" i="4913"/>
  <c r="B59"/>
  <c r="B46"/>
  <c r="B38"/>
  <c r="B30"/>
  <c r="B22"/>
  <c r="B14"/>
  <c r="F81" i="7"/>
  <c r="F80"/>
  <c r="E80"/>
  <c r="F78"/>
  <c r="F79"/>
  <c r="F77"/>
  <c r="E79"/>
  <c r="E78"/>
  <c r="E77"/>
  <c r="C74"/>
  <c r="B57"/>
  <c r="B58" s="1"/>
  <c r="J11" i="4924"/>
  <c r="J10"/>
  <c r="B15"/>
  <c r="A155" i="7" a="1"/>
  <c r="A155"/>
  <c r="B155"/>
  <c r="A156"/>
  <c r="B156"/>
  <c r="A149" a="1"/>
  <c r="A149"/>
  <c r="B149"/>
  <c r="A150"/>
  <c r="B150"/>
  <c r="A144" a="1"/>
  <c r="A144"/>
  <c r="B144"/>
  <c r="D84"/>
  <c r="G36"/>
  <c r="G37"/>
  <c r="B30" i="4921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G11" i="2819"/>
  <c r="G12"/>
  <c r="G13"/>
  <c r="G14"/>
  <c r="G15"/>
  <c r="G16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D8" i="44"/>
  <c r="C12"/>
  <c r="C13"/>
  <c r="C18"/>
  <c r="D18"/>
  <c r="I18"/>
  <c r="B32"/>
  <c r="G17" i="2819"/>
  <c r="G18"/>
  <c r="G19"/>
  <c r="G20"/>
  <c r="H21"/>
  <c r="A31" i="4915"/>
  <c r="A32"/>
  <c r="A33"/>
  <c r="A34"/>
  <c r="A35"/>
  <c r="A36"/>
  <c r="A37"/>
  <c r="A38"/>
  <c r="A39"/>
  <c r="A40"/>
  <c r="B5" a="1"/>
  <c r="B5"/>
  <c r="B6"/>
  <c r="B7"/>
  <c r="B8"/>
  <c r="B9"/>
  <c r="B10"/>
  <c r="B11"/>
  <c r="B12"/>
  <c r="B13"/>
  <c r="B14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G5" a="1"/>
  <c r="G5"/>
  <c r="G6"/>
  <c r="G7"/>
  <c r="G8"/>
  <c r="G9"/>
  <c r="G10"/>
  <c r="G11"/>
  <c r="G12"/>
  <c r="G13"/>
  <c r="G14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1018"/>
  <c r="K1019"/>
  <c r="K1020"/>
  <c r="K1021"/>
  <c r="K1022"/>
  <c r="K1023"/>
  <c r="K1024"/>
  <c r="K1025"/>
  <c r="K1026"/>
  <c r="K1027"/>
  <c r="K1028"/>
  <c r="K1029"/>
  <c r="K1030"/>
  <c r="L5" a="1"/>
  <c r="L5"/>
  <c r="L6"/>
  <c r="L7"/>
  <c r="L8"/>
  <c r="L9"/>
  <c r="L10"/>
  <c r="L11"/>
  <c r="L12"/>
  <c r="L13"/>
  <c r="L14"/>
  <c r="B15"/>
  <c r="G15"/>
  <c r="L15"/>
  <c r="F4" i="4914"/>
  <c r="F16"/>
  <c r="F17"/>
  <c r="F18"/>
  <c r="F19"/>
  <c r="F20"/>
  <c r="F21"/>
  <c r="F22"/>
  <c r="F23"/>
  <c r="F24"/>
  <c r="F25"/>
  <c r="F31"/>
  <c r="F32"/>
  <c r="F33"/>
  <c r="B44"/>
  <c r="C44"/>
  <c r="D44"/>
  <c r="A45"/>
  <c r="B45"/>
  <c r="C45"/>
  <c r="D45"/>
  <c r="A46"/>
  <c r="B46"/>
  <c r="C46"/>
  <c r="D46"/>
  <c r="A47"/>
  <c r="B47"/>
  <c r="C47"/>
  <c r="D47"/>
  <c r="A48"/>
  <c r="B48"/>
  <c r="C48"/>
  <c r="D48"/>
  <c r="A49"/>
  <c r="B49"/>
  <c r="C49"/>
  <c r="D49"/>
  <c r="A50"/>
  <c r="B50"/>
  <c r="C50"/>
  <c r="D50"/>
  <c r="A51"/>
  <c r="B51"/>
  <c r="C51"/>
  <c r="D51"/>
  <c r="A52"/>
  <c r="B52"/>
  <c r="C52"/>
  <c r="D52"/>
  <c r="A53"/>
  <c r="B53"/>
  <c r="C53"/>
  <c r="D53"/>
  <c r="A54"/>
  <c r="B54"/>
  <c r="C54"/>
  <c r="D54"/>
  <c r="A55"/>
  <c r="B55"/>
  <c r="C55"/>
  <c r="D55"/>
  <c r="A56"/>
  <c r="B56"/>
  <c r="C56"/>
  <c r="D56"/>
  <c r="A57"/>
  <c r="B57"/>
  <c r="C57"/>
  <c r="D57"/>
  <c r="A58"/>
  <c r="B58"/>
  <c r="C58"/>
  <c r="D58"/>
  <c r="A59"/>
  <c r="B59"/>
  <c r="C59"/>
  <c r="D59"/>
  <c r="A60"/>
  <c r="B60"/>
  <c r="C60"/>
  <c r="D60"/>
  <c r="B13" i="4913"/>
  <c r="C13"/>
  <c r="D13"/>
  <c r="E13"/>
  <c r="F13"/>
  <c r="G13"/>
  <c r="H13"/>
  <c r="B21"/>
  <c r="C21"/>
  <c r="D21"/>
  <c r="E21"/>
  <c r="F21"/>
  <c r="G21"/>
  <c r="H21"/>
  <c r="B29"/>
  <c r="C29"/>
  <c r="D29"/>
  <c r="E29"/>
  <c r="F29"/>
  <c r="G29"/>
  <c r="H29"/>
  <c r="D30"/>
  <c r="B37"/>
  <c r="C37"/>
  <c r="D37"/>
  <c r="E37"/>
  <c r="F37"/>
  <c r="G37"/>
  <c r="H37"/>
  <c r="B45"/>
  <c r="C45"/>
  <c r="D45"/>
  <c r="E45"/>
  <c r="F45"/>
  <c r="G45"/>
  <c r="H45"/>
  <c r="B58"/>
  <c r="C58"/>
  <c r="D58"/>
  <c r="E58"/>
  <c r="F58"/>
  <c r="G58"/>
  <c r="H58"/>
  <c r="B66"/>
  <c r="C66"/>
  <c r="D66"/>
  <c r="E66"/>
  <c r="F66"/>
  <c r="G66"/>
  <c r="H66"/>
  <c r="G4" i="7"/>
  <c r="G5"/>
  <c r="G6"/>
  <c r="G7"/>
  <c r="G8"/>
  <c r="G9"/>
  <c r="G10"/>
  <c r="G11"/>
  <c r="G12"/>
  <c r="G13"/>
  <c r="G14"/>
  <c r="G15"/>
  <c r="G16"/>
  <c r="G17"/>
  <c r="G18"/>
  <c r="G19"/>
  <c r="G20"/>
  <c r="G24"/>
  <c r="G25"/>
  <c r="G26"/>
  <c r="G27"/>
  <c r="G28"/>
  <c r="G29"/>
  <c r="G30"/>
  <c r="G31"/>
  <c r="G32"/>
  <c r="G33"/>
  <c r="G34"/>
  <c r="G35"/>
  <c r="G41"/>
  <c r="H41"/>
  <c r="G42"/>
  <c r="H42"/>
  <c r="G43"/>
  <c r="G44"/>
  <c r="G45"/>
  <c r="G46"/>
  <c r="G47"/>
  <c r="G48"/>
  <c r="G49"/>
  <c r="G50"/>
  <c r="G51"/>
  <c r="G52"/>
  <c r="G53"/>
  <c r="G66"/>
  <c r="G88"/>
  <c r="G92"/>
  <c r="D103"/>
  <c r="E114"/>
  <c r="E13" i="6"/>
  <c r="B70"/>
  <c r="B71"/>
  <c r="C9" i="8"/>
  <c r="D9"/>
  <c r="E9"/>
  <c r="F9"/>
  <c r="G9"/>
  <c r="H9"/>
  <c r="C10"/>
  <c r="D10"/>
  <c r="E10"/>
  <c r="F10"/>
  <c r="G10"/>
  <c r="H10"/>
  <c r="C11"/>
  <c r="D11"/>
  <c r="E11"/>
  <c r="F11"/>
  <c r="G11"/>
  <c r="H11"/>
  <c r="C12"/>
  <c r="D12"/>
  <c r="E12"/>
  <c r="F12"/>
  <c r="G12"/>
  <c r="H12"/>
  <c r="C32"/>
  <c r="D32"/>
  <c r="E32"/>
  <c r="F32"/>
  <c r="C33"/>
  <c r="D33"/>
  <c r="E33"/>
  <c r="F33"/>
  <c r="C34"/>
  <c r="D34"/>
  <c r="E34"/>
  <c r="F34"/>
  <c r="C42"/>
  <c r="D42"/>
  <c r="F42"/>
  <c r="H42"/>
  <c r="C4" i="4914"/>
  <c r="C16"/>
  <c r="C17"/>
  <c r="C18"/>
  <c r="A19"/>
  <c r="C20"/>
  <c r="A21"/>
  <c r="C22"/>
  <c r="A23"/>
  <c r="C24"/>
  <c r="A25"/>
  <c r="C31"/>
  <c r="C32"/>
  <c r="A33"/>
  <c r="A13" i="4913"/>
  <c r="A21"/>
  <c r="A29"/>
  <c r="A37"/>
  <c r="A45"/>
  <c r="A58"/>
  <c r="A66"/>
  <c r="C4" i="7"/>
  <c r="C5"/>
  <c r="C6"/>
  <c r="C7"/>
  <c r="C8"/>
  <c r="C9"/>
  <c r="C10"/>
  <c r="C11"/>
  <c r="C12"/>
  <c r="C13"/>
  <c r="C14"/>
  <c r="C15"/>
  <c r="C16"/>
  <c r="C17"/>
  <c r="C18"/>
  <c r="C19"/>
  <c r="C20"/>
  <c r="C24"/>
  <c r="C25"/>
  <c r="C26"/>
  <c r="C27"/>
  <c r="C28"/>
  <c r="C29"/>
  <c r="C30"/>
  <c r="C31"/>
  <c r="C32"/>
  <c r="C33"/>
  <c r="C34"/>
  <c r="C35"/>
  <c r="C36"/>
  <c r="C37"/>
  <c r="C41"/>
  <c r="C42"/>
  <c r="C43"/>
  <c r="C44"/>
  <c r="C45"/>
  <c r="C46"/>
  <c r="C47"/>
  <c r="C48"/>
  <c r="C49"/>
  <c r="C50"/>
  <c r="C51"/>
  <c r="C52"/>
  <c r="C53"/>
  <c r="C66"/>
  <c r="C88"/>
  <c r="C92"/>
  <c r="A103"/>
  <c r="A114"/>
  <c r="E22" i="4919" l="1"/>
  <c r="E23"/>
  <c r="F27" i="4922" a="1"/>
  <c r="F27"/>
  <c r="F28"/>
  <c r="F29"/>
  <c r="F30"/>
  <c r="F31"/>
  <c r="F32"/>
  <c r="F33"/>
  <c r="F34"/>
  <c r="F35"/>
  <c r="F36"/>
  <c r="F37"/>
  <c r="F38"/>
  <c r="F39"/>
  <c r="F23"/>
  <c r="F22"/>
  <c r="B59" i="7"/>
  <c r="E26" i="4919" l="1"/>
  <c r="D34" s="1"/>
  <c r="E25"/>
  <c r="C34" s="1"/>
</calcChain>
</file>

<file path=xl/comments1.xml><?xml version="1.0" encoding="utf-8"?>
<comments xmlns="http://schemas.openxmlformats.org/spreadsheetml/2006/main">
  <authors>
    <author>CD Shum</author>
  </authors>
  <commentList>
    <comment ref="E9" authorId="0">
      <text>
        <r>
          <rPr>
            <b/>
            <sz val="8"/>
            <color indexed="81"/>
            <rFont val="Tahoma"/>
            <family val="2"/>
          </rPr>
          <t>Note space after number for "-" alignment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Note space before "$" for "-" alignment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Note space after "K" for ")" alignment</t>
        </r>
      </text>
    </comment>
  </commentList>
</comments>
</file>

<file path=xl/comments2.xml><?xml version="1.0" encoding="utf-8"?>
<comments xmlns="http://schemas.openxmlformats.org/spreadsheetml/2006/main">
  <authors>
    <author>Office-Main</author>
  </authors>
  <commentList>
    <comment ref="H41" authorId="0">
      <text>
        <r>
          <rPr>
            <b/>
            <sz val="8"/>
            <color indexed="81"/>
            <rFont val="Tahoma"/>
            <family val="2"/>
          </rPr>
          <t>underlying number representation of date</t>
        </r>
      </text>
    </comment>
    <comment ref="H42" authorId="0">
      <text>
        <r>
          <rPr>
            <b/>
            <sz val="8"/>
            <color indexed="81"/>
            <rFont val="Tahoma"/>
            <family val="2"/>
          </rPr>
          <t>underlying number representation of time</t>
        </r>
      </text>
    </comment>
    <comment ref="G53" authorId="0">
      <text>
        <r>
          <rPr>
            <b/>
            <sz val="8"/>
            <color indexed="81"/>
            <rFont val="Tahoma"/>
            <family val="2"/>
          </rPr>
          <t>1: Sunday
...
7: Saturday</t>
        </r>
      </text>
    </comment>
  </commentList>
</comments>
</file>

<file path=xl/sharedStrings.xml><?xml version="1.0" encoding="utf-8"?>
<sst xmlns="http://schemas.openxmlformats.org/spreadsheetml/2006/main" count="660" uniqueCount="529">
  <si>
    <t>Interest (Annual)</t>
  </si>
  <si>
    <t>Dividend (Annual)</t>
  </si>
  <si>
    <t>Volatility (Annual)</t>
  </si>
  <si>
    <t>Asset Input</t>
  </si>
  <si>
    <t>Simulation</t>
  </si>
  <si>
    <t>Step</t>
  </si>
  <si>
    <t>Number of Steps</t>
  </si>
  <si>
    <t>Asset Price Model</t>
  </si>
  <si>
    <t>Assume 100 maximum</t>
  </si>
  <si>
    <t>Interest (Continuous Compounding)</t>
  </si>
  <si>
    <t>Step (Year)</t>
  </si>
  <si>
    <t>Step (Day)</t>
  </si>
  <si>
    <t>NORMAL(x, mean, standard_dev, cumulative)</t>
  </si>
  <si>
    <t>NORMINV(x, mean, standard_dev, cumulative)</t>
  </si>
  <si>
    <t>Build-In Functions (Statistics)</t>
  </si>
  <si>
    <t>Contents</t>
  </si>
  <si>
    <t>Using keyboards to activate the menu</t>
  </si>
  <si>
    <t>Name</t>
  </si>
  <si>
    <t>Salary</t>
  </si>
  <si>
    <t>Dept.</t>
  </si>
  <si>
    <t>Qty Sold</t>
  </si>
  <si>
    <t>Andrew Fuller</t>
  </si>
  <si>
    <t>Michael Suyama</t>
  </si>
  <si>
    <t>Janice Leverling</t>
  </si>
  <si>
    <t>Linda Callahan</t>
  </si>
  <si>
    <t>Johnathan King</t>
  </si>
  <si>
    <t>Start Date</t>
  </si>
  <si>
    <t>Julia Callahan</t>
  </si>
  <si>
    <t>Susan King</t>
  </si>
  <si>
    <t>Karen Carpenter</t>
  </si>
  <si>
    <t>Andy Baker</t>
  </si>
  <si>
    <t>Charlie Brown</t>
  </si>
  <si>
    <t>Micky Mouse</t>
  </si>
  <si>
    <t>Donald Duck</t>
  </si>
  <si>
    <t>Tom Wong</t>
  </si>
  <si>
    <t>Mark Chan</t>
  </si>
  <si>
    <t>Summary Statistics:</t>
  </si>
  <si>
    <t>Returns</t>
  </si>
  <si>
    <t>Ln Returns</t>
  </si>
  <si>
    <t>Frequency Distribution:</t>
  </si>
  <si>
    <t>Mean</t>
  </si>
  <si>
    <t>interval</t>
  </si>
  <si>
    <t>freq</t>
  </si>
  <si>
    <t>%freq</t>
  </si>
  <si>
    <t>%cum freq</t>
  </si>
  <si>
    <t>St Dev</t>
  </si>
  <si>
    <t>Max</t>
  </si>
  <si>
    <t>Min</t>
  </si>
  <si>
    <t>Month</t>
  </si>
  <si>
    <t>Total</t>
  </si>
  <si>
    <t>DATA</t>
    <phoneticPr fontId="20" type="noConversion"/>
  </si>
  <si>
    <t>Returns</t>
    <phoneticPr fontId="20" type="noConversion"/>
  </si>
  <si>
    <t>Ln Return</t>
    <phoneticPr fontId="20" type="noConversion"/>
  </si>
  <si>
    <t>Normal Distribution</t>
    <phoneticPr fontId="21" type="noConversion"/>
  </si>
  <si>
    <t>Inverse normal</t>
    <phoneticPr fontId="20" type="noConversion"/>
  </si>
  <si>
    <t>Continuous Compounding</t>
  </si>
  <si>
    <t>Compound factor t yrs</t>
  </si>
  <si>
    <t>Enter formula(s) for output</t>
  </si>
  <si>
    <t>discount</t>
  </si>
  <si>
    <t xml:space="preserve">Rate = </t>
  </si>
  <si>
    <t>interest rate r</t>
  </si>
  <si>
    <t>Excel Introduction</t>
  </si>
  <si>
    <t>Online Help</t>
  </si>
  <si>
    <t>Place the mouse pointer on any toolbar button and wait a couple seconds.</t>
  </si>
  <si>
    <t>Navigating</t>
  </si>
  <si>
    <r>
      <t>2) Ctrl + Right Arrow</t>
    </r>
    <r>
      <rPr>
        <b/>
        <sz val="10"/>
        <rFont val="Arial"/>
        <family val="2"/>
      </rPr>
      <t xml:space="preserve"> to get here</t>
    </r>
  </si>
  <si>
    <r>
      <t>3) Ctrl + Right Arrow</t>
    </r>
    <r>
      <rPr>
        <b/>
        <sz val="10"/>
        <rFont val="Arial"/>
        <family val="2"/>
      </rPr>
      <t xml:space="preserve"> to get here</t>
    </r>
  </si>
  <si>
    <r>
      <t>4) Ctrl + Down Arrow</t>
    </r>
    <r>
      <rPr>
        <b/>
        <sz val="10"/>
        <rFont val="Arial"/>
        <family val="2"/>
      </rPr>
      <t xml:space="preserve"> to get here</t>
    </r>
  </si>
  <si>
    <r>
      <t>5) Ctrl + Left Arrow</t>
    </r>
    <r>
      <rPr>
        <b/>
        <sz val="10"/>
        <rFont val="Arial"/>
        <family val="2"/>
      </rPr>
      <t xml:space="preserve"> to get here</t>
    </r>
  </si>
  <si>
    <t>Ctrl + Arrows</t>
  </si>
  <si>
    <t>top and leftmost</t>
  </si>
  <si>
    <t>bottom and rightmost</t>
  </si>
  <si>
    <t>copy to here</t>
  </si>
  <si>
    <r>
      <t>1)</t>
    </r>
    <r>
      <rPr>
        <b/>
        <sz val="10"/>
        <rFont val="Arial"/>
        <family val="2"/>
      </rPr>
      <t xml:space="preserve"> Start Here</t>
    </r>
  </si>
  <si>
    <t>Jump To a Particular Cell</t>
  </si>
  <si>
    <t>Go To This Cell</t>
  </si>
  <si>
    <r>
      <t>6) Ctrl + Down Arrow</t>
    </r>
    <r>
      <rPr>
        <b/>
        <sz val="10"/>
        <rFont val="Arial"/>
        <family val="2"/>
      </rPr>
      <t xml:space="preserve"> to get here</t>
    </r>
    <r>
      <rPr>
        <b/>
        <sz val="10"/>
        <rFont val="Arial"/>
        <family val="2"/>
      </rPr>
      <t xml:space="preserve">  </t>
    </r>
  </si>
  <si>
    <r>
      <t xml:space="preserve">    Ctrl + Right Arrow </t>
    </r>
    <r>
      <rPr>
        <b/>
        <sz val="10"/>
        <rFont val="Arial"/>
        <family val="2"/>
      </rPr>
      <t>to rightmost cell</t>
    </r>
  </si>
  <si>
    <r>
      <t xml:space="preserve">    Press Home or Ctrl + Right Arrow </t>
    </r>
    <r>
      <rPr>
        <b/>
        <sz val="10"/>
        <rFont val="Arial"/>
        <family val="2"/>
      </rPr>
      <t>to come back to 6</t>
    </r>
  </si>
  <si>
    <r>
      <t xml:space="preserve">1. Activate cell marked "top and leftmost".
2. Press </t>
    </r>
    <r>
      <rPr>
        <sz val="12"/>
        <color indexed="56"/>
        <rFont val="Arial"/>
        <family val="2"/>
      </rPr>
      <t>Ctrl + Shift + Right</t>
    </r>
    <r>
      <rPr>
        <sz val="12"/>
        <rFont val="Arial"/>
        <family val="2"/>
      </rPr>
      <t xml:space="preserve"> Arrow.
3. Press </t>
    </r>
    <r>
      <rPr>
        <sz val="12"/>
        <color indexed="56"/>
        <rFont val="Arial"/>
        <family val="2"/>
      </rPr>
      <t>Ctrl + Shift + Down</t>
    </r>
    <r>
      <rPr>
        <sz val="12"/>
        <rFont val="Arial"/>
        <family val="2"/>
      </rPr>
      <t xml:space="preserve"> Arrow.
4. Press </t>
    </r>
    <r>
      <rPr>
        <sz val="12"/>
        <color indexed="56"/>
        <rFont val="Arial"/>
        <family val="2"/>
      </rPr>
      <t>Ctrl + C</t>
    </r>
    <r>
      <rPr>
        <sz val="12"/>
        <rFont val="Arial"/>
        <family val="2"/>
      </rPr>
      <t xml:space="preserve"> to copy.
5. Activate cell marked "copy to here".
6. Press </t>
    </r>
    <r>
      <rPr>
        <sz val="12"/>
        <color indexed="56"/>
        <rFont val="Arial"/>
        <family val="2"/>
      </rPr>
      <t>Ctrl + V</t>
    </r>
    <r>
      <rPr>
        <sz val="12"/>
        <rFont val="Arial"/>
        <family val="2"/>
      </rPr>
      <t xml:space="preserve"> to paste.</t>
    </r>
  </si>
  <si>
    <t xml:space="preserve">    Note: all cells are empty to the right of 6</t>
  </si>
  <si>
    <r>
      <t>Ctrl + Home</t>
    </r>
    <r>
      <rPr>
        <b/>
        <sz val="12"/>
        <rFont val="Arial"/>
        <family val="2"/>
      </rPr>
      <t xml:space="preserve"> - Go to cell "A1"</t>
    </r>
  </si>
  <si>
    <r>
      <t>Ctrl + End</t>
    </r>
    <r>
      <rPr>
        <b/>
        <sz val="12"/>
        <rFont val="Arial"/>
        <family val="2"/>
      </rPr>
      <t xml:space="preserve"> - Go to "Bottom-most used row &amp; Rightmost used column"</t>
    </r>
  </si>
  <si>
    <r>
      <t>Home</t>
    </r>
    <r>
      <rPr>
        <b/>
        <sz val="12"/>
        <rFont val="Arial"/>
        <family val="2"/>
      </rPr>
      <t xml:space="preserve"> - Go to "Beginning of row"</t>
    </r>
  </si>
  <si>
    <r>
      <t>Page Up</t>
    </r>
    <r>
      <rPr>
        <b/>
        <sz val="12"/>
        <rFont val="Arial"/>
        <family val="2"/>
      </rPr>
      <t xml:space="preserve"> - Go up one page</t>
    </r>
  </si>
  <si>
    <r>
      <t>Page Down</t>
    </r>
    <r>
      <rPr>
        <b/>
        <sz val="12"/>
        <rFont val="Arial"/>
        <family val="2"/>
      </rPr>
      <t xml:space="preserve"> - Go down one page</t>
    </r>
  </si>
  <si>
    <r>
      <t>Alt + Page Up</t>
    </r>
    <r>
      <rPr>
        <b/>
        <sz val="12"/>
        <rFont val="Arial"/>
        <family val="2"/>
      </rPr>
      <t xml:space="preserve"> - Go left one page</t>
    </r>
  </si>
  <si>
    <r>
      <t>Alt + Page Down</t>
    </r>
    <r>
      <rPr>
        <b/>
        <sz val="12"/>
        <rFont val="Arial"/>
        <family val="2"/>
      </rPr>
      <t xml:space="preserve"> - Go right one page</t>
    </r>
  </si>
  <si>
    <r>
      <t>Ctrl + Page Up</t>
    </r>
    <r>
      <rPr>
        <b/>
        <sz val="12"/>
        <rFont val="Arial"/>
        <family val="2"/>
      </rPr>
      <t xml:space="preserve"> - Go to "left" worksheet</t>
    </r>
  </si>
  <si>
    <r>
      <t>Ctrl + Page Down</t>
    </r>
    <r>
      <rPr>
        <b/>
        <sz val="12"/>
        <rFont val="Arial"/>
        <family val="2"/>
      </rPr>
      <t xml:space="preserve"> - Go to "right" worksheet</t>
    </r>
  </si>
  <si>
    <t>Mon</t>
  </si>
  <si>
    <t>Tue</t>
  </si>
  <si>
    <t>Jan</t>
  </si>
  <si>
    <t>Feb</t>
  </si>
  <si>
    <t>Apr</t>
  </si>
  <si>
    <t xml:space="preserve">Auto Fill </t>
  </si>
  <si>
    <t>Copy and Paste + keyboard shortcuts</t>
  </si>
  <si>
    <t>Copy &amp; Paste</t>
  </si>
  <si>
    <t>Selecting a ranges of cells using keyboard shortcuts</t>
  </si>
  <si>
    <t>more</t>
  </si>
  <si>
    <t>bottom and leftmost</t>
  </si>
  <si>
    <t>top and rightmost</t>
  </si>
  <si>
    <r>
      <t xml:space="preserve">1. Activate cell marked "top and leftmost".
2. Press </t>
    </r>
    <r>
      <rPr>
        <sz val="12"/>
        <color indexed="56"/>
        <rFont val="Arial"/>
        <family val="2"/>
      </rPr>
      <t>Ctrl + Shift + Right</t>
    </r>
    <r>
      <rPr>
        <sz val="12"/>
        <rFont val="Arial"/>
        <family val="2"/>
      </rPr>
      <t xml:space="preserve"> Arrow until cell marked "top and rightmost" is included.
3. Press </t>
    </r>
    <r>
      <rPr>
        <sz val="12"/>
        <color indexed="56"/>
        <rFont val="Arial"/>
        <family val="2"/>
      </rPr>
      <t>Ctrl + Shift + Down</t>
    </r>
    <r>
      <rPr>
        <sz val="12"/>
        <rFont val="Arial"/>
        <family val="2"/>
      </rPr>
      <t xml:space="preserve"> Arrow until cell market "bottom and rightmost" is include.</t>
    </r>
  </si>
  <si>
    <t>The Very Basics</t>
  </si>
  <si>
    <r>
      <t xml:space="preserve">To delete the content of a cell: go to the cell and press </t>
    </r>
    <r>
      <rPr>
        <sz val="12"/>
        <color indexed="56"/>
        <rFont val="Arial"/>
        <family val="2"/>
      </rPr>
      <t>Delete</t>
    </r>
    <r>
      <rPr>
        <sz val="12"/>
        <color indexed="8"/>
        <rFont val="Arial"/>
        <family val="2"/>
      </rPr>
      <t xml:space="preserve"> </t>
    </r>
  </si>
  <si>
    <r>
      <t xml:space="preserve">Go to the cell using the </t>
    </r>
    <r>
      <rPr>
        <sz val="12"/>
        <color indexed="56"/>
        <rFont val="Arial"/>
        <family val="2"/>
      </rPr>
      <t>arrow keys</t>
    </r>
    <r>
      <rPr>
        <sz val="12"/>
        <color indexed="8"/>
        <rFont val="Arial"/>
        <family val="2"/>
      </rPr>
      <t xml:space="preserve"> or mouse. Start typing and press </t>
    </r>
    <r>
      <rPr>
        <sz val="12"/>
        <color indexed="56"/>
        <rFont val="Arial"/>
        <family val="2"/>
      </rPr>
      <t xml:space="preserve">Enter </t>
    </r>
    <r>
      <rPr>
        <sz val="12"/>
        <rFont val="Arial"/>
        <family val="2"/>
      </rPr>
      <t>to commit</t>
    </r>
    <r>
      <rPr>
        <sz val="12"/>
        <color indexed="8"/>
        <rFont val="Arial"/>
        <family val="2"/>
      </rPr>
      <t xml:space="preserve">. </t>
    </r>
  </si>
  <si>
    <r>
      <t xml:space="preserve">Press </t>
    </r>
    <r>
      <rPr>
        <sz val="12"/>
        <color indexed="56"/>
        <rFont val="Arial"/>
        <family val="2"/>
      </rPr>
      <t>Enter</t>
    </r>
    <r>
      <rPr>
        <sz val="12"/>
        <color indexed="8"/>
        <rFont val="Arial"/>
        <family val="2"/>
      </rPr>
      <t xml:space="preserve"> to commit the change. </t>
    </r>
  </si>
  <si>
    <t>Editing in cells</t>
  </si>
  <si>
    <r>
      <t xml:space="preserve">To edit the content of a cell: go to the cell and press </t>
    </r>
    <r>
      <rPr>
        <sz val="12"/>
        <color indexed="56"/>
        <rFont val="Arial"/>
        <family val="2"/>
      </rPr>
      <t xml:space="preserve">F2 </t>
    </r>
    <r>
      <rPr>
        <sz val="12"/>
        <rFont val="Arial"/>
        <family val="2"/>
      </rPr>
      <t xml:space="preserve">or double click the </t>
    </r>
    <r>
      <rPr>
        <sz val="12"/>
        <color indexed="56"/>
        <rFont val="Arial"/>
        <family val="2"/>
      </rPr>
      <t>left mouse button</t>
    </r>
    <r>
      <rPr>
        <sz val="12"/>
        <color indexed="8"/>
        <rFont val="Arial"/>
        <family val="2"/>
      </rPr>
      <t>.</t>
    </r>
  </si>
  <si>
    <r>
      <t xml:space="preserve">2a. Fill in "D7" under </t>
    </r>
    <r>
      <rPr>
        <sz val="12"/>
        <color indexed="56"/>
        <rFont val="Arial"/>
        <family val="2"/>
      </rPr>
      <t xml:space="preserve">Reference </t>
    </r>
    <r>
      <rPr>
        <sz val="12"/>
        <rFont val="Arial"/>
        <family val="2"/>
      </rPr>
      <t xml:space="preserve">and press </t>
    </r>
    <r>
      <rPr>
        <sz val="12"/>
        <color indexed="56"/>
        <rFont val="Arial"/>
        <family val="2"/>
      </rPr>
      <t>Enter</t>
    </r>
  </si>
  <si>
    <r>
      <t xml:space="preserve">2b. Select named cell "Go To This Cell" and press </t>
    </r>
    <r>
      <rPr>
        <sz val="12"/>
        <color indexed="56"/>
        <rFont val="Arial"/>
        <family val="2"/>
      </rPr>
      <t>Enter</t>
    </r>
  </si>
  <si>
    <r>
      <t xml:space="preserve">1. Activate cell marked "1".
2. Press </t>
    </r>
    <r>
      <rPr>
        <sz val="12"/>
        <color indexed="56"/>
        <rFont val="Arial"/>
        <family val="2"/>
      </rPr>
      <t>Ctrl + Shift + Right</t>
    </r>
    <r>
      <rPr>
        <sz val="12"/>
        <rFont val="Arial"/>
        <family val="2"/>
      </rPr>
      <t xml:space="preserve"> Arrow.
3. Press </t>
    </r>
    <r>
      <rPr>
        <sz val="12"/>
        <color indexed="56"/>
        <rFont val="Arial"/>
        <family val="2"/>
      </rPr>
      <t>Ctrl + Shift + Down</t>
    </r>
    <r>
      <rPr>
        <sz val="12"/>
        <rFont val="Arial"/>
        <family val="2"/>
      </rPr>
      <t xml:space="preserve"> Arrow.
4. Place </t>
    </r>
    <r>
      <rPr>
        <sz val="12"/>
        <color indexed="56"/>
        <rFont val="Arial"/>
        <family val="2"/>
      </rPr>
      <t>cursor</t>
    </r>
    <r>
      <rPr>
        <sz val="12"/>
        <rFont val="Arial"/>
        <family val="2"/>
      </rPr>
      <t xml:space="preserve"> to bottom right corner of selected region.
5. Press </t>
    </r>
    <r>
      <rPr>
        <sz val="12"/>
        <color indexed="56"/>
        <rFont val="Arial"/>
        <family val="2"/>
      </rPr>
      <t>left mouse button</t>
    </r>
    <r>
      <rPr>
        <sz val="12"/>
        <rFont val="Arial"/>
        <family val="2"/>
      </rPr>
      <t xml:space="preserve"> and drag right to fill (left to delete).</t>
    </r>
  </si>
  <si>
    <t>Mouse:</t>
  </si>
  <si>
    <t>Keyboard:</t>
  </si>
  <si>
    <r>
      <t xml:space="preserve">Press </t>
    </r>
    <r>
      <rPr>
        <sz val="12"/>
        <color indexed="56"/>
        <rFont val="Arial"/>
        <family val="2"/>
      </rPr>
      <t>left mouse button</t>
    </r>
    <r>
      <rPr>
        <sz val="12"/>
        <color indexed="8"/>
        <rFont val="Arial"/>
        <family val="2"/>
      </rPr>
      <t xml:space="preserve"> and drag to select a rectangular grid.</t>
    </r>
  </si>
  <si>
    <r>
      <t xml:space="preserve">To select multiple non-adjacent rectangular grid, press </t>
    </r>
    <r>
      <rPr>
        <sz val="12"/>
        <color indexed="56"/>
        <rFont val="Arial"/>
        <family val="2"/>
      </rPr>
      <t>Ctrl + left mouse button</t>
    </r>
    <r>
      <rPr>
        <sz val="12"/>
        <color indexed="8"/>
        <rFont val="Arial"/>
        <family val="2"/>
      </rPr>
      <t xml:space="preserve"> and drag.</t>
    </r>
  </si>
  <si>
    <r>
      <t xml:space="preserve">Press </t>
    </r>
    <r>
      <rPr>
        <sz val="12"/>
        <color indexed="56"/>
        <rFont val="Arial"/>
        <family val="2"/>
      </rPr>
      <t>Shift + Arrowkey</t>
    </r>
    <r>
      <rPr>
        <sz val="12"/>
        <color indexed="8"/>
        <rFont val="Arial"/>
        <family val="2"/>
      </rPr>
      <t xml:space="preserve"> or </t>
    </r>
    <r>
      <rPr>
        <sz val="12"/>
        <color indexed="56"/>
        <rFont val="Arial"/>
        <family val="2"/>
      </rPr>
      <t>Ctrl + Arrowkey</t>
    </r>
    <r>
      <rPr>
        <sz val="12"/>
        <color indexed="8"/>
        <rFont val="Arial"/>
        <family val="2"/>
      </rPr>
      <t>.</t>
    </r>
  </si>
  <si>
    <r>
      <t xml:space="preserve">To select multiple non-adjacent rectangular, press </t>
    </r>
    <r>
      <rPr>
        <sz val="12"/>
        <color indexed="56"/>
        <rFont val="Arial"/>
        <family val="2"/>
      </rPr>
      <t>Shift+ F8</t>
    </r>
    <r>
      <rPr>
        <sz val="12"/>
        <color indexed="8"/>
        <rFont val="Arial"/>
        <family val="2"/>
      </rPr>
      <t xml:space="preserve"> and then use arrow key to select another grade</t>
    </r>
  </si>
  <si>
    <t>Selecting more than one grid</t>
  </si>
  <si>
    <t>Copy and Paste + matrix transpose</t>
  </si>
  <si>
    <t>Copy and Paste + Formats / Values</t>
  </si>
  <si>
    <t>A</t>
  </si>
  <si>
    <t>B</t>
  </si>
  <si>
    <t>C</t>
  </si>
  <si>
    <t>x</t>
  </si>
  <si>
    <t>y</t>
  </si>
  <si>
    <t>z</t>
  </si>
  <si>
    <t>Move Here</t>
  </si>
  <si>
    <r>
      <t xml:space="preserve">1. Activate cell marked "1".
2. Press </t>
    </r>
    <r>
      <rPr>
        <sz val="12"/>
        <color indexed="56"/>
        <rFont val="Arial"/>
        <family val="2"/>
      </rPr>
      <t>Ctrl + Shift + Right</t>
    </r>
    <r>
      <rPr>
        <sz val="12"/>
        <rFont val="Arial"/>
        <family val="2"/>
      </rPr>
      <t xml:space="preserve"> Arrow.
3. Press </t>
    </r>
    <r>
      <rPr>
        <sz val="12"/>
        <color indexed="56"/>
        <rFont val="Arial"/>
        <family val="2"/>
      </rPr>
      <t>Ctrl + Shift + Down</t>
    </r>
    <r>
      <rPr>
        <sz val="12"/>
        <rFont val="Arial"/>
        <family val="2"/>
      </rPr>
      <t xml:space="preserve"> Arrow.
4. Place </t>
    </r>
    <r>
      <rPr>
        <sz val="12"/>
        <color indexed="56"/>
        <rFont val="Arial"/>
        <family val="2"/>
      </rPr>
      <t>cursor</t>
    </r>
    <r>
      <rPr>
        <sz val="12"/>
        <rFont val="Arial"/>
        <family val="2"/>
      </rPr>
      <t xml:space="preserve"> to the border selected region.
5. Press </t>
    </r>
    <r>
      <rPr>
        <sz val="12"/>
        <color indexed="56"/>
        <rFont val="Arial"/>
        <family val="2"/>
      </rPr>
      <t>left mouse button</t>
    </r>
    <r>
      <rPr>
        <sz val="12"/>
        <rFont val="Arial"/>
        <family val="2"/>
      </rPr>
      <t xml:space="preserve"> and drag to cell marked "Move Here".</t>
    </r>
  </si>
  <si>
    <t>Move grid to another position</t>
  </si>
  <si>
    <r>
      <t xml:space="preserve">Once in the cell, use </t>
    </r>
    <r>
      <rPr>
        <sz val="12"/>
        <color indexed="56"/>
        <rFont val="Arial"/>
        <family val="2"/>
      </rPr>
      <t xml:space="preserve">arrowkey </t>
    </r>
    <r>
      <rPr>
        <sz val="12"/>
        <rFont val="Arial"/>
        <family val="2"/>
      </rPr>
      <t xml:space="preserve">(character-by-character), </t>
    </r>
    <r>
      <rPr>
        <sz val="12"/>
        <color indexed="56"/>
        <rFont val="Arial"/>
        <family val="2"/>
      </rPr>
      <t xml:space="preserve">Ctrl + arrowkey </t>
    </r>
    <r>
      <rPr>
        <sz val="12"/>
        <rFont val="Arial"/>
        <family val="2"/>
      </rPr>
      <t xml:space="preserve">(word-by-word) </t>
    </r>
    <r>
      <rPr>
        <sz val="12"/>
        <color indexed="8"/>
        <rFont val="Arial"/>
        <family val="2"/>
      </rPr>
      <t>to move around the content.</t>
    </r>
  </si>
  <si>
    <r>
      <t xml:space="preserve">Use </t>
    </r>
    <r>
      <rPr>
        <sz val="12"/>
        <color indexed="56"/>
        <rFont val="Arial"/>
        <family val="2"/>
      </rPr>
      <t>delete</t>
    </r>
    <r>
      <rPr>
        <sz val="12"/>
        <color indexed="8"/>
        <rFont val="Arial"/>
        <family val="2"/>
      </rPr>
      <t xml:space="preserve"> (forwards) and </t>
    </r>
    <r>
      <rPr>
        <sz val="12"/>
        <color indexed="56"/>
        <rFont val="Arial"/>
        <family val="2"/>
      </rPr>
      <t xml:space="preserve">backspace </t>
    </r>
    <r>
      <rPr>
        <sz val="12"/>
        <rFont val="Arial"/>
        <family val="2"/>
      </rPr>
      <t xml:space="preserve">(backwards) </t>
    </r>
    <r>
      <rPr>
        <sz val="12"/>
        <color indexed="8"/>
        <rFont val="Arial"/>
        <family val="2"/>
      </rPr>
      <t>to edit the content.</t>
    </r>
  </si>
  <si>
    <r>
      <t xml:space="preserve">Press </t>
    </r>
    <r>
      <rPr>
        <sz val="12"/>
        <color indexed="56"/>
        <rFont val="Arial"/>
        <family val="2"/>
      </rPr>
      <t xml:space="preserve">Esc </t>
    </r>
    <r>
      <rPr>
        <sz val="12"/>
        <color indexed="8"/>
        <rFont val="Arial"/>
        <family val="2"/>
      </rPr>
      <t>to get out and leave the cell unchanged.</t>
    </r>
  </si>
  <si>
    <r>
      <t xml:space="preserve">Use </t>
    </r>
    <r>
      <rPr>
        <sz val="12"/>
        <color indexed="56"/>
        <rFont val="Arial"/>
        <family val="2"/>
      </rPr>
      <t>Ctrl + Z</t>
    </r>
    <r>
      <rPr>
        <sz val="12"/>
        <color indexed="8"/>
        <rFont val="Arial"/>
        <family val="2"/>
      </rPr>
      <t xml:space="preserve"> to undo the last change.</t>
    </r>
  </si>
  <si>
    <r>
      <t xml:space="preserve">Press </t>
    </r>
    <r>
      <rPr>
        <sz val="12"/>
        <color indexed="56"/>
        <rFont val="Arial"/>
        <family val="2"/>
      </rPr>
      <t>Alt</t>
    </r>
    <r>
      <rPr>
        <sz val="12"/>
        <rFont val="Arial"/>
        <family val="2"/>
      </rPr>
      <t xml:space="preserve"> (or </t>
    </r>
    <r>
      <rPr>
        <sz val="12"/>
        <color indexed="56"/>
        <rFont val="Arial"/>
        <family val="2"/>
      </rPr>
      <t>F10</t>
    </r>
    <r>
      <rPr>
        <sz val="12"/>
        <rFont val="Arial"/>
        <family val="2"/>
      </rPr>
      <t xml:space="preserve">) to activate menu. Press </t>
    </r>
    <r>
      <rPr>
        <sz val="12"/>
        <color indexed="56"/>
        <rFont val="Arial"/>
        <family val="2"/>
      </rPr>
      <t>Alt</t>
    </r>
    <r>
      <rPr>
        <sz val="12"/>
        <rFont val="Arial"/>
        <family val="2"/>
      </rPr>
      <t xml:space="preserve"> (or </t>
    </r>
    <r>
      <rPr>
        <sz val="12"/>
        <color indexed="56"/>
        <rFont val="Arial"/>
        <family val="2"/>
      </rPr>
      <t>F10</t>
    </r>
    <r>
      <rPr>
        <sz val="12"/>
        <rFont val="Arial"/>
        <family val="2"/>
      </rPr>
      <t xml:space="preserve">) again or </t>
    </r>
    <r>
      <rPr>
        <sz val="12"/>
        <color indexed="56"/>
        <rFont val="Arial"/>
        <family val="2"/>
      </rPr>
      <t>Esc</t>
    </r>
    <r>
      <rPr>
        <sz val="12"/>
        <rFont val="Arial"/>
        <family val="2"/>
      </rPr>
      <t xml:space="preserve"> to come back to the activated cell(s).</t>
    </r>
  </si>
  <si>
    <t>Formatting cells</t>
  </si>
  <si>
    <t>Examples:</t>
  </si>
  <si>
    <t>Decimal
Aligned</t>
  </si>
  <si>
    <t>0's Before &amp; 
After Decimal</t>
  </si>
  <si>
    <t>Insignificant 0's Suppressed
Red for -ve's</t>
  </si>
  <si>
    <t>000,000
Left Aligned $
Red for -ve's</t>
  </si>
  <si>
    <t>000
Red Bracketed
for -ve's</t>
  </si>
  <si>
    <t>Minus Sign
on the right
Red for -ve's</t>
  </si>
  <si>
    <t xml:space="preserve">                   Do not just copy and paste : )</t>
  </si>
  <si>
    <t>Exercise: Format the table below the same way as in the above example.</t>
  </si>
  <si>
    <t>Formatting Cells</t>
  </si>
  <si>
    <t>Decimal Places and Number Alignments</t>
  </si>
  <si>
    <t>Exercise:</t>
  </si>
  <si>
    <r>
      <t>#</t>
    </r>
    <r>
      <rPr>
        <sz val="12"/>
        <rFont val="Arial"/>
        <family val="2"/>
      </rPr>
      <t xml:space="preserve"> displays only significant digits and does not display insignificant zeros
</t>
    </r>
    <r>
      <rPr>
        <sz val="12"/>
        <color indexed="56"/>
        <rFont val="Arial"/>
        <family val="2"/>
      </rPr>
      <t>0</t>
    </r>
    <r>
      <rPr>
        <sz val="12"/>
        <rFont val="Arial"/>
        <family val="2"/>
      </rPr>
      <t xml:space="preserve"> (zero) displays insignificant zeros
</t>
    </r>
    <r>
      <rPr>
        <sz val="12"/>
        <color indexed="56"/>
        <rFont val="Arial"/>
        <family val="2"/>
      </rPr>
      <t>?</t>
    </r>
    <r>
      <rPr>
        <sz val="12"/>
        <rFont val="Arial"/>
        <family val="2"/>
      </rPr>
      <t xml:space="preserve"> adds spaces for insignificant zeros on either side of the decimal point
</t>
    </r>
    <r>
      <rPr>
        <sz val="12"/>
        <color indexed="56"/>
        <rFont val="Arial"/>
        <family val="2"/>
      </rPr>
      <t>_</t>
    </r>
    <r>
      <rPr>
        <sz val="12"/>
        <rFont val="Arial"/>
        <family val="2"/>
      </rPr>
      <t xml:space="preserve"> adds space equals the width of character following _
</t>
    </r>
    <r>
      <rPr>
        <sz val="12"/>
        <color indexed="56"/>
        <rFont val="Arial"/>
        <family val="2"/>
      </rPr>
      <t>*</t>
    </r>
    <r>
      <rPr>
        <sz val="12"/>
        <rFont val="Arial"/>
        <family val="2"/>
      </rPr>
      <t xml:space="preserve">  repeats the next character to fill the column width
</t>
    </r>
    <r>
      <rPr>
        <sz val="12"/>
        <color indexed="18"/>
        <rFont val="Arial"/>
        <family val="2"/>
      </rPr>
      <t>Get help (F1) on "number format codes".
Keyboard shortcut: Ctrl + 1 to access format cell</t>
    </r>
  </si>
  <si>
    <t>Date and Time</t>
  </si>
  <si>
    <t>m/d/yyyy</t>
  </si>
  <si>
    <t>d/m/yyyy</t>
  </si>
  <si>
    <t>yyyymmdd</t>
  </si>
  <si>
    <t>Today's Date</t>
  </si>
  <si>
    <t>Tomorrow's Date</t>
  </si>
  <si>
    <t>Day after Tomorrow</t>
  </si>
  <si>
    <t>General 
(Number)</t>
  </si>
  <si>
    <t>Time Now</t>
  </si>
  <si>
    <t>m/d/yyyy h:m</t>
  </si>
  <si>
    <t>d/m/yyyy h:mm</t>
  </si>
  <si>
    <t>yyyymmdd h:mm AM/PM</t>
  </si>
  <si>
    <t>Date &amp; Time
Format</t>
  </si>
  <si>
    <t>Date
Format</t>
  </si>
  <si>
    <t>Note: Excel stores dates as sequential serial numbers. "1" represents "1 January 1900".</t>
  </si>
  <si>
    <r>
      <t>m</t>
    </r>
    <r>
      <rPr>
        <sz val="12"/>
        <rFont val="Arial"/>
        <family val="2"/>
      </rPr>
      <t xml:space="preserve"> Months 1-12; </t>
    </r>
    <r>
      <rPr>
        <sz val="12"/>
        <color indexed="56"/>
        <rFont val="Arial"/>
        <family val="2"/>
      </rPr>
      <t>mm</t>
    </r>
    <r>
      <rPr>
        <sz val="12"/>
        <rFont val="Arial"/>
        <family val="2"/>
      </rPr>
      <t xml:space="preserve"> Months 01-12; </t>
    </r>
    <r>
      <rPr>
        <sz val="12"/>
        <color indexed="56"/>
        <rFont val="Arial"/>
        <family val="2"/>
      </rPr>
      <t>mmm</t>
    </r>
    <r>
      <rPr>
        <sz val="12"/>
        <rFont val="Arial"/>
        <family val="2"/>
      </rPr>
      <t xml:space="preserve"> Months Jan-Dec
</t>
    </r>
    <r>
      <rPr>
        <sz val="12"/>
        <color indexed="56"/>
        <rFont val="Arial"/>
        <family val="2"/>
      </rPr>
      <t xml:space="preserve">d </t>
    </r>
    <r>
      <rPr>
        <sz val="12"/>
        <rFont val="Arial"/>
        <family val="2"/>
      </rPr>
      <t xml:space="preserve">Days 1-31; </t>
    </r>
    <r>
      <rPr>
        <sz val="12"/>
        <color indexed="56"/>
        <rFont val="Arial"/>
        <family val="2"/>
      </rPr>
      <t>dd</t>
    </r>
    <r>
      <rPr>
        <sz val="12"/>
        <rFont val="Arial"/>
        <family val="2"/>
      </rPr>
      <t xml:space="preserve"> Days 00-31
</t>
    </r>
    <r>
      <rPr>
        <sz val="12"/>
        <color indexed="56"/>
        <rFont val="Arial"/>
        <family val="2"/>
      </rPr>
      <t>ddd</t>
    </r>
    <r>
      <rPr>
        <sz val="12"/>
        <rFont val="Arial"/>
        <family val="2"/>
      </rPr>
      <t xml:space="preserve"> Days Sun-Sat; </t>
    </r>
    <r>
      <rPr>
        <sz val="12"/>
        <color indexed="56"/>
        <rFont val="Arial"/>
        <family val="2"/>
      </rPr>
      <t>dddd</t>
    </r>
    <r>
      <rPr>
        <sz val="12"/>
        <rFont val="Arial"/>
        <family val="2"/>
      </rPr>
      <t xml:space="preserve"> Days Sunday-Saturday
</t>
    </r>
    <r>
      <rPr>
        <sz val="12"/>
        <color indexed="56"/>
        <rFont val="Arial"/>
        <family val="2"/>
      </rPr>
      <t>yy</t>
    </r>
    <r>
      <rPr>
        <sz val="12"/>
        <rFont val="Arial"/>
        <family val="2"/>
      </rPr>
      <t xml:space="preserve"> Years 00-99
</t>
    </r>
    <r>
      <rPr>
        <sz val="12"/>
        <color indexed="56"/>
        <rFont val="Arial"/>
        <family val="2"/>
      </rPr>
      <t xml:space="preserve">yyyy </t>
    </r>
    <r>
      <rPr>
        <sz val="12"/>
        <rFont val="Arial"/>
        <family val="2"/>
      </rPr>
      <t xml:space="preserve">Years 1900-9999
h Hours 0-23; hh Hours 00-23
m Minutes 0-59; mm Minutes 00-59
s Seconds 0-59; ss Seconds 00-59
h AM/PM Hours 4 AM
</t>
    </r>
    <r>
      <rPr>
        <sz val="12"/>
        <color indexed="18"/>
        <rFont val="Arial"/>
        <family val="2"/>
      </rPr>
      <t>Get help (F1) on "number format codes".
Keyboard shortcut: Ctrl + 1 to access format cell</t>
    </r>
  </si>
  <si>
    <t>Question: How does Excel store time?</t>
  </si>
  <si>
    <t>Text</t>
  </si>
  <si>
    <t>Days of the Week</t>
  </si>
  <si>
    <t>Sun</t>
  </si>
  <si>
    <t>Wed</t>
  </si>
  <si>
    <t>Thu</t>
  </si>
  <si>
    <t>Fri</t>
  </si>
  <si>
    <t>Sat</t>
  </si>
  <si>
    <t>Merge the cell marked "Days of the Week" with 6 adjacent cells on the right to form a header:</t>
  </si>
  <si>
    <t>Exercise - Enter multiple lines in a cell.</t>
  </si>
  <si>
    <t>Do exercise 'Enter multiple lines in a cell' here</t>
  </si>
  <si>
    <t>Go to the cell marked "Do exercise 'Enter multiple lines in a cell' here" using the arrow keys.</t>
  </si>
  <si>
    <t>Type:</t>
  </si>
  <si>
    <t>Note that you do not need to type "[" and "]"</t>
  </si>
  <si>
    <t>Exercise - Wrap text in a cell.</t>
  </si>
  <si>
    <t>Go to the cell marked "Do exercise 'Wrap text in a cell' here" using the arrow keys.</t>
  </si>
  <si>
    <t>Do exercise 'Wrap text in a cell' here</t>
  </si>
  <si>
    <t>Press F2. Press backspace to delete the line "Do exercise 'Wrap text in a cell' here".</t>
  </si>
  <si>
    <r>
      <t>Line one</t>
    </r>
    <r>
      <rPr>
        <b/>
        <sz val="12"/>
        <color indexed="17"/>
        <rFont val="Arial"/>
        <family val="2"/>
      </rPr>
      <t xml:space="preserve"> [</t>
    </r>
    <r>
      <rPr>
        <b/>
        <sz val="12"/>
        <color indexed="56"/>
        <rFont val="Arial"/>
        <family val="2"/>
      </rPr>
      <t>Alt + Enter</t>
    </r>
    <r>
      <rPr>
        <b/>
        <sz val="12"/>
        <color indexed="17"/>
        <rFont val="Arial"/>
        <family val="2"/>
      </rPr>
      <t xml:space="preserve">]
</t>
    </r>
    <r>
      <rPr>
        <b/>
        <sz val="12"/>
        <color indexed="56"/>
        <rFont val="Arial"/>
        <family val="2"/>
      </rPr>
      <t>Line two</t>
    </r>
    <r>
      <rPr>
        <b/>
        <sz val="12"/>
        <color indexed="17"/>
        <rFont val="Arial"/>
        <family val="2"/>
      </rPr>
      <t xml:space="preserve"> [</t>
    </r>
    <r>
      <rPr>
        <b/>
        <sz val="12"/>
        <color indexed="56"/>
        <rFont val="Arial"/>
        <family val="2"/>
      </rPr>
      <t>Alt + Enter</t>
    </r>
    <r>
      <rPr>
        <b/>
        <sz val="12"/>
        <color indexed="17"/>
        <rFont val="Arial"/>
        <family val="2"/>
      </rPr>
      <t xml:space="preserve">]
</t>
    </r>
    <r>
      <rPr>
        <b/>
        <sz val="12"/>
        <color indexed="56"/>
        <rFont val="Arial"/>
        <family val="2"/>
      </rPr>
      <t>Line three</t>
    </r>
    <r>
      <rPr>
        <b/>
        <sz val="12"/>
        <color indexed="17"/>
        <rFont val="Arial"/>
        <family val="2"/>
      </rPr>
      <t xml:space="preserve"> [</t>
    </r>
    <r>
      <rPr>
        <b/>
        <sz val="12"/>
        <color indexed="56"/>
        <rFont val="Arial"/>
        <family val="2"/>
      </rPr>
      <t>Enter</t>
    </r>
    <r>
      <rPr>
        <b/>
        <sz val="12"/>
        <color indexed="17"/>
        <rFont val="Arial"/>
        <family val="2"/>
      </rPr>
      <t>]</t>
    </r>
  </si>
  <si>
    <r>
      <t xml:space="preserve">This is a long line. When text goes beyond the width of a cell, if "Wrap text"  under "Format Cells </t>
    </r>
    <r>
      <rPr>
        <b/>
        <sz val="12"/>
        <color indexed="56"/>
        <rFont val="Symbol"/>
        <family val="1"/>
        <charset val="2"/>
      </rPr>
      <t>®</t>
    </r>
    <r>
      <rPr>
        <b/>
        <sz val="12"/>
        <color indexed="56"/>
        <rFont val="Arial"/>
        <family val="2"/>
      </rPr>
      <t xml:space="preserve"> Alignment" is not checked, text will keep display on the same line.</t>
    </r>
    <r>
      <rPr>
        <b/>
        <sz val="12"/>
        <color indexed="17"/>
        <rFont val="Arial"/>
        <family val="2"/>
      </rPr>
      <t xml:space="preserve"> [</t>
    </r>
    <r>
      <rPr>
        <b/>
        <sz val="12"/>
        <color indexed="56"/>
        <rFont val="Arial"/>
        <family val="2"/>
      </rPr>
      <t>Enter</t>
    </r>
    <r>
      <rPr>
        <b/>
        <sz val="12"/>
        <color indexed="17"/>
        <rFont val="Arial"/>
        <family val="2"/>
      </rPr>
      <t>]</t>
    </r>
  </si>
  <si>
    <r>
      <t xml:space="preserve">Go back to the text you just entered. Press </t>
    </r>
    <r>
      <rPr>
        <b/>
        <sz val="12"/>
        <color indexed="56"/>
        <rFont val="Arial"/>
        <family val="2"/>
      </rPr>
      <t xml:space="preserve">Ctrl + 1 </t>
    </r>
    <r>
      <rPr>
        <b/>
        <sz val="12"/>
        <color indexed="17"/>
        <rFont val="Arial"/>
        <family val="2"/>
      </rPr>
      <t xml:space="preserve">or right click on the </t>
    </r>
    <r>
      <rPr>
        <b/>
        <sz val="12"/>
        <color indexed="56"/>
        <rFont val="Arial"/>
        <family val="2"/>
      </rPr>
      <t xml:space="preserve">mouse button </t>
    </r>
    <r>
      <rPr>
        <b/>
        <sz val="12"/>
        <color indexed="56"/>
        <rFont val="Symbol"/>
        <family val="1"/>
        <charset val="2"/>
      </rPr>
      <t>®</t>
    </r>
    <r>
      <rPr>
        <b/>
        <sz val="12"/>
        <color indexed="56"/>
        <rFont val="Arial"/>
        <family val="2"/>
      </rPr>
      <t xml:space="preserve"> "Format Cells".</t>
    </r>
  </si>
  <si>
    <r>
      <t>Under the "Alignment" tab, check "</t>
    </r>
    <r>
      <rPr>
        <b/>
        <sz val="12"/>
        <color indexed="56"/>
        <rFont val="Arial"/>
        <family val="2"/>
      </rPr>
      <t>Wrap text</t>
    </r>
    <r>
      <rPr>
        <b/>
        <sz val="12"/>
        <color indexed="17"/>
        <rFont val="Arial"/>
        <family val="2"/>
      </rPr>
      <t>".</t>
    </r>
  </si>
  <si>
    <t xml:space="preserve">Change this line to font "Times New Roman", style "Italic", font size "10", and color "black". </t>
  </si>
  <si>
    <t>Exercises:</t>
  </si>
  <si>
    <t>to</t>
  </si>
  <si>
    <t>Change the background color of the following cells</t>
  </si>
  <si>
    <t>Change the border of the following grid</t>
  </si>
  <si>
    <t>Background and Grid Borders</t>
  </si>
  <si>
    <t>Formula</t>
  </si>
  <si>
    <t>Type</t>
  </si>
  <si>
    <t>Sum Cell C5 and Cell D5 into Cell E5.</t>
  </si>
  <si>
    <r>
      <t>Go the cell E5, and type "</t>
    </r>
    <r>
      <rPr>
        <sz val="12"/>
        <color indexed="56"/>
        <rFont val="Arial"/>
        <family val="2"/>
      </rPr>
      <t>=</t>
    </r>
    <r>
      <rPr>
        <sz val="12"/>
        <color indexed="8"/>
        <rFont val="Arial"/>
        <family val="2"/>
      </rPr>
      <t>".</t>
    </r>
  </si>
  <si>
    <t>Entering a Formula</t>
  </si>
  <si>
    <r>
      <t xml:space="preserve">Use </t>
    </r>
    <r>
      <rPr>
        <sz val="12"/>
        <color indexed="56"/>
        <rFont val="Arial"/>
        <family val="2"/>
      </rPr>
      <t>left arrow</t>
    </r>
    <r>
      <rPr>
        <sz val="12"/>
        <color indexed="8"/>
        <rFont val="Arial"/>
        <family val="2"/>
      </rPr>
      <t xml:space="preserve"> to go to C5, type "</t>
    </r>
    <r>
      <rPr>
        <sz val="12"/>
        <color indexed="56"/>
        <rFont val="Arial"/>
        <family val="2"/>
      </rPr>
      <t>+</t>
    </r>
    <r>
      <rPr>
        <sz val="12"/>
        <color indexed="8"/>
        <rFont val="Arial"/>
        <family val="2"/>
      </rPr>
      <t xml:space="preserve">", use </t>
    </r>
    <r>
      <rPr>
        <sz val="12"/>
        <color indexed="56"/>
        <rFont val="Arial"/>
        <family val="2"/>
      </rPr>
      <t>left arrow</t>
    </r>
    <r>
      <rPr>
        <sz val="12"/>
        <color indexed="8"/>
        <rFont val="Arial"/>
        <family val="2"/>
      </rPr>
      <t xml:space="preserve"> to go to </t>
    </r>
    <r>
      <rPr>
        <sz val="12"/>
        <color indexed="56"/>
        <rFont val="Arial"/>
        <family val="2"/>
      </rPr>
      <t>D5</t>
    </r>
    <r>
      <rPr>
        <sz val="12"/>
        <color indexed="8"/>
        <rFont val="Arial"/>
        <family val="2"/>
      </rPr>
      <t>, press "</t>
    </r>
    <r>
      <rPr>
        <sz val="12"/>
        <color indexed="56"/>
        <rFont val="Arial"/>
        <family val="2"/>
      </rPr>
      <t>Enter</t>
    </r>
    <r>
      <rPr>
        <sz val="12"/>
        <color indexed="8"/>
        <rFont val="Arial"/>
        <family val="2"/>
      </rPr>
      <t>".</t>
    </r>
  </si>
  <si>
    <t>Sum Cells C9 through G9 into Cell H9</t>
  </si>
  <si>
    <r>
      <t>Go to Cell G9</t>
    </r>
    <r>
      <rPr>
        <sz val="12"/>
        <color indexed="8"/>
        <rFont val="Arial"/>
        <family val="2"/>
      </rPr>
      <t>.</t>
    </r>
  </si>
  <si>
    <t>Sum Cells C13 through D13 into Cell E13</t>
  </si>
  <si>
    <t>Go to Cell E13.</t>
  </si>
  <si>
    <t>Place the cursor to the bottom right corner.</t>
  </si>
  <si>
    <r>
      <t xml:space="preserve">Press the </t>
    </r>
    <r>
      <rPr>
        <sz val="12"/>
        <color indexed="56"/>
        <rFont val="Arial"/>
        <family val="2"/>
      </rPr>
      <t>left mouse button</t>
    </r>
    <r>
      <rPr>
        <sz val="12"/>
        <color indexed="8"/>
        <rFont val="Arial"/>
        <family val="2"/>
      </rPr>
      <t xml:space="preserve"> and drag to Cell E16.</t>
    </r>
  </si>
  <si>
    <t>Sum Cells E13 through E16 into Cell E17.</t>
  </si>
  <si>
    <t>Go to Cell E15. Examine the formula by pressing F2.</t>
  </si>
  <si>
    <t>is changed to "=C15 + D15" in Cell E15.</t>
  </si>
  <si>
    <t>Cashflow</t>
  </si>
  <si>
    <t>Principal</t>
  </si>
  <si>
    <t>Range Names</t>
  </si>
  <si>
    <t>Relative and Absolute Cell References</t>
  </si>
  <si>
    <t xml:space="preserve">By default, when copy and past a formula, relative references in formula are changed. That is, in Cell E13, the formula "=C13 + D13"
</t>
  </si>
  <si>
    <t>To get absolute references, prefix the column and/or row label by a '$' character.</t>
  </si>
  <si>
    <t xml:space="preserve">Go to Cell E13. </t>
  </si>
  <si>
    <t>Copy and Paste Cell E13 to Cell F16. Explain your result.</t>
  </si>
  <si>
    <t>Copy and Paste Cell E13 to Cells E14, E15 and E16. Explain your result.</t>
  </si>
  <si>
    <r>
      <t xml:space="preserve">After entering a cell reference in a formula, repeatedly press </t>
    </r>
    <r>
      <rPr>
        <sz val="12"/>
        <color indexed="56"/>
        <rFont val="Arial"/>
        <family val="2"/>
      </rPr>
      <t>F4</t>
    </r>
    <r>
      <rPr>
        <sz val="12"/>
        <color indexed="8"/>
        <rFont val="Arial"/>
        <family val="2"/>
      </rPr>
      <t xml:space="preserve"> to select the desired relative/absolute cell references.</t>
    </r>
  </si>
  <si>
    <r>
      <t xml:space="preserve">Press </t>
    </r>
    <r>
      <rPr>
        <sz val="12"/>
        <color indexed="56"/>
        <rFont val="Arial"/>
        <family val="2"/>
      </rPr>
      <t>F2</t>
    </r>
    <r>
      <rPr>
        <sz val="12"/>
        <color indexed="8"/>
        <rFont val="Arial"/>
        <family val="2"/>
      </rPr>
      <t>. Place the cursor to after C13.</t>
    </r>
  </si>
  <si>
    <r>
      <t xml:space="preserve">Press </t>
    </r>
    <r>
      <rPr>
        <sz val="12"/>
        <color indexed="56"/>
        <rFont val="Arial"/>
        <family val="2"/>
      </rPr>
      <t>F4</t>
    </r>
    <r>
      <rPr>
        <sz val="12"/>
        <color indexed="8"/>
        <rFont val="Arial"/>
        <family val="2"/>
      </rPr>
      <t xml:space="preserve">. Note the C13 is changed to $C$13. Repeat pressing </t>
    </r>
    <r>
      <rPr>
        <sz val="12"/>
        <color indexed="56"/>
        <rFont val="Arial"/>
        <family val="2"/>
      </rPr>
      <t>F4</t>
    </r>
    <r>
      <rPr>
        <sz val="12"/>
        <color indexed="8"/>
        <rFont val="Arial"/>
        <family val="2"/>
      </rPr>
      <t xml:space="preserve"> and note the changes to C13.</t>
    </r>
  </si>
  <si>
    <t>Leave the formula with C$13. Press "Enter".</t>
  </si>
  <si>
    <t>Select Me 1</t>
  </si>
  <si>
    <t>Select Me 2</t>
  </si>
  <si>
    <t>Select Me 3</t>
  </si>
  <si>
    <t>Type in the range name "Select_Me_123" in the dialog box.</t>
  </si>
  <si>
    <t>Range names can make formula easier to understand. To define a range name,</t>
  </si>
  <si>
    <t>Select the cells marked "Select Me 1", "Select Me 2" and "Select Me 3"</t>
  </si>
  <si>
    <r>
      <t xml:space="preserve">To go to range name "Select_Me_123", press </t>
    </r>
    <r>
      <rPr>
        <sz val="12"/>
        <color indexed="56"/>
        <rFont val="Arial"/>
        <family val="2"/>
      </rPr>
      <t>Ctrl + G</t>
    </r>
    <r>
      <rPr>
        <sz val="12"/>
        <color indexed="8"/>
        <rFont val="Arial"/>
        <family val="2"/>
      </rPr>
      <t xml:space="preserve"> or press </t>
    </r>
    <r>
      <rPr>
        <sz val="12"/>
        <color indexed="56"/>
        <rFont val="Arial"/>
        <family val="2"/>
      </rPr>
      <t>F5</t>
    </r>
    <r>
      <rPr>
        <sz val="12"/>
        <color indexed="8"/>
        <rFont val="Arial"/>
        <family val="2"/>
      </rPr>
      <t xml:space="preserve"> and type "Select_Me_123" under Reference and press "Enter".</t>
    </r>
  </si>
  <si>
    <t>Interest Rate</t>
  </si>
  <si>
    <t>1-Month Fixed (HKD)</t>
  </si>
  <si>
    <t>Maturity Date</t>
  </si>
  <si>
    <t>Basis</t>
  </si>
  <si>
    <t>Interest At Maturity</t>
  </si>
  <si>
    <t>Select range named "One_Month_Fixed".</t>
  </si>
  <si>
    <r>
      <t>Check "</t>
    </r>
    <r>
      <rPr>
        <sz val="12"/>
        <color indexed="56"/>
        <rFont val="Arial"/>
        <family val="2"/>
      </rPr>
      <t>Left column</t>
    </r>
    <r>
      <rPr>
        <sz val="12"/>
        <color indexed="8"/>
        <rFont val="Arial"/>
        <family val="2"/>
      </rPr>
      <t xml:space="preserve">" only in the </t>
    </r>
    <r>
      <rPr>
        <sz val="12"/>
        <color indexed="56"/>
        <rFont val="Arial"/>
        <family val="2"/>
      </rPr>
      <t>Create Names</t>
    </r>
    <r>
      <rPr>
        <sz val="12"/>
        <color indexed="8"/>
        <rFont val="Arial"/>
        <family val="2"/>
      </rPr>
      <t xml:space="preserve"> dialogue and press "Enter".</t>
    </r>
  </si>
  <si>
    <t>Alternatively, type the range name "Select_Me_123" in the name box (left of the formula box)</t>
  </si>
  <si>
    <t>Enter the formula to calculate the "Interest At Maturity" using the range names (not cell references).</t>
  </si>
  <si>
    <t>Exercise: Creating Names Automatically</t>
  </si>
  <si>
    <t>Examine the name box (left of the formula box). (You should find "Start_Date", "Maturity Date", "Basis", Interest Rate" and "Principal".)</t>
  </si>
  <si>
    <t>Formula Auditing</t>
  </si>
  <si>
    <t>Go to range name "Interest_At_Maturity".</t>
  </si>
  <si>
    <r>
      <t xml:space="preserve">Press </t>
    </r>
    <r>
      <rPr>
        <sz val="12"/>
        <color indexed="56"/>
        <rFont val="Arial"/>
        <family val="2"/>
      </rPr>
      <t>F2</t>
    </r>
    <r>
      <rPr>
        <sz val="12"/>
        <rFont val="Arial"/>
        <family val="2"/>
      </rPr>
      <t>. Precedents will be color coded. Press "</t>
    </r>
    <r>
      <rPr>
        <sz val="12"/>
        <color indexed="56"/>
        <rFont val="Arial"/>
        <family val="2"/>
      </rPr>
      <t>Esc</t>
    </r>
    <r>
      <rPr>
        <sz val="12"/>
        <rFont val="Arial"/>
        <family val="2"/>
      </rPr>
      <t>".</t>
    </r>
  </si>
  <si>
    <r>
      <t xml:space="preserve">Select </t>
    </r>
    <r>
      <rPr>
        <sz val="12"/>
        <color indexed="56"/>
        <rFont val="Arial"/>
        <family val="2"/>
      </rPr>
      <t xml:space="preserve">Tools </t>
    </r>
    <r>
      <rPr>
        <sz val="12"/>
        <color indexed="56"/>
        <rFont val="Symbol"/>
        <family val="1"/>
        <charset val="2"/>
      </rPr>
      <t>®</t>
    </r>
    <r>
      <rPr>
        <sz val="12"/>
        <color indexed="56"/>
        <rFont val="Arial"/>
        <family val="2"/>
      </rPr>
      <t xml:space="preserve"> Formula Auditing </t>
    </r>
    <r>
      <rPr>
        <sz val="12"/>
        <color indexed="56"/>
        <rFont val="Symbol"/>
        <family val="1"/>
        <charset val="2"/>
      </rPr>
      <t>®</t>
    </r>
    <r>
      <rPr>
        <sz val="12"/>
        <color indexed="56"/>
        <rFont val="Arial"/>
        <family val="2"/>
      </rPr>
      <t xml:space="preserve"> Remove All Arrows </t>
    </r>
    <r>
      <rPr>
        <sz val="12"/>
        <rFont val="Arial"/>
        <family val="2"/>
      </rPr>
      <t>to remove all arrows.</t>
    </r>
  </si>
  <si>
    <r>
      <t xml:space="preserve">In a cell depending on many cells/ranges, to find out what is the underlying value, press </t>
    </r>
    <r>
      <rPr>
        <sz val="12"/>
        <color indexed="56"/>
        <rFont val="Arial"/>
        <family val="2"/>
      </rPr>
      <t>F2</t>
    </r>
    <r>
      <rPr>
        <sz val="12"/>
        <rFont val="Arial"/>
        <family val="2"/>
      </rPr>
      <t xml:space="preserve"> then </t>
    </r>
    <r>
      <rPr>
        <sz val="12"/>
        <color indexed="56"/>
        <rFont val="Arial"/>
        <family val="2"/>
      </rPr>
      <t>F9.</t>
    </r>
  </si>
  <si>
    <r>
      <t xml:space="preserve">Go to range name "Interest_At_Maturity". Press </t>
    </r>
    <r>
      <rPr>
        <sz val="12"/>
        <color indexed="56"/>
        <rFont val="Arial"/>
        <family val="2"/>
      </rPr>
      <t>F2</t>
    </r>
    <r>
      <rPr>
        <sz val="12"/>
        <color indexed="8"/>
        <rFont val="Arial"/>
        <family val="2"/>
      </rPr>
      <t xml:space="preserve"> then </t>
    </r>
    <r>
      <rPr>
        <sz val="12"/>
        <color indexed="56"/>
        <rFont val="Arial"/>
        <family val="2"/>
      </rPr>
      <t>F9</t>
    </r>
    <r>
      <rPr>
        <sz val="12"/>
        <color indexed="8"/>
        <rFont val="Arial"/>
        <family val="2"/>
      </rPr>
      <t>.</t>
    </r>
  </si>
  <si>
    <r>
      <t>Repeatedly press "</t>
    </r>
    <r>
      <rPr>
        <sz val="12"/>
        <color indexed="56"/>
        <rFont val="Arial"/>
        <family val="2"/>
      </rPr>
      <t>Evaluate</t>
    </r>
    <r>
      <rPr>
        <sz val="12"/>
        <color indexed="8"/>
        <rFont val="Arial"/>
        <family val="2"/>
      </rPr>
      <t>" to see how the formula is evalated.</t>
    </r>
  </si>
  <si>
    <r>
      <t>Type "=</t>
    </r>
    <r>
      <rPr>
        <sz val="12"/>
        <color indexed="56"/>
        <rFont val="Arial"/>
        <family val="2"/>
      </rPr>
      <t>sum(</t>
    </r>
    <r>
      <rPr>
        <sz val="12"/>
        <color indexed="8"/>
        <rFont val="Arial"/>
        <family val="2"/>
      </rPr>
      <t xml:space="preserve">", use </t>
    </r>
    <r>
      <rPr>
        <sz val="12"/>
        <color indexed="56"/>
        <rFont val="Arial"/>
        <family val="2"/>
      </rPr>
      <t>left arrow</t>
    </r>
    <r>
      <rPr>
        <sz val="12"/>
        <color indexed="8"/>
        <rFont val="Arial"/>
        <family val="2"/>
      </rPr>
      <t xml:space="preserve"> to go to Cell F4, press </t>
    </r>
    <r>
      <rPr>
        <sz val="12"/>
        <color indexed="56"/>
        <rFont val="Arial"/>
        <family val="2"/>
      </rPr>
      <t>Ctrl + Shift + left arrow</t>
    </r>
    <r>
      <rPr>
        <sz val="12"/>
        <color indexed="8"/>
        <rFont val="Arial"/>
        <family val="2"/>
      </rPr>
      <t>, type "</t>
    </r>
    <r>
      <rPr>
        <sz val="12"/>
        <color indexed="56"/>
        <rFont val="Arial"/>
        <family val="2"/>
      </rPr>
      <t>)</t>
    </r>
    <r>
      <rPr>
        <sz val="12"/>
        <color indexed="8"/>
        <rFont val="Arial"/>
        <family val="2"/>
      </rPr>
      <t>" and press "</t>
    </r>
    <r>
      <rPr>
        <sz val="12"/>
        <color indexed="56"/>
        <rFont val="Arial"/>
        <family val="2"/>
      </rPr>
      <t>Enter</t>
    </r>
    <r>
      <rPr>
        <sz val="12"/>
        <color indexed="8"/>
        <rFont val="Arial"/>
        <family val="2"/>
      </rPr>
      <t>".</t>
    </r>
  </si>
  <si>
    <t>Conditional Formatting</t>
  </si>
  <si>
    <t>Highlight a cell if it meets specific conditions.</t>
  </si>
  <si>
    <r>
      <t xml:space="preserve">Exercise: In the following table, change the row's background color to </t>
    </r>
    <r>
      <rPr>
        <b/>
        <sz val="12"/>
        <color indexed="10"/>
        <rFont val="Arial"/>
        <family val="2"/>
      </rPr>
      <t>red</t>
    </r>
    <r>
      <rPr>
        <b/>
        <sz val="12"/>
        <color indexed="50"/>
        <rFont val="Arial"/>
        <family val="2"/>
      </rPr>
      <t xml:space="preserve"> </t>
    </r>
  </si>
  <si>
    <t xml:space="preserve">                   if the cells under column "Exercise:" is negative.</t>
  </si>
  <si>
    <t>red</t>
  </si>
  <si>
    <t>green</t>
  </si>
  <si>
    <t>blue</t>
  </si>
  <si>
    <t>no color</t>
  </si>
  <si>
    <t>Select any cell in the color grid on the right.</t>
  </si>
  <si>
    <t>Change the text in the color grid and see the color changes.</t>
  </si>
  <si>
    <t>Review how the conditions are set up.</t>
  </si>
  <si>
    <t>To make other cells with same conditional format, select any cell in the color grid, press "Format Painter"</t>
  </si>
  <si>
    <t>in the format toolbar, and select the cells you want to format.</t>
  </si>
  <si>
    <r>
      <t xml:space="preserve">Exercise: In the following table, using conditional formatting to change the row's background color to </t>
    </r>
    <r>
      <rPr>
        <b/>
        <sz val="12"/>
        <color indexed="10"/>
        <rFont val="Arial"/>
        <family val="2"/>
      </rPr>
      <t>red</t>
    </r>
    <r>
      <rPr>
        <b/>
        <sz val="12"/>
        <color indexed="50"/>
        <rFont val="Arial"/>
        <family val="2"/>
      </rPr>
      <t xml:space="preserve"> </t>
    </r>
  </si>
  <si>
    <t xml:space="preserve">                   if the cells under column "Condition" is negative.</t>
  </si>
  <si>
    <t>Condition</t>
  </si>
  <si>
    <t xml:space="preserve">                   Use relative and absolute cell references in the condition formula.</t>
  </si>
  <si>
    <t>Build-In Functions</t>
  </si>
  <si>
    <t>Annuity</t>
  </si>
  <si>
    <t>PV(rate, nper, pmt, fv, type)</t>
  </si>
  <si>
    <t>Rate</t>
  </si>
  <si>
    <t>Nper</t>
  </si>
  <si>
    <t>Interest rate per period (month, year, etc)</t>
  </si>
  <si>
    <t>Total number of period (total number of payments; truncate to integer)</t>
  </si>
  <si>
    <t>Pmt</t>
  </si>
  <si>
    <t>Payment made each period</t>
  </si>
  <si>
    <t>0 - payment at the end of period; 1- payment at the beginning of period</t>
  </si>
  <si>
    <t>Math &amp; Trig</t>
  </si>
  <si>
    <t>POWER(number, power)</t>
  </si>
  <si>
    <t>Exercise: Instead of calling the build-in function, enter a formula to calculate the FV in the green box.</t>
  </si>
  <si>
    <t>Exercise: Instead of calling the build-in function, enter a formula to calculate the PV in the green box above.</t>
  </si>
  <si>
    <t>FV(rate, nper, pmt, pv, type)</t>
  </si>
  <si>
    <t>PMT(rate, nper, pmt, pv, type)</t>
  </si>
  <si>
    <t>RATE(nper, pmt, pv, fv, type, guess)</t>
  </si>
  <si>
    <t>NPER(rate, pmt, pv, fv, type)</t>
  </si>
  <si>
    <t>Exercise: By filling in the cashflow in the above table, how would you verify that PMT gave the correct result?</t>
  </si>
  <si>
    <t>Exercise: By filling in the cashflow in the above table, how would you verify that RATE gave the correct result?</t>
  </si>
  <si>
    <t>Exercise: By filling in the cashflow in the above table, how would you verify that NPER gave the correct result?</t>
  </si>
  <si>
    <t>NPV(rate, value1, value2, ...)</t>
  </si>
  <si>
    <t>IRR(values, guess)</t>
  </si>
  <si>
    <t>Exercise: Calculate the NPV of the Cashflow in the green box.</t>
  </si>
  <si>
    <t>Logical Functions</t>
  </si>
  <si>
    <t>IF(logical_test, value_if_true, value_if_false)</t>
  </si>
  <si>
    <r>
      <t>2007/2008</t>
    </r>
    <r>
      <rPr>
        <sz val="10"/>
        <color indexed="8"/>
        <rFont val="Arial"/>
        <family val="2"/>
      </rPr>
      <t> </t>
    </r>
  </si>
  <si>
    <t>Standard rate</t>
  </si>
  <si>
    <t>Taxable Income</t>
  </si>
  <si>
    <t>Income</t>
  </si>
  <si>
    <t>Deductions</t>
  </si>
  <si>
    <t>One Child</t>
  </si>
  <si>
    <t>Total Tax</t>
  </si>
  <si>
    <t>Exercise: Fill in formulae for the tax calculation in the green boxes below.</t>
  </si>
  <si>
    <t>Married Person</t>
  </si>
  <si>
    <t>First</t>
  </si>
  <si>
    <t>Next</t>
  </si>
  <si>
    <r>
      <t>Hong Kong Rates of tax</t>
    </r>
    <r>
      <rPr>
        <sz val="12"/>
        <color indexed="8"/>
        <rFont val="Arial"/>
        <family val="2"/>
      </rPr>
      <t> </t>
    </r>
  </si>
  <si>
    <t xml:space="preserve"> Remainder</t>
  </si>
  <si>
    <t>Taxable Income in Bracket</t>
  </si>
  <si>
    <t>Tax 
in Bracket</t>
  </si>
  <si>
    <t>AND(logical1, logical2, …)</t>
  </si>
  <si>
    <t>OR(logical1, logical2, …)</t>
  </si>
  <si>
    <t>x=</t>
  </si>
  <si>
    <t>NOT(logical1)</t>
  </si>
  <si>
    <t>TRUNC(number, num_digits)</t>
  </si>
  <si>
    <r>
      <t xml:space="preserve">INT(number) </t>
    </r>
    <r>
      <rPr>
        <sz val="12"/>
        <color indexed="18"/>
        <rFont val="Arial"/>
        <family val="2"/>
      </rPr>
      <t>- round down</t>
    </r>
  </si>
  <si>
    <t>ABS(number)</t>
  </si>
  <si>
    <t>EXP(number)</t>
  </si>
  <si>
    <t>SQRT(number)</t>
  </si>
  <si>
    <t>ROUND(number, num_digits)</t>
  </si>
  <si>
    <t>LN(number)</t>
  </si>
  <si>
    <t>LOG10(number)</t>
  </si>
  <si>
    <t>PI()</t>
  </si>
  <si>
    <t>MOD(number, divisor)</t>
  </si>
  <si>
    <t>SIN(number)</t>
  </si>
  <si>
    <t>COS(number)</t>
  </si>
  <si>
    <t>MAX(number1, number2, …)</t>
  </si>
  <si>
    <t>MIN(number1, number2, …)</t>
  </si>
  <si>
    <t>LOG(number, base)</t>
  </si>
  <si>
    <t>COMBIN(number, number_chosen)</t>
  </si>
  <si>
    <t>CONCATENATE(text1, text2, …)</t>
  </si>
  <si>
    <t>FIND(find_text, within_text, start_num)</t>
  </si>
  <si>
    <t>SEARCH(find_text, within_text, start_num)</t>
  </si>
  <si>
    <t>REPLACE
(old_text, start_num, num_chars, new_text)</t>
  </si>
  <si>
    <t>SUBSTITUTE(text, old_text, new_text)</t>
  </si>
  <si>
    <t>TRIM(text)</t>
  </si>
  <si>
    <t>LEN(text)</t>
  </si>
  <si>
    <t>RIGHT(text, num_chars)</t>
  </si>
  <si>
    <t>LEFT(text, num_chars)</t>
  </si>
  <si>
    <t>LOWER(text)</t>
  </si>
  <si>
    <t>UPPER(text)</t>
  </si>
  <si>
    <t>MID(text, start_num, num_chars)</t>
  </si>
  <si>
    <r>
      <t xml:space="preserve">VALUE(text) - </t>
    </r>
    <r>
      <rPr>
        <sz val="12"/>
        <color indexed="18"/>
        <rFont val="Arial"/>
        <family val="2"/>
      </rPr>
      <t>convert text to number</t>
    </r>
  </si>
  <si>
    <t>TEXT(value, format_text)</t>
  </si>
  <si>
    <t>Date &amp; Time</t>
  </si>
  <si>
    <t>DATE(year, month, day)</t>
  </si>
  <si>
    <t>TIME(hour, minute, second)</t>
  </si>
  <si>
    <t>DATEVALUE(date_text)</t>
  </si>
  <si>
    <t>TIMEVALUE(time_text)</t>
  </si>
  <si>
    <t>YEAR(serial_number)</t>
  </si>
  <si>
    <t>MONTH(serial_number)</t>
  </si>
  <si>
    <t>DAY(serial_number)</t>
  </si>
  <si>
    <t>HOUR(serial_number)</t>
  </si>
  <si>
    <t>TODAY()</t>
  </si>
  <si>
    <t>NOW()</t>
  </si>
  <si>
    <t>MINUTE(serial_number)</t>
  </si>
  <si>
    <t>SECOND(serial_number)</t>
  </si>
  <si>
    <t>WEEKDAY(serial_number, [return_type])</t>
  </si>
  <si>
    <t>Today</t>
  </si>
  <si>
    <t>3 years from today</t>
  </si>
  <si>
    <t>6 months from today</t>
  </si>
  <si>
    <t>Exercise: Fill in formulae to get the dates in the green boxes below.</t>
  </si>
  <si>
    <t>Build-In Functions (Time Value)</t>
  </si>
  <si>
    <t>Other Time Value of Money</t>
  </si>
  <si>
    <t>Lookup</t>
  </si>
  <si>
    <t>Code</t>
  </si>
  <si>
    <t>Last</t>
  </si>
  <si>
    <t>Bid Vol</t>
  </si>
  <si>
    <t>Bid</t>
  </si>
  <si>
    <t>Ask</t>
  </si>
  <si>
    <t>CHEUNG KONG</t>
  </si>
  <si>
    <t>CLP HOLDINGS</t>
  </si>
  <si>
    <t>HK &amp; CHINA GAS</t>
  </si>
  <si>
    <t>WHARF HOLDINGS</t>
  </si>
  <si>
    <t>HSBC HOLDINGS</t>
  </si>
  <si>
    <t>HK ELECTRIC</t>
  </si>
  <si>
    <t>KARL THOMSON</t>
  </si>
  <si>
    <t>PCCW</t>
  </si>
  <si>
    <t>MANDARIN ENT</t>
  </si>
  <si>
    <t>HANG LUNG GROUP</t>
  </si>
  <si>
    <t>HANG SENG BANK</t>
  </si>
  <si>
    <t>HENDERSON LAND</t>
  </si>
  <si>
    <t>HUTCHISON</t>
  </si>
  <si>
    <t>HYSAN DEV</t>
  </si>
  <si>
    <t>VANTAGE INT'L</t>
  </si>
  <si>
    <t>SHK PPT</t>
  </si>
  <si>
    <t>NEW WORLD DEV</t>
  </si>
  <si>
    <t>ORIENTAL PRESS</t>
  </si>
  <si>
    <t>SWIRE PACIFIC A</t>
  </si>
  <si>
    <t>WHEELOCK</t>
  </si>
  <si>
    <t xml:space="preserve">                          FALSE - exact match</t>
  </si>
  <si>
    <r>
      <t xml:space="preserve">MATCH(lookup_value, lookup_array, </t>
    </r>
    <r>
      <rPr>
        <sz val="12"/>
        <rFont val="Arial"/>
        <family val="2"/>
      </rPr>
      <t>match_type</t>
    </r>
    <r>
      <rPr>
        <b/>
        <sz val="12"/>
        <rFont val="Arial"/>
        <family val="2"/>
      </rPr>
      <t>)</t>
    </r>
  </si>
  <si>
    <r>
      <t xml:space="preserve">VLOOKUP(lookup_value, table_array, row_index_number, </t>
    </r>
    <r>
      <rPr>
        <sz val="12"/>
        <rFont val="Arial"/>
        <family val="2"/>
      </rPr>
      <t>range_lookup</t>
    </r>
    <r>
      <rPr>
        <b/>
        <sz val="12"/>
        <rFont val="Arial"/>
        <family val="2"/>
      </rPr>
      <t>)</t>
    </r>
  </si>
  <si>
    <t xml:space="preserve">                      0 - first value that exactly match lookup_value</t>
  </si>
  <si>
    <t xml:space="preserve">                    -1 - smallest value greater than or equal to lookup_value</t>
  </si>
  <si>
    <t>match_type: 1 - largest value less than or equal to lookup_value (default)</t>
  </si>
  <si>
    <t>range_lookup: TRUE - largest value less than or equal to lookup_value (default)</t>
  </si>
  <si>
    <r>
      <t>INDEX(array, row_num, col_num</t>
    </r>
    <r>
      <rPr>
        <b/>
        <sz val="12"/>
        <rFont val="Arial"/>
        <family val="2"/>
      </rPr>
      <t>)</t>
    </r>
  </si>
  <si>
    <t>Random Numbers</t>
  </si>
  <si>
    <t>Build-In Functions (Statistical)</t>
  </si>
  <si>
    <t>RAND( )</t>
  </si>
  <si>
    <t>Every time the worksheet is recalculated, RAND will generate a new random number in that cell.</t>
  </si>
  <si>
    <t>Press F9 and see cell E4 changes.</t>
  </si>
  <si>
    <t>Total Count</t>
  </si>
  <si>
    <t>Bin</t>
  </si>
  <si>
    <t>Count</t>
  </si>
  <si>
    <t>Exercise: Go to Worksheet "Rand" to further study the Rand( ).</t>
  </si>
  <si>
    <t>AVERAGE(number1, …)</t>
  </si>
  <si>
    <t>MEDIAN(number1, …)</t>
  </si>
  <si>
    <t>STDEV(number1, …)</t>
  </si>
  <si>
    <t>STDEVP(number1, …)</t>
  </si>
  <si>
    <t>VAR(number1, …)</t>
  </si>
  <si>
    <t>VARP(number1, …)</t>
  </si>
  <si>
    <t>COVAR(array1, array2)</t>
  </si>
  <si>
    <t>CORREL(array1, array2)</t>
  </si>
  <si>
    <t>Statistics</t>
  </si>
  <si>
    <t>Normal Density</t>
  </si>
  <si>
    <t>Normal Distribution</t>
  </si>
  <si>
    <t>theory</t>
  </si>
  <si>
    <t>Exercise: Enter the formulas to calculate the "Summary Statistics".</t>
  </si>
  <si>
    <t xml:space="preserve">                   Enter the formulas to calculate the "Frequency Distribution".</t>
  </si>
  <si>
    <t xml:space="preserve">                   Note: "freq" count is for "Ln Return".</t>
  </si>
  <si>
    <t xml:space="preserve">                              Use NORMDIST for the "theory" column.</t>
  </si>
  <si>
    <t xml:space="preserve">                   Chart and compare the "%cum freq" against the "theory".</t>
  </si>
  <si>
    <t>Initial value</t>
  </si>
  <si>
    <t>Time (t)</t>
  </si>
  <si>
    <t>Outputs</t>
  </si>
  <si>
    <t>Discount factor    t yrs</t>
  </si>
  <si>
    <t>compound</t>
  </si>
  <si>
    <r>
      <t>r</t>
    </r>
    <r>
      <rPr>
        <vertAlign val="subscript"/>
        <sz val="10"/>
        <color indexed="18"/>
        <rFont val="Arial"/>
        <family val="2"/>
      </rPr>
      <t>a</t>
    </r>
    <r>
      <rPr>
        <sz val="10"/>
        <color indexed="18"/>
        <rFont val="Arial"/>
        <family val="2"/>
      </rPr>
      <t xml:space="preserve"> =exp(r)-1</t>
    </r>
  </si>
  <si>
    <t>Data Table</t>
  </si>
  <si>
    <t>Year</t>
  </si>
  <si>
    <t>Salesperson</t>
  </si>
  <si>
    <t>Sales</t>
  </si>
  <si>
    <t>Units</t>
  </si>
  <si>
    <t>Region</t>
  </si>
  <si>
    <t>Diary</t>
  </si>
  <si>
    <t>Dodsworth</t>
  </si>
  <si>
    <t>West</t>
  </si>
  <si>
    <t>Beverage</t>
  </si>
  <si>
    <t>Davolio</t>
  </si>
  <si>
    <t>North</t>
  </si>
  <si>
    <t>Produce</t>
  </si>
  <si>
    <t>Buchanan</t>
  </si>
  <si>
    <t>South</t>
  </si>
  <si>
    <t>Suyama</t>
  </si>
  <si>
    <t>East</t>
  </si>
  <si>
    <t>Meat</t>
  </si>
  <si>
    <t>Sum of Sales</t>
  </si>
  <si>
    <t>Grand Total</t>
  </si>
  <si>
    <t>Pivot Table</t>
  </si>
  <si>
    <t xml:space="preserve"> </t>
  </si>
  <si>
    <t>d_1</t>
  </si>
  <si>
    <t>d_2</t>
  </si>
  <si>
    <t>Spot Price</t>
  </si>
  <si>
    <t>Maturity (time to maturity in days)</t>
  </si>
  <si>
    <t>Dividend</t>
  </si>
  <si>
    <t>Strike Price</t>
  </si>
  <si>
    <t>Option Input</t>
  </si>
  <si>
    <t>Maturity (time to maturity in years)</t>
  </si>
  <si>
    <t>Calculations</t>
  </si>
  <si>
    <t>Interest Rate (Continuous Compounding)</t>
  </si>
  <si>
    <t>Dividend (Continuous Compounding)</t>
  </si>
  <si>
    <t>Black-Scholes</t>
  </si>
  <si>
    <t>Use 365.25 days for 1 year</t>
  </si>
  <si>
    <t>Exercise: Enter the formulas to calculate the Black-Scholes Call and Put Premium.</t>
  </si>
  <si>
    <t>Call Premium</t>
  </si>
  <si>
    <t>Put Premium</t>
  </si>
  <si>
    <t>Volatility</t>
  </si>
  <si>
    <t>Exercise: Use Data Table to calculate the "Call Premium" for varies "Volatility"</t>
  </si>
  <si>
    <t xml:space="preserve">                   Chart "Call Premium" against "Volatility"</t>
  </si>
  <si>
    <t>Call</t>
  </si>
  <si>
    <t>Put</t>
  </si>
  <si>
    <t>Price</t>
  </si>
  <si>
    <t>Exercise: Go to Worksheet "Security (Price Model)" to study the stat for analyzing security.</t>
  </si>
  <si>
    <t>Exercise: Enter the formulas for the simulated stock price.</t>
  </si>
  <si>
    <t xml:space="preserve">                   Chart the stock price. Press F9 to force another simulation.</t>
  </si>
  <si>
    <t>Monte Carlo Simulation</t>
  </si>
  <si>
    <t>Normal Variates</t>
  </si>
  <si>
    <r>
      <t>X</t>
    </r>
    <r>
      <rPr>
        <sz val="14"/>
        <rFont val="Arial"/>
        <family val="2"/>
      </rPr>
      <t xml:space="preserve"> is a random variable with uniform distribution</t>
    </r>
  </si>
  <si>
    <r>
      <t xml:space="preserve">Generate samples of </t>
    </r>
    <r>
      <rPr>
        <i/>
        <sz val="14"/>
        <rFont val="Arial"/>
        <family val="2"/>
      </rPr>
      <t>Y</t>
    </r>
    <r>
      <rPr>
        <sz val="14"/>
        <rFont val="Arial"/>
        <family val="2"/>
      </rPr>
      <t xml:space="preserve"> with distribution </t>
    </r>
    <r>
      <rPr>
        <i/>
        <sz val="14"/>
        <rFont val="Arial"/>
        <family val="2"/>
      </rPr>
      <t>FY(y)</t>
    </r>
  </si>
  <si>
    <t>Uniform</t>
  </si>
  <si>
    <t>Normal</t>
  </si>
  <si>
    <t>max</t>
  </si>
  <si>
    <t>min</t>
  </si>
  <si>
    <t>Interest rate (continuous compound) ( r)</t>
  </si>
  <si>
    <t>Interest rate (annual)</t>
  </si>
  <si>
    <t>Misc</t>
  </si>
  <si>
    <t>Data: Sort…, Filter, Validation</t>
  </si>
  <si>
    <t>Dept. Code</t>
  </si>
  <si>
    <t>Data</t>
  </si>
  <si>
    <t>Exercise: Go to Workbook "loanAmortization.xls"</t>
  </si>
  <si>
    <t>Matrix</t>
  </si>
  <si>
    <t>MMULT(array1, array2)</t>
  </si>
  <si>
    <t>X</t>
  </si>
  <si>
    <t>=</t>
  </si>
  <si>
    <t>MINVERSE(array)</t>
  </si>
  <si>
    <t>TRANSPOSE(array)</t>
  </si>
  <si>
    <t>T</t>
  </si>
  <si>
    <t>Solver</t>
  </si>
  <si>
    <t>x (min)</t>
  </si>
  <si>
    <t>x (max)</t>
  </si>
  <si>
    <t>f</t>
  </si>
  <si>
    <t>Objective Function</t>
  </si>
  <si>
    <t>Design Variables</t>
  </si>
  <si>
    <t>Constraints</t>
  </si>
  <si>
    <t>x ≤</t>
  </si>
  <si>
    <t>x ≥</t>
  </si>
  <si>
    <t>Goal:</t>
  </si>
  <si>
    <r>
      <t xml:space="preserve">Find the value of </t>
    </r>
    <r>
      <rPr>
        <i/>
        <sz val="10"/>
        <rFont val="Verdana"/>
        <family val="2"/>
      </rPr>
      <t>x</t>
    </r>
    <r>
      <rPr>
        <sz val="10"/>
        <rFont val="Arial"/>
        <family val="2"/>
      </rPr>
      <t xml:space="preserve"> that minimizes </t>
    </r>
    <r>
      <rPr>
        <i/>
        <sz val="10"/>
        <rFont val="Verdana"/>
        <family val="2"/>
      </rPr>
      <t>f</t>
    </r>
    <r>
      <rPr>
        <sz val="10"/>
        <rFont val="Arial"/>
        <family val="2"/>
      </rPr>
      <t>,</t>
    </r>
  </si>
  <si>
    <r>
      <t xml:space="preserve">subject to -1 ≤ </t>
    </r>
    <r>
      <rPr>
        <i/>
        <sz val="10"/>
        <rFont val="Verdana"/>
        <family val="2"/>
      </rPr>
      <t>x</t>
    </r>
    <r>
      <rPr>
        <sz val="10"/>
        <rFont val="Arial"/>
        <family val="2"/>
      </rPr>
      <t xml:space="preserve"> ≤ 5 </t>
    </r>
  </si>
  <si>
    <r>
      <t>"Finding a Local Minimum Using the Excel Solver"</t>
    </r>
    <r>
      <rPr>
        <b/>
        <i/>
        <sz val="10"/>
        <rFont val="Verdana"/>
        <family val="2"/>
      </rPr>
      <t xml:space="preserve"> </t>
    </r>
  </si>
  <si>
    <r>
      <t xml:space="preserve">Press </t>
    </r>
    <r>
      <rPr>
        <b/>
        <sz val="12"/>
        <color rgb="FF0000FF"/>
        <rFont val="Arial"/>
        <family val="2"/>
      </rPr>
      <t>F2</t>
    </r>
    <r>
      <rPr>
        <b/>
        <sz val="12"/>
        <color indexed="17"/>
        <rFont val="Arial"/>
        <family val="2"/>
      </rPr>
      <t xml:space="preserve">. Press </t>
    </r>
    <r>
      <rPr>
        <b/>
        <sz val="12"/>
        <color indexed="56"/>
        <rFont val="Arial"/>
        <family val="2"/>
      </rPr>
      <t>backspace</t>
    </r>
    <r>
      <rPr>
        <b/>
        <sz val="12"/>
        <color indexed="17"/>
        <rFont val="Arial"/>
        <family val="2"/>
      </rPr>
      <t xml:space="preserve"> to delete the line "Do exercise 'Enter multiple lines in a cell' here".</t>
    </r>
  </si>
  <si>
    <r>
      <t xml:space="preserve">Go to </t>
    </r>
    <r>
      <rPr>
        <sz val="10"/>
        <color rgb="FF0000FF"/>
        <rFont val="Arial"/>
        <family val="2"/>
      </rPr>
      <t>Office Button</t>
    </r>
    <r>
      <rPr>
        <sz val="10"/>
        <rFont val="Arial"/>
        <family val="2"/>
      </rPr>
      <t xml:space="preserve"> (Top Left Corner). Click </t>
    </r>
    <r>
      <rPr>
        <sz val="10"/>
        <color rgb="FF0000FF"/>
        <rFont val="Arial"/>
        <family val="2"/>
      </rPr>
      <t>Excel Options</t>
    </r>
    <r>
      <rPr>
        <sz val="10"/>
        <rFont val="Arial"/>
        <family val="2"/>
      </rPr>
      <t>.</t>
    </r>
  </si>
  <si>
    <r>
      <t xml:space="preserve">Under </t>
    </r>
    <r>
      <rPr>
        <sz val="10"/>
        <color rgb="FF0000FF"/>
        <rFont val="Arial"/>
        <family val="2"/>
      </rPr>
      <t>Popular</t>
    </r>
    <r>
      <rPr>
        <sz val="10"/>
        <rFont val="Arial"/>
        <family val="2"/>
      </rPr>
      <t xml:space="preserve"> tab, check </t>
    </r>
    <r>
      <rPr>
        <sz val="10"/>
        <color rgb="FF0000FF"/>
        <rFont val="Arial"/>
        <family val="2"/>
      </rPr>
      <t>Show Developer tab in the Ribbon</t>
    </r>
    <r>
      <rPr>
        <sz val="10"/>
        <rFont val="Arial"/>
        <family val="2"/>
      </rPr>
      <t>.</t>
    </r>
  </si>
  <si>
    <r>
      <t xml:space="preserve">Under </t>
    </r>
    <r>
      <rPr>
        <sz val="10"/>
        <color rgb="FF0000FF"/>
        <rFont val="Arial"/>
        <family val="2"/>
      </rPr>
      <t>Formula</t>
    </r>
    <r>
      <rPr>
        <sz val="10"/>
        <rFont val="Arial"/>
        <family val="2"/>
      </rPr>
      <t xml:space="preserve"> tab, check </t>
    </r>
    <r>
      <rPr>
        <sz val="10"/>
        <color rgb="FF0000FF"/>
        <rFont val="Arial"/>
        <family val="2"/>
      </rPr>
      <t>Calculation Options Automatic</t>
    </r>
  </si>
  <si>
    <r>
      <t xml:space="preserve">Use the </t>
    </r>
    <r>
      <rPr>
        <sz val="12"/>
        <color indexed="56"/>
        <rFont val="Arial"/>
        <family val="2"/>
      </rPr>
      <t>arrow key</t>
    </r>
    <r>
      <rPr>
        <sz val="12"/>
        <rFont val="Arial"/>
        <family val="2"/>
      </rPr>
      <t xml:space="preserve"> to navigate the menu. 
Alternatively, use </t>
    </r>
    <r>
      <rPr>
        <sz val="12"/>
        <color indexed="56"/>
        <rFont val="Arial"/>
        <family val="2"/>
      </rPr>
      <t xml:space="preserve">Alt + H or Alt </t>
    </r>
    <r>
      <rPr>
        <sz val="12"/>
        <rFont val="Arial"/>
        <family val="2"/>
      </rPr>
      <t>then</t>
    </r>
    <r>
      <rPr>
        <sz val="12"/>
        <color indexed="56"/>
        <rFont val="Arial"/>
        <family val="2"/>
      </rPr>
      <t xml:space="preserve"> H</t>
    </r>
    <r>
      <rPr>
        <sz val="12"/>
        <rFont val="Arial"/>
        <family val="2"/>
      </rPr>
      <t xml:space="preserve"> to go directly to the </t>
    </r>
    <r>
      <rPr>
        <sz val="12"/>
        <color rgb="FF0000FF"/>
        <rFont val="Arial"/>
        <family val="2"/>
      </rPr>
      <t>Home</t>
    </r>
    <r>
      <rPr>
        <sz val="12"/>
        <rFont val="Arial"/>
        <family val="2"/>
      </rPr>
      <t xml:space="preserve"> menu.</t>
    </r>
  </si>
  <si>
    <r>
      <t xml:space="preserve">1. Activate cell marked "1".
2. Press </t>
    </r>
    <r>
      <rPr>
        <sz val="12"/>
        <color indexed="56"/>
        <rFont val="Arial"/>
        <family val="2"/>
      </rPr>
      <t>Ctrl + Shift + Right</t>
    </r>
    <r>
      <rPr>
        <sz val="12"/>
        <rFont val="Arial"/>
        <family val="2"/>
      </rPr>
      <t xml:space="preserve"> Arrow.
3. Press </t>
    </r>
    <r>
      <rPr>
        <sz val="12"/>
        <color indexed="56"/>
        <rFont val="Arial"/>
        <family val="2"/>
      </rPr>
      <t>Ctrl + Shift + Down</t>
    </r>
    <r>
      <rPr>
        <sz val="12"/>
        <rFont val="Arial"/>
        <family val="2"/>
      </rPr>
      <t xml:space="preserve"> Arrow.
4. Press </t>
    </r>
    <r>
      <rPr>
        <sz val="12"/>
        <color indexed="56"/>
        <rFont val="Arial"/>
        <family val="2"/>
      </rPr>
      <t>Ctrl + C</t>
    </r>
    <r>
      <rPr>
        <sz val="12"/>
        <rFont val="Arial"/>
        <family val="2"/>
      </rPr>
      <t xml:space="preserve"> to copy.
5. Activate cell marked "copy to here".
6. Press </t>
    </r>
    <r>
      <rPr>
        <sz val="12"/>
        <color indexed="56"/>
        <rFont val="Arial"/>
        <family val="2"/>
      </rPr>
      <t xml:space="preserve">Home Paste </t>
    </r>
    <r>
      <rPr>
        <sz val="12"/>
        <color indexed="56"/>
        <rFont val="Symbol"/>
        <family val="1"/>
        <charset val="2"/>
      </rPr>
      <t>®</t>
    </r>
    <r>
      <rPr>
        <sz val="12"/>
        <color indexed="56"/>
        <rFont val="Arial"/>
        <family val="2"/>
      </rPr>
      <t xml:space="preserve"> Paste Special…</t>
    </r>
    <r>
      <rPr>
        <sz val="12"/>
        <rFont val="Arial"/>
        <family val="2"/>
      </rPr>
      <t>.
7a. Check "Formats" and click "OK"
7b. Check "Values" and click "OK"</t>
    </r>
  </si>
  <si>
    <r>
      <t xml:space="preserve">Choose </t>
    </r>
    <r>
      <rPr>
        <sz val="12"/>
        <color indexed="56"/>
        <rFont val="Arial"/>
        <family val="2"/>
      </rPr>
      <t xml:space="preserve">Home </t>
    </r>
    <r>
      <rPr>
        <sz val="12"/>
        <color indexed="56"/>
        <rFont val="Symbol"/>
        <family val="1"/>
        <charset val="2"/>
      </rPr>
      <t>®</t>
    </r>
    <r>
      <rPr>
        <sz val="12"/>
        <color indexed="56"/>
        <rFont val="Arial"/>
        <family val="2"/>
      </rPr>
      <t xml:space="preserve"> Conditional Formatting…</t>
    </r>
  </si>
  <si>
    <r>
      <t xml:space="preserve">Press </t>
    </r>
    <r>
      <rPr>
        <sz val="12"/>
        <color indexed="56"/>
        <rFont val="Arial"/>
        <family val="2"/>
      </rPr>
      <t>Ctrl + F3</t>
    </r>
    <r>
      <rPr>
        <sz val="12"/>
        <rFont val="Arial"/>
        <family val="2"/>
      </rPr>
      <t xml:space="preserve"> or select </t>
    </r>
    <r>
      <rPr>
        <sz val="12"/>
        <color indexed="56"/>
        <rFont val="Arial"/>
        <family val="2"/>
      </rPr>
      <t xml:space="preserve">Formulas </t>
    </r>
    <r>
      <rPr>
        <sz val="12"/>
        <color indexed="56"/>
        <rFont val="Symbol"/>
        <family val="1"/>
        <charset val="2"/>
      </rPr>
      <t>®</t>
    </r>
    <r>
      <rPr>
        <sz val="12"/>
        <color indexed="56"/>
        <rFont val="Arial"/>
        <family val="2"/>
      </rPr>
      <t xml:space="preserve"> Define Name </t>
    </r>
    <r>
      <rPr>
        <sz val="12"/>
        <rFont val="Arial"/>
        <family val="2"/>
      </rPr>
      <t>from the menu.</t>
    </r>
  </si>
  <si>
    <r>
      <t xml:space="preserve">Select </t>
    </r>
    <r>
      <rPr>
        <sz val="12"/>
        <color indexed="56"/>
        <rFont val="Arial"/>
        <family val="2"/>
      </rPr>
      <t xml:space="preserve">Formulas </t>
    </r>
    <r>
      <rPr>
        <sz val="12"/>
        <color indexed="56"/>
        <rFont val="Symbol"/>
        <family val="1"/>
        <charset val="2"/>
      </rPr>
      <t>®</t>
    </r>
    <r>
      <rPr>
        <sz val="12"/>
        <color indexed="56"/>
        <rFont val="Arial"/>
        <family val="2"/>
      </rPr>
      <t xml:space="preserve"> Create from Selection </t>
    </r>
    <r>
      <rPr>
        <sz val="12"/>
        <rFont val="Arial"/>
        <family val="2"/>
      </rPr>
      <t>from the menu.</t>
    </r>
  </si>
  <si>
    <r>
      <t xml:space="preserve">With range name "Interest_At_Maturity" selected, select </t>
    </r>
    <r>
      <rPr>
        <sz val="12"/>
        <color indexed="56"/>
        <rFont val="Arial"/>
        <family val="2"/>
      </rPr>
      <t xml:space="preserve">Formulas </t>
    </r>
    <r>
      <rPr>
        <sz val="12"/>
        <color indexed="56"/>
        <rFont val="Symbol"/>
        <family val="1"/>
        <charset val="2"/>
      </rPr>
      <t>®</t>
    </r>
    <r>
      <rPr>
        <sz val="12"/>
        <color indexed="56"/>
        <rFont val="Arial"/>
        <family val="2"/>
      </rPr>
      <t xml:space="preserve"> Trace Precedents</t>
    </r>
    <r>
      <rPr>
        <sz val="12"/>
        <rFont val="Arial"/>
        <family val="2"/>
      </rPr>
      <t>.</t>
    </r>
  </si>
  <si>
    <r>
      <t>Select range name "Interest_At_Maturity". Click "</t>
    </r>
    <r>
      <rPr>
        <sz val="12"/>
        <color indexed="56"/>
        <rFont val="Arial"/>
        <family val="2"/>
      </rPr>
      <t>Formulas → Evaluate Formula</t>
    </r>
    <r>
      <rPr>
        <sz val="12"/>
        <color indexed="8"/>
        <rFont val="Arial"/>
        <family val="2"/>
      </rPr>
      <t>" to invoke the Evaluate Formula dialogue.</t>
    </r>
  </si>
  <si>
    <r>
      <t xml:space="preserve">Data </t>
    </r>
    <r>
      <rPr>
        <sz val="14"/>
        <color rgb="FF0000FF"/>
        <rFont val="Arial"/>
        <family val="2"/>
      </rPr>
      <t>→</t>
    </r>
    <r>
      <rPr>
        <sz val="14"/>
        <color rgb="FF0000FF"/>
        <rFont val="Times New Roman"/>
        <family val="1"/>
      </rPr>
      <t xml:space="preserve"> What-If Analysis </t>
    </r>
    <r>
      <rPr>
        <sz val="14"/>
        <color rgb="FF0000FF"/>
        <rFont val="Arial"/>
        <family val="2"/>
      </rPr>
      <t>→</t>
    </r>
    <r>
      <rPr>
        <sz val="14"/>
        <color rgb="FF0000FF"/>
        <rFont val="Times New Roman"/>
        <family val="1"/>
      </rPr>
      <t xml:space="preserve"> Data Table …</t>
    </r>
  </si>
  <si>
    <t>Insert → PivotTable</t>
  </si>
  <si>
    <r>
      <t xml:space="preserve">Go to </t>
    </r>
    <r>
      <rPr>
        <sz val="12"/>
        <color rgb="FF0000FF"/>
        <rFont val="Arial"/>
        <family val="2"/>
      </rPr>
      <t>Office Button</t>
    </r>
    <r>
      <rPr>
        <sz val="12"/>
        <rFont val="Arial"/>
        <family val="2"/>
      </rPr>
      <t xml:space="preserve"> (Top Left Corner). Click </t>
    </r>
    <r>
      <rPr>
        <sz val="12"/>
        <color rgb="FF0000FF"/>
        <rFont val="Arial"/>
        <family val="2"/>
      </rPr>
      <t>Excel Options</t>
    </r>
    <r>
      <rPr>
        <sz val="12"/>
        <rFont val="Arial"/>
        <family val="2"/>
      </rPr>
      <t>.</t>
    </r>
  </si>
  <si>
    <r>
      <t xml:space="preserve">Under </t>
    </r>
    <r>
      <rPr>
        <sz val="12"/>
        <color rgb="FF0000FF"/>
        <rFont val="Arial"/>
        <family val="2"/>
      </rPr>
      <t>Add-Ins</t>
    </r>
    <r>
      <rPr>
        <sz val="12"/>
        <rFont val="Arial"/>
        <family val="2"/>
      </rPr>
      <t xml:space="preserve">, enable </t>
    </r>
    <r>
      <rPr>
        <sz val="12"/>
        <color rgb="FF0000FF"/>
        <rFont val="Arial"/>
        <family val="2"/>
      </rPr>
      <t>Solver</t>
    </r>
  </si>
  <si>
    <r>
      <t xml:space="preserve">To invoke Solver, </t>
    </r>
    <r>
      <rPr>
        <sz val="12"/>
        <color rgb="FF0000FF"/>
        <rFont val="Arial"/>
        <family val="2"/>
      </rPr>
      <t>Data → Solver</t>
    </r>
  </si>
  <si>
    <t>View</t>
  </si>
  <si>
    <t>View: Freeze Panes, Split</t>
  </si>
  <si>
    <r>
      <t xml:space="preserve">Press </t>
    </r>
    <r>
      <rPr>
        <sz val="12"/>
        <color indexed="56"/>
        <rFont val="Arial"/>
        <family val="2"/>
      </rPr>
      <t>F1</t>
    </r>
    <r>
      <rPr>
        <sz val="12"/>
        <rFont val="Arial"/>
        <family val="2"/>
      </rPr>
      <t xml:space="preserve"> or select </t>
    </r>
    <r>
      <rPr>
        <sz val="12"/>
        <color indexed="56"/>
        <rFont val="Arial"/>
        <family val="2"/>
      </rPr>
      <t>Click the Excel Help button</t>
    </r>
    <r>
      <rPr>
        <sz val="12"/>
        <rFont val="Arial"/>
        <family val="2"/>
      </rPr>
      <t>.</t>
    </r>
  </si>
  <si>
    <r>
      <t xml:space="preserve">1. Press </t>
    </r>
    <r>
      <rPr>
        <sz val="12"/>
        <color indexed="56"/>
        <rFont val="Arial"/>
        <family val="2"/>
      </rPr>
      <t xml:space="preserve">Ctrl + G </t>
    </r>
    <r>
      <rPr>
        <sz val="12"/>
        <rFont val="Arial"/>
        <family val="2"/>
      </rPr>
      <t xml:space="preserve">or select </t>
    </r>
    <r>
      <rPr>
        <sz val="12"/>
        <color indexed="56"/>
        <rFont val="Arial"/>
        <family val="2"/>
      </rPr>
      <t xml:space="preserve">Home → Find &amp; Select </t>
    </r>
    <r>
      <rPr>
        <sz val="12"/>
        <color indexed="56"/>
        <rFont val="Symbol"/>
        <family val="1"/>
        <charset val="2"/>
      </rPr>
      <t>®</t>
    </r>
    <r>
      <rPr>
        <sz val="12"/>
        <color indexed="56"/>
        <rFont val="Arial"/>
        <family val="2"/>
      </rPr>
      <t xml:space="preserve"> Go To…</t>
    </r>
  </si>
  <si>
    <r>
      <t xml:space="preserve">1. Activate cell marked "1".
2. Press </t>
    </r>
    <r>
      <rPr>
        <sz val="12"/>
        <color indexed="56"/>
        <rFont val="Arial"/>
        <family val="2"/>
      </rPr>
      <t>Ctrl + Shift + Right</t>
    </r>
    <r>
      <rPr>
        <sz val="12"/>
        <rFont val="Arial"/>
        <family val="2"/>
      </rPr>
      <t xml:space="preserve"> Arrow.
3. Press </t>
    </r>
    <r>
      <rPr>
        <sz val="12"/>
        <color indexed="56"/>
        <rFont val="Arial"/>
        <family val="2"/>
      </rPr>
      <t>Ctrl + Shift + Down</t>
    </r>
    <r>
      <rPr>
        <sz val="12"/>
        <rFont val="Arial"/>
        <family val="2"/>
      </rPr>
      <t xml:space="preserve"> Arrow.
4. Press </t>
    </r>
    <r>
      <rPr>
        <sz val="12"/>
        <color indexed="56"/>
        <rFont val="Arial"/>
        <family val="2"/>
      </rPr>
      <t>Ctrl + C</t>
    </r>
    <r>
      <rPr>
        <sz val="12"/>
        <rFont val="Arial"/>
        <family val="2"/>
      </rPr>
      <t xml:space="preserve"> to copy.
5. Activate cell marked "copy to here".
6. Press </t>
    </r>
    <r>
      <rPr>
        <sz val="12"/>
        <color indexed="56"/>
        <rFont val="Arial"/>
        <family val="2"/>
      </rPr>
      <t xml:space="preserve">Home → Paste </t>
    </r>
    <r>
      <rPr>
        <sz val="12"/>
        <color indexed="56"/>
        <rFont val="Symbol"/>
        <family val="1"/>
        <charset val="2"/>
      </rPr>
      <t>®</t>
    </r>
    <r>
      <rPr>
        <sz val="12"/>
        <color indexed="56"/>
        <rFont val="Arial"/>
        <family val="2"/>
      </rPr>
      <t xml:space="preserve"> Paste Special…</t>
    </r>
    <r>
      <rPr>
        <sz val="12"/>
        <rFont val="Arial"/>
        <family val="2"/>
      </rPr>
      <t>.
7. Check "Transpose" and click "OK"</t>
    </r>
  </si>
  <si>
    <t>Exercise: Generate another chart with 1,000 Rand( ) data points. Press F9 to regen another set.</t>
  </si>
</sst>
</file>

<file path=xl/styles.xml><?xml version="1.0" encoding="utf-8"?>
<styleSheet xmlns="http://schemas.openxmlformats.org/spreadsheetml/2006/main">
  <numFmts count="27">
    <numFmt numFmtId="5" formatCode="&quot;$&quot;#,##0_);\(&quot;$&quot;#,##0\)"/>
    <numFmt numFmtId="8" formatCode="&quot;$&quot;#,##0.00_);[Red]\(&quot;$&quot;#,##0.00\)"/>
    <numFmt numFmtId="164" formatCode="_-* #,##0.00_-;\-* #,##0.00_-;_-* &quot;-&quot;??_-;_-@_-"/>
    <numFmt numFmtId="165" formatCode="0.0%"/>
    <numFmt numFmtId="166" formatCode="0.0000"/>
    <numFmt numFmtId="167" formatCode="0.000"/>
    <numFmt numFmtId="168" formatCode="000000000.000"/>
    <numFmt numFmtId="169" formatCode="#.000"/>
    <numFmt numFmtId="170" formatCode="#,###,###.???"/>
    <numFmt numFmtId="171" formatCode="[Red][&lt;0]\-#.###;General"/>
    <numFmt numFmtId="172" formatCode="#,##0,\ &quot;K&quot;_);[Red]\(#,##0,\ &quot;K&quot;\)"/>
    <numFmt numFmtId="173" formatCode="_-&quot;$&quot;* 0,,\ &quot;Million&quot;_ ;[Red]\-&quot;$&quot;* 0,,\ &quot;Million&quot;_ "/>
    <numFmt numFmtId="174" formatCode="#.###;[Red][&lt;0]\-#.###;General"/>
    <numFmt numFmtId="175" formatCode="#,##0_-;[Red]#,##0\-"/>
    <numFmt numFmtId="176" formatCode="yyyymmdd"/>
    <numFmt numFmtId="177" formatCode="d/m/yyyy\ h:mm\ AM/PM"/>
    <numFmt numFmtId="178" formatCode="[$-409]d\-mmm\-yyyy\ h:mm\ AM/PM;@"/>
    <numFmt numFmtId="179" formatCode="d\-mmm\-yyyy"/>
    <numFmt numFmtId="180" formatCode="m/d/yyyy\ h:m"/>
    <numFmt numFmtId="181" formatCode="[$-409]d\-mmm\-yyyy;@"/>
    <numFmt numFmtId="182" formatCode="&quot;$&quot;#,##0"/>
    <numFmt numFmtId="183" formatCode="&quot;$&quot;#,##0.00"/>
    <numFmt numFmtId="184" formatCode="[$-F400]h:mm:ss\ AM/PM"/>
    <numFmt numFmtId="185" formatCode="d/m/yyyy\ h:mm:ss\ AM/PM"/>
    <numFmt numFmtId="186" formatCode="#,##0.0000_ "/>
    <numFmt numFmtId="187" formatCode="0.00_%"/>
    <numFmt numFmtId="190" formatCode="0.0000%"/>
  </numFmts>
  <fonts count="73"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sz val="20"/>
      <color indexed="13"/>
      <name val="Arial"/>
      <family val="2"/>
    </font>
    <font>
      <sz val="16"/>
      <color indexed="13"/>
      <name val="Arial"/>
      <family val="2"/>
    </font>
    <font>
      <b/>
      <sz val="22"/>
      <name val="Book Antiqua"/>
      <family val="1"/>
    </font>
    <font>
      <sz val="12"/>
      <name val="Arial"/>
      <family val="2"/>
    </font>
    <font>
      <b/>
      <sz val="12"/>
      <color indexed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9"/>
      <name val="細明體"/>
      <family val="3"/>
      <charset val="136"/>
    </font>
    <font>
      <sz val="9"/>
      <name val="新細明體"/>
      <family val="1"/>
      <charset val="136"/>
    </font>
    <font>
      <sz val="12"/>
      <color indexed="18"/>
      <name val="Times New Roman"/>
      <family val="1"/>
    </font>
    <font>
      <sz val="12"/>
      <name val="新細明體"/>
      <charset val="136"/>
    </font>
    <font>
      <b/>
      <sz val="12"/>
      <color indexed="18"/>
      <name val="Times New Roman"/>
      <family val="1"/>
    </font>
    <font>
      <sz val="12"/>
      <color indexed="56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u/>
      <sz val="10"/>
      <color indexed="12"/>
      <name val="Arial"/>
      <family val="2"/>
    </font>
    <font>
      <sz val="22"/>
      <color indexed="13"/>
      <name val="Times New Roman"/>
      <family val="1"/>
    </font>
    <font>
      <b/>
      <sz val="10"/>
      <color indexed="56"/>
      <name val="Arial"/>
      <family val="2"/>
    </font>
    <font>
      <b/>
      <sz val="12"/>
      <color indexed="56"/>
      <name val="Arial"/>
      <family val="2"/>
    </font>
    <font>
      <sz val="12"/>
      <color indexed="56"/>
      <name val="Symbol"/>
      <family val="1"/>
      <charset val="2"/>
    </font>
    <font>
      <b/>
      <sz val="8"/>
      <color indexed="81"/>
      <name val="Tahoma"/>
      <family val="2"/>
    </font>
    <font>
      <b/>
      <sz val="12"/>
      <color indexed="17"/>
      <name val="Arial"/>
      <family val="2"/>
    </font>
    <font>
      <b/>
      <sz val="14"/>
      <color indexed="17"/>
      <name val="Arial"/>
      <family val="2"/>
    </font>
    <font>
      <sz val="12"/>
      <color indexed="18"/>
      <name val="Arial"/>
      <family val="2"/>
    </font>
    <font>
      <b/>
      <sz val="12"/>
      <color indexed="50"/>
      <name val="Arial"/>
      <family val="2"/>
    </font>
    <font>
      <b/>
      <sz val="12"/>
      <color indexed="56"/>
      <name val="Symbol"/>
      <family val="1"/>
      <charset val="2"/>
    </font>
    <font>
      <b/>
      <sz val="12"/>
      <color indexed="8"/>
      <name val="Arial"/>
      <family val="2"/>
    </font>
    <font>
      <sz val="12"/>
      <color indexed="16"/>
      <name val="Arial"/>
      <family val="2"/>
    </font>
    <font>
      <sz val="14"/>
      <color indexed="17"/>
      <name val="Arial"/>
      <family val="2"/>
    </font>
    <font>
      <sz val="10"/>
      <name val="Arial"/>
      <family val="2"/>
    </font>
    <font>
      <b/>
      <sz val="14"/>
      <color indexed="8"/>
      <name val="Arial"/>
      <family val="2"/>
    </font>
    <font>
      <sz val="10"/>
      <color indexed="47"/>
      <name val="Arial"/>
      <family val="2"/>
    </font>
    <font>
      <b/>
      <sz val="14"/>
      <name val="Arial"/>
      <family val="2"/>
    </font>
    <font>
      <b/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7"/>
      <name val="Arial"/>
      <family val="2"/>
    </font>
    <font>
      <b/>
      <sz val="12"/>
      <color indexed="18"/>
      <name val="Arial"/>
      <family val="2"/>
    </font>
    <font>
      <sz val="10"/>
      <name val="Arial"/>
      <family val="2"/>
    </font>
    <font>
      <vertAlign val="subscript"/>
      <sz val="10"/>
      <color indexed="18"/>
      <name val="Arial"/>
      <family val="2"/>
    </font>
    <font>
      <sz val="9"/>
      <name val="新細明體"/>
      <charset val="136"/>
    </font>
    <font>
      <sz val="12"/>
      <name val="新細明體"/>
      <family val="1"/>
      <charset val="136"/>
    </font>
    <font>
      <sz val="22"/>
      <color indexed="13"/>
      <name val="Arial"/>
      <family val="2"/>
    </font>
    <font>
      <sz val="12"/>
      <color indexed="10"/>
      <name val="Arial"/>
      <family val="2"/>
    </font>
    <font>
      <sz val="14"/>
      <name val="Arial"/>
      <family val="2"/>
    </font>
    <font>
      <i/>
      <sz val="14"/>
      <name val="Arial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i/>
      <sz val="10"/>
      <name val="Verdana"/>
      <family val="2"/>
    </font>
    <font>
      <b/>
      <sz val="10"/>
      <color indexed="9"/>
      <name val="Verdana"/>
      <family val="2"/>
    </font>
    <font>
      <sz val="10"/>
      <color indexed="9"/>
      <name val="Verdana"/>
      <family val="2"/>
    </font>
    <font>
      <b/>
      <i/>
      <sz val="10"/>
      <name val="Times New Roman"/>
      <family val="1"/>
    </font>
    <font>
      <sz val="10"/>
      <name val="Verdana"/>
      <family val="2"/>
    </font>
    <font>
      <sz val="9"/>
      <color indexed="8"/>
      <name val="Verdana"/>
      <family val="2"/>
    </font>
    <font>
      <b/>
      <sz val="8"/>
      <color indexed="8"/>
      <name val="Verdana"/>
      <family val="2"/>
    </font>
    <font>
      <sz val="10"/>
      <color rgb="FF0000FF"/>
      <name val="Arial"/>
      <family val="2"/>
    </font>
    <font>
      <b/>
      <sz val="12"/>
      <color rgb="FF0000FF"/>
      <name val="Arial"/>
      <family val="2"/>
    </font>
    <font>
      <sz val="12"/>
      <color rgb="FF0000FF"/>
      <name val="Arial"/>
      <family val="2"/>
    </font>
    <font>
      <sz val="14"/>
      <color rgb="FF0000FF"/>
      <name val="Times New Roman"/>
      <family val="1"/>
    </font>
    <font>
      <sz val="14"/>
      <color rgb="FF0000FF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6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double">
        <color indexed="10"/>
      </bottom>
      <diagonal/>
    </border>
    <border>
      <left/>
      <right style="thin">
        <color indexed="10"/>
      </right>
      <top style="thin">
        <color indexed="10"/>
      </top>
      <bottom style="double">
        <color indexed="10"/>
      </bottom>
      <diagonal/>
    </border>
    <border>
      <left/>
      <right style="thin">
        <color indexed="10"/>
      </right>
      <top/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double">
        <color indexed="10"/>
      </right>
      <top style="thin">
        <color indexed="10"/>
      </top>
      <bottom style="double">
        <color indexed="10"/>
      </bottom>
      <diagonal/>
    </border>
    <border>
      <left style="thin">
        <color indexed="10"/>
      </left>
      <right style="double">
        <color indexed="10"/>
      </right>
      <top/>
      <bottom style="thin">
        <color indexed="10"/>
      </bottom>
      <diagonal/>
    </border>
    <border>
      <left style="thin">
        <color indexed="10"/>
      </left>
      <right style="double">
        <color indexed="10"/>
      </right>
      <top style="thin">
        <color indexed="10"/>
      </top>
      <bottom style="thin">
        <color indexed="10"/>
      </bottom>
      <diagonal/>
    </border>
    <border>
      <left/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56"/>
      </bottom>
      <diagonal/>
    </border>
    <border>
      <left/>
      <right/>
      <top style="thin">
        <color indexed="55"/>
      </top>
      <bottom style="thin">
        <color indexed="55"/>
      </bottom>
      <diagonal/>
    </border>
  </borders>
  <cellStyleXfs count="7">
    <xf numFmtId="0" fontId="0" fillId="0" borderId="0"/>
    <xf numFmtId="164" fontId="3" fillId="0" borderId="0" applyFon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23" fillId="0" borderId="0"/>
    <xf numFmtId="0" fontId="54" fillId="0" borderId="0"/>
    <xf numFmtId="9" fontId="3" fillId="0" borderId="0" applyFont="0" applyFill="0" applyBorder="0" applyAlignment="0" applyProtection="0"/>
  </cellStyleXfs>
  <cellXfs count="477">
    <xf numFmtId="0" fontId="0" fillId="0" borderId="0" xfId="0"/>
    <xf numFmtId="0" fontId="0" fillId="0" borderId="0" xfId="0" applyBorder="1"/>
    <xf numFmtId="0" fontId="0" fillId="2" borderId="0" xfId="0" applyFill="1"/>
    <xf numFmtId="0" fontId="0" fillId="0" borderId="1" xfId="0" applyBorder="1"/>
    <xf numFmtId="0" fontId="13" fillId="0" borderId="0" xfId="0" applyFont="1"/>
    <xf numFmtId="0" fontId="15" fillId="0" borderId="0" xfId="0" applyFont="1"/>
    <xf numFmtId="0" fontId="16" fillId="0" borderId="0" xfId="0" applyFont="1"/>
    <xf numFmtId="0" fontId="18" fillId="2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15" fontId="6" fillId="0" borderId="0" xfId="0" applyNumberFormat="1" applyFont="1" applyAlignment="1">
      <alignment horizontal="center"/>
    </xf>
    <xf numFmtId="0" fontId="0" fillId="0" borderId="0" xfId="0" applyFill="1"/>
    <xf numFmtId="0" fontId="0" fillId="3" borderId="2" xfId="0" applyFill="1" applyBorder="1"/>
    <xf numFmtId="0" fontId="0" fillId="3" borderId="3" xfId="0" applyFill="1" applyBorder="1"/>
    <xf numFmtId="0" fontId="13" fillId="4" borderId="4" xfId="0" applyFont="1" applyFill="1" applyBorder="1" applyAlignment="1">
      <alignment horizontal="left" vertical="top" wrapText="1"/>
    </xf>
    <xf numFmtId="0" fontId="13" fillId="4" borderId="5" xfId="0" applyFont="1" applyFill="1" applyBorder="1" applyAlignment="1">
      <alignment horizontal="left" vertical="top" wrapText="1"/>
    </xf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1" fillId="4" borderId="1" xfId="0" applyFont="1" applyFill="1" applyBorder="1"/>
    <xf numFmtId="0" fontId="0" fillId="4" borderId="1" xfId="0" applyFill="1" applyBorder="1"/>
    <xf numFmtId="0" fontId="0" fillId="4" borderId="9" xfId="0" applyFill="1" applyBorder="1"/>
    <xf numFmtId="0" fontId="18" fillId="4" borderId="10" xfId="0" applyFont="1" applyFill="1" applyBorder="1" applyAlignment="1">
      <alignment horizontal="left" vertical="top"/>
    </xf>
    <xf numFmtId="0" fontId="13" fillId="4" borderId="11" xfId="0" applyFont="1" applyFill="1" applyBorder="1" applyAlignment="1">
      <alignment horizontal="left" vertical="top"/>
    </xf>
    <xf numFmtId="0" fontId="0" fillId="0" borderId="0" xfId="0" applyFill="1" applyBorder="1"/>
    <xf numFmtId="0" fontId="0" fillId="4" borderId="0" xfId="0" applyFill="1"/>
    <xf numFmtId="0" fontId="0" fillId="4" borderId="12" xfId="0" applyFill="1" applyBorder="1"/>
    <xf numFmtId="0" fontId="27" fillId="0" borderId="0" xfId="0" applyFont="1"/>
    <xf numFmtId="167" fontId="0" fillId="0" borderId="0" xfId="0" applyNumberFormat="1"/>
    <xf numFmtId="9" fontId="0" fillId="0" borderId="0" xfId="0" applyNumberFormat="1"/>
    <xf numFmtId="9" fontId="0" fillId="0" borderId="0" xfId="6" applyNumberFormat="1" applyFont="1"/>
    <xf numFmtId="0" fontId="0" fillId="0" borderId="0" xfId="0" applyAlignment="1">
      <alignment horizontal="centerContinuous"/>
    </xf>
    <xf numFmtId="17" fontId="0" fillId="5" borderId="10" xfId="0" applyNumberFormat="1" applyFill="1" applyBorder="1"/>
    <xf numFmtId="1" fontId="0" fillId="5" borderId="0" xfId="0" applyNumberFormat="1" applyFill="1" applyBorder="1"/>
    <xf numFmtId="10" fontId="0" fillId="5" borderId="0" xfId="0" applyNumberFormat="1" applyFill="1" applyBorder="1"/>
    <xf numFmtId="17" fontId="0" fillId="5" borderId="11" xfId="0" applyNumberFormat="1" applyFill="1" applyBorder="1"/>
    <xf numFmtId="1" fontId="0" fillId="5" borderId="1" xfId="0" applyNumberFormat="1" applyFill="1" applyBorder="1"/>
    <xf numFmtId="10" fontId="0" fillId="5" borderId="1" xfId="0" applyNumberFormat="1" applyFill="1" applyBorder="1"/>
    <xf numFmtId="0" fontId="0" fillId="6" borderId="0" xfId="0" applyFill="1"/>
    <xf numFmtId="10" fontId="0" fillId="5" borderId="8" xfId="6" applyNumberFormat="1" applyFont="1" applyFill="1" applyBorder="1"/>
    <xf numFmtId="10" fontId="0" fillId="5" borderId="9" xfId="6" applyNumberFormat="1" applyFont="1" applyFill="1" applyBorder="1"/>
    <xf numFmtId="0" fontId="0" fillId="6" borderId="6" xfId="0" applyFill="1" applyBorder="1"/>
    <xf numFmtId="0" fontId="0" fillId="6" borderId="7" xfId="0" applyFill="1" applyBorder="1"/>
    <xf numFmtId="0" fontId="0" fillId="7" borderId="12" xfId="0" applyFill="1" applyBorder="1"/>
    <xf numFmtId="2" fontId="0" fillId="7" borderId="12" xfId="0" applyNumberFormat="1" applyFill="1" applyBorder="1"/>
    <xf numFmtId="166" fontId="0" fillId="0" borderId="12" xfId="0" applyNumberFormat="1" applyBorder="1"/>
    <xf numFmtId="166" fontId="0" fillId="0" borderId="13" xfId="0" applyNumberFormat="1" applyBorder="1"/>
    <xf numFmtId="0" fontId="0" fillId="7" borderId="14" xfId="0" applyFill="1" applyBorder="1"/>
    <xf numFmtId="2" fontId="0" fillId="0" borderId="12" xfId="0" applyNumberFormat="1" applyBorder="1"/>
    <xf numFmtId="0" fontId="27" fillId="0" borderId="0" xfId="3" quotePrefix="1" applyFont="1" applyAlignment="1">
      <alignment horizontal="left"/>
    </xf>
    <xf numFmtId="0" fontId="28" fillId="0" borderId="0" xfId="3" applyFont="1"/>
    <xf numFmtId="1" fontId="28" fillId="0" borderId="0" xfId="3" applyNumberFormat="1" applyFont="1"/>
    <xf numFmtId="0" fontId="10" fillId="8" borderId="0" xfId="0" applyFont="1" applyFill="1" applyBorder="1" applyAlignment="1">
      <alignment vertical="top" wrapText="1"/>
    </xf>
    <xf numFmtId="0" fontId="13" fillId="4" borderId="4" xfId="0" applyFont="1" applyFill="1" applyBorder="1" applyAlignment="1">
      <alignment horizontal="left" wrapText="1"/>
    </xf>
    <xf numFmtId="0" fontId="13" fillId="4" borderId="5" xfId="0" applyFont="1" applyFill="1" applyBorder="1" applyAlignment="1">
      <alignment horizontal="left" wrapText="1"/>
    </xf>
    <xf numFmtId="0" fontId="30" fillId="8" borderId="13" xfId="0" applyFont="1" applyFill="1" applyBorder="1"/>
    <xf numFmtId="0" fontId="11" fillId="9" borderId="0" xfId="2" applyFont="1" applyFill="1" applyAlignment="1" applyProtection="1">
      <alignment horizontal="left" vertical="center"/>
    </xf>
    <xf numFmtId="0" fontId="11" fillId="9" borderId="0" xfId="0" applyFont="1" applyFill="1" applyAlignment="1">
      <alignment horizontal="left" vertical="center"/>
    </xf>
    <xf numFmtId="0" fontId="30" fillId="8" borderId="11" xfId="0" applyFont="1" applyFill="1" applyBorder="1"/>
    <xf numFmtId="0" fontId="0" fillId="8" borderId="2" xfId="0" applyFill="1" applyBorder="1"/>
    <xf numFmtId="0" fontId="0" fillId="8" borderId="3" xfId="0" applyFill="1" applyBorder="1"/>
    <xf numFmtId="0" fontId="31" fillId="5" borderId="0" xfId="0" applyFont="1" applyFill="1"/>
    <xf numFmtId="0" fontId="1" fillId="0" borderId="0" xfId="0" applyFont="1" applyAlignment="1">
      <alignment horizontal="left"/>
    </xf>
    <xf numFmtId="0" fontId="31" fillId="0" borderId="0" xfId="0" applyFont="1" applyFill="1"/>
    <xf numFmtId="0" fontId="31" fillId="5" borderId="0" xfId="0" applyFont="1" applyFill="1" applyAlignment="1">
      <alignment wrapText="1"/>
    </xf>
    <xf numFmtId="0" fontId="15" fillId="0" borderId="0" xfId="0" applyFont="1" applyAlignment="1">
      <alignment wrapText="1"/>
    </xf>
    <xf numFmtId="0" fontId="31" fillId="0" borderId="0" xfId="0" applyFont="1" applyFill="1" applyAlignment="1">
      <alignment wrapText="1"/>
    </xf>
    <xf numFmtId="0" fontId="15" fillId="4" borderId="0" xfId="0" applyFont="1" applyFill="1" applyBorder="1"/>
    <xf numFmtId="0" fontId="15" fillId="4" borderId="1" xfId="0" applyFont="1" applyFill="1" applyBorder="1"/>
    <xf numFmtId="0" fontId="15" fillId="4" borderId="15" xfId="0" applyFont="1" applyFill="1" applyBorder="1"/>
    <xf numFmtId="0" fontId="1" fillId="0" borderId="0" xfId="0" applyFont="1" applyFill="1" applyBorder="1"/>
    <xf numFmtId="0" fontId="1" fillId="5" borderId="0" xfId="0" applyFont="1" applyFill="1" applyAlignment="1">
      <alignment horizontal="right"/>
    </xf>
    <xf numFmtId="0" fontId="13" fillId="0" borderId="0" xfId="0" applyFont="1" applyFill="1" applyBorder="1"/>
    <xf numFmtId="0" fontId="26" fillId="0" borderId="0" xfId="0" applyFont="1" applyFill="1" applyBorder="1"/>
    <xf numFmtId="0" fontId="13" fillId="4" borderId="0" xfId="0" applyNumberFormat="1" applyFont="1" applyFill="1" applyBorder="1" applyAlignment="1">
      <alignment horizontal="left"/>
    </xf>
    <xf numFmtId="0" fontId="13" fillId="4" borderId="1" xfId="0" applyNumberFormat="1" applyFont="1" applyFill="1" applyBorder="1" applyAlignment="1">
      <alignment horizontal="left"/>
    </xf>
    <xf numFmtId="0" fontId="1" fillId="5" borderId="0" xfId="0" applyFont="1" applyFill="1"/>
    <xf numFmtId="0" fontId="13" fillId="4" borderId="1" xfId="0" applyFont="1" applyFill="1" applyBorder="1"/>
    <xf numFmtId="0" fontId="16" fillId="0" borderId="1" xfId="0" applyFont="1" applyBorder="1"/>
    <xf numFmtId="0" fontId="15" fillId="0" borderId="1" xfId="0" applyFont="1" applyBorder="1"/>
    <xf numFmtId="0" fontId="31" fillId="0" borderId="0" xfId="0" applyFont="1" applyFill="1" applyAlignment="1"/>
    <xf numFmtId="0" fontId="32" fillId="4" borderId="0" xfId="0" applyFont="1" applyFill="1" applyBorder="1"/>
    <xf numFmtId="0" fontId="32" fillId="4" borderId="1" xfId="0" applyFont="1" applyFill="1" applyBorder="1"/>
    <xf numFmtId="0" fontId="13" fillId="4" borderId="0" xfId="0" applyFont="1" applyFill="1" applyBorder="1"/>
    <xf numFmtId="0" fontId="13" fillId="4" borderId="8" xfId="0" applyFont="1" applyFill="1" applyBorder="1"/>
    <xf numFmtId="0" fontId="13" fillId="4" borderId="9" xfId="0" applyFont="1" applyFill="1" applyBorder="1"/>
    <xf numFmtId="0" fontId="0" fillId="8" borderId="0" xfId="0" applyFill="1" applyBorder="1"/>
    <xf numFmtId="0" fontId="0" fillId="3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right"/>
    </xf>
    <xf numFmtId="20" fontId="0" fillId="0" borderId="0" xfId="0" applyNumberFormat="1" applyAlignment="1">
      <alignment horizontal="right"/>
    </xf>
    <xf numFmtId="0" fontId="1" fillId="5" borderId="16" xfId="0" applyFont="1" applyFill="1" applyBorder="1" applyAlignment="1">
      <alignment horizontal="right"/>
    </xf>
    <xf numFmtId="0" fontId="0" fillId="5" borderId="16" xfId="0" applyFill="1" applyBorder="1"/>
    <xf numFmtId="0" fontId="1" fillId="5" borderId="16" xfId="0" applyFont="1" applyFill="1" applyBorder="1" applyAlignment="1">
      <alignment horizontal="center"/>
    </xf>
    <xf numFmtId="0" fontId="1" fillId="5" borderId="16" xfId="0" applyFont="1" applyFill="1" applyBorder="1"/>
    <xf numFmtId="0" fontId="1" fillId="5" borderId="16" xfId="0" applyFont="1" applyFill="1" applyBorder="1" applyAlignment="1">
      <alignment horizontal="left"/>
    </xf>
    <xf numFmtId="0" fontId="1" fillId="5" borderId="16" xfId="0" applyFont="1" applyFill="1" applyBorder="1" applyAlignment="1">
      <alignment horizontal="right" wrapText="1"/>
    </xf>
    <xf numFmtId="0" fontId="15" fillId="4" borderId="14" xfId="0" applyFont="1" applyFill="1" applyBorder="1" applyAlignment="1">
      <alignment horizontal="left" vertical="top" wrapText="1"/>
    </xf>
    <xf numFmtId="0" fontId="26" fillId="0" borderId="0" xfId="0" applyFont="1"/>
    <xf numFmtId="0" fontId="18" fillId="4" borderId="4" xfId="0" applyFont="1" applyFill="1" applyBorder="1" applyAlignment="1">
      <alignment horizontal="left" vertical="top"/>
    </xf>
    <xf numFmtId="0" fontId="18" fillId="4" borderId="4" xfId="0" applyFont="1" applyFill="1" applyBorder="1" applyAlignment="1">
      <alignment horizontal="left" vertical="top" wrapText="1"/>
    </xf>
    <xf numFmtId="0" fontId="15" fillId="4" borderId="7" xfId="0" applyFont="1" applyFill="1" applyBorder="1" applyAlignment="1">
      <alignment horizontal="left" vertical="top" wrapText="1"/>
    </xf>
    <xf numFmtId="0" fontId="13" fillId="4" borderId="5" xfId="0" applyFont="1" applyFill="1" applyBorder="1" applyAlignment="1">
      <alignment horizontal="left" vertical="top"/>
    </xf>
    <xf numFmtId="0" fontId="18" fillId="4" borderId="0" xfId="0" applyFont="1" applyFill="1" applyBorder="1" applyAlignment="1">
      <alignment horizontal="left" vertical="top"/>
    </xf>
    <xf numFmtId="0" fontId="18" fillId="4" borderId="1" xfId="0" applyFont="1" applyFill="1" applyBorder="1" applyAlignment="1">
      <alignment horizontal="left" vertical="top"/>
    </xf>
    <xf numFmtId="0" fontId="15" fillId="4" borderId="0" xfId="0" applyFont="1" applyFill="1" applyBorder="1" applyAlignment="1">
      <alignment horizontal="left" vertical="top"/>
    </xf>
    <xf numFmtId="0" fontId="0" fillId="5" borderId="0" xfId="0" applyFill="1"/>
    <xf numFmtId="0" fontId="1" fillId="0" borderId="0" xfId="0" applyFont="1" applyAlignment="1">
      <alignment horizontal="right"/>
    </xf>
    <xf numFmtId="0" fontId="1" fillId="3" borderId="0" xfId="0" applyFont="1" applyFill="1" applyAlignment="1">
      <alignment horizontal="right" wrapText="1"/>
    </xf>
    <xf numFmtId="0" fontId="1" fillId="3" borderId="17" xfId="0" applyFont="1" applyFill="1" applyBorder="1" applyAlignment="1">
      <alignment horizontal="right" wrapText="1"/>
    </xf>
    <xf numFmtId="0" fontId="1" fillId="3" borderId="17" xfId="0" quotePrefix="1" applyFont="1" applyFill="1" applyBorder="1" applyAlignment="1">
      <alignment horizontal="right" wrapText="1"/>
    </xf>
    <xf numFmtId="169" fontId="0" fillId="3" borderId="17" xfId="0" applyNumberFormat="1" applyFill="1" applyBorder="1"/>
    <xf numFmtId="168" fontId="0" fillId="5" borderId="17" xfId="0" applyNumberFormat="1" applyFill="1" applyBorder="1"/>
    <xf numFmtId="174" fontId="0" fillId="5" borderId="17" xfId="0" applyNumberFormat="1" applyFill="1" applyBorder="1"/>
    <xf numFmtId="175" fontId="0" fillId="5" borderId="17" xfId="0" applyNumberFormat="1" applyFill="1" applyBorder="1"/>
    <xf numFmtId="173" fontId="0" fillId="5" borderId="17" xfId="0" applyNumberFormat="1" applyFill="1" applyBorder="1"/>
    <xf numFmtId="172" fontId="0" fillId="5" borderId="17" xfId="0" applyNumberFormat="1" applyFill="1" applyBorder="1"/>
    <xf numFmtId="170" fontId="0" fillId="5" borderId="17" xfId="0" applyNumberFormat="1" applyFill="1" applyBorder="1"/>
    <xf numFmtId="0" fontId="0" fillId="3" borderId="17" xfId="0" applyFill="1" applyBorder="1"/>
    <xf numFmtId="171" fontId="0" fillId="5" borderId="17" xfId="0" applyNumberFormat="1" applyFill="1" applyBorder="1"/>
    <xf numFmtId="0" fontId="15" fillId="5" borderId="17" xfId="0" applyFont="1" applyFill="1" applyBorder="1" applyAlignment="1">
      <alignment horizontal="right"/>
    </xf>
    <xf numFmtId="169" fontId="0" fillId="3" borderId="18" xfId="0" applyNumberFormat="1" applyFill="1" applyBorder="1"/>
    <xf numFmtId="0" fontId="0" fillId="3" borderId="18" xfId="0" applyFill="1" applyBorder="1"/>
    <xf numFmtId="0" fontId="1" fillId="3" borderId="19" xfId="0" applyFont="1" applyFill="1" applyBorder="1" applyAlignment="1">
      <alignment horizontal="right" wrapText="1"/>
    </xf>
    <xf numFmtId="0" fontId="1" fillId="3" borderId="19" xfId="0" quotePrefix="1" applyFont="1" applyFill="1" applyBorder="1" applyAlignment="1">
      <alignment horizontal="right" wrapText="1"/>
    </xf>
    <xf numFmtId="0" fontId="0" fillId="0" borderId="17" xfId="0" applyBorder="1"/>
    <xf numFmtId="0" fontId="36" fillId="0" borderId="0" xfId="0" applyFont="1"/>
    <xf numFmtId="0" fontId="13" fillId="0" borderId="0" xfId="0" applyFont="1" applyAlignment="1">
      <alignment horizontal="right"/>
    </xf>
    <xf numFmtId="14" fontId="0" fillId="5" borderId="0" xfId="0" applyNumberFormat="1" applyFill="1"/>
    <xf numFmtId="176" fontId="0" fillId="5" borderId="0" xfId="0" applyNumberFormat="1" applyFill="1"/>
    <xf numFmtId="0" fontId="0" fillId="5" borderId="0" xfId="0" applyNumberFormat="1" applyFill="1"/>
    <xf numFmtId="0" fontId="1" fillId="3" borderId="0" xfId="0" applyFont="1" applyFill="1" applyAlignment="1">
      <alignment horizontal="right"/>
    </xf>
    <xf numFmtId="0" fontId="15" fillId="5" borderId="0" xfId="0" applyFont="1" applyFill="1" applyAlignment="1">
      <alignment horizontal="right" wrapText="1"/>
    </xf>
    <xf numFmtId="0" fontId="1" fillId="0" borderId="0" xfId="0" applyFont="1" applyFill="1" applyAlignment="1"/>
    <xf numFmtId="0" fontId="2" fillId="3" borderId="0" xfId="0" applyFont="1" applyFill="1" applyAlignment="1">
      <alignment horizontal="right"/>
    </xf>
    <xf numFmtId="0" fontId="37" fillId="0" borderId="0" xfId="0" applyFont="1" applyAlignment="1">
      <alignment horizontal="left"/>
    </xf>
    <xf numFmtId="178" fontId="2" fillId="3" borderId="0" xfId="0" applyNumberFormat="1" applyFont="1" applyFill="1" applyAlignment="1">
      <alignment horizontal="right"/>
    </xf>
    <xf numFmtId="179" fontId="2" fillId="3" borderId="0" xfId="0" applyNumberFormat="1" applyFont="1" applyFill="1"/>
    <xf numFmtId="180" fontId="0" fillId="5" borderId="0" xfId="0" applyNumberFormat="1" applyFill="1"/>
    <xf numFmtId="0" fontId="36" fillId="0" borderId="0" xfId="0" applyFont="1" applyAlignment="1">
      <alignment horizontal="left"/>
    </xf>
    <xf numFmtId="0" fontId="35" fillId="4" borderId="0" xfId="0" applyFont="1" applyFill="1" applyBorder="1"/>
    <xf numFmtId="0" fontId="38" fillId="4" borderId="0" xfId="0" applyFont="1" applyFill="1" applyBorder="1"/>
    <xf numFmtId="0" fontId="38" fillId="4" borderId="17" xfId="0" applyFont="1" applyFill="1" applyBorder="1" applyAlignment="1"/>
    <xf numFmtId="0" fontId="38" fillId="4" borderId="18" xfId="0" applyFont="1" applyFill="1" applyBorder="1" applyAlignment="1"/>
    <xf numFmtId="0" fontId="0" fillId="0" borderId="10" xfId="0" applyBorder="1"/>
    <xf numFmtId="0" fontId="1" fillId="3" borderId="0" xfId="0" applyFont="1" applyFill="1"/>
    <xf numFmtId="0" fontId="35" fillId="4" borderId="14" xfId="0" applyFont="1" applyFill="1" applyBorder="1"/>
    <xf numFmtId="0" fontId="35" fillId="4" borderId="4" xfId="0" applyFont="1" applyFill="1" applyBorder="1"/>
    <xf numFmtId="0" fontId="35" fillId="4" borderId="5" xfId="0" applyFont="1" applyFill="1" applyBorder="1"/>
    <xf numFmtId="0" fontId="32" fillId="4" borderId="4" xfId="0" applyFont="1" applyFill="1" applyBorder="1" applyAlignment="1">
      <alignment wrapText="1"/>
    </xf>
    <xf numFmtId="0" fontId="35" fillId="4" borderId="4" xfId="0" applyFont="1" applyFill="1" applyBorder="1" applyAlignment="1"/>
    <xf numFmtId="49" fontId="0" fillId="0" borderId="0" xfId="0" quotePrefix="1" applyNumberFormat="1" applyAlignment="1"/>
    <xf numFmtId="0" fontId="32" fillId="4" borderId="4" xfId="0" applyFont="1" applyFill="1" applyBorder="1" applyAlignment="1"/>
    <xf numFmtId="0" fontId="38" fillId="4" borderId="0" xfId="0" applyFont="1" applyFill="1" applyBorder="1" applyAlignment="1"/>
    <xf numFmtId="0" fontId="0" fillId="4" borderId="17" xfId="0" applyFill="1" applyBorder="1"/>
    <xf numFmtId="0" fontId="0" fillId="14" borderId="0" xfId="0" applyFill="1" applyBorder="1"/>
    <xf numFmtId="0" fontId="0" fillId="15" borderId="0" xfId="0" applyFill="1" applyBorder="1"/>
    <xf numFmtId="0" fontId="0" fillId="16" borderId="0" xfId="0" applyFill="1" applyBorder="1"/>
    <xf numFmtId="0" fontId="0" fillId="18" borderId="0" xfId="0" applyFill="1" applyBorder="1"/>
    <xf numFmtId="0" fontId="0" fillId="19" borderId="0" xfId="0" applyFill="1" applyBorder="1"/>
    <xf numFmtId="0" fontId="0" fillId="3" borderId="0" xfId="0" applyFill="1" applyBorder="1"/>
    <xf numFmtId="0" fontId="0" fillId="4" borderId="20" xfId="0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4" borderId="26" xfId="0" applyFill="1" applyBorder="1"/>
    <xf numFmtId="0" fontId="0" fillId="4" borderId="27" xfId="0" applyFill="1" applyBorder="1"/>
    <xf numFmtId="0" fontId="0" fillId="4" borderId="28" xfId="0" applyFill="1" applyBorder="1"/>
    <xf numFmtId="0" fontId="38" fillId="4" borderId="8" xfId="0" applyFont="1" applyFill="1" applyBorder="1" applyAlignment="1"/>
    <xf numFmtId="0" fontId="35" fillId="4" borderId="1" xfId="0" applyFont="1" applyFill="1" applyBorder="1"/>
    <xf numFmtId="0" fontId="38" fillId="4" borderId="1" xfId="0" applyFont="1" applyFill="1" applyBorder="1" applyAlignment="1"/>
    <xf numFmtId="0" fontId="38" fillId="4" borderId="29" xfId="0" applyFont="1" applyFill="1" applyBorder="1" applyAlignment="1"/>
    <xf numFmtId="0" fontId="35" fillId="0" borderId="0" xfId="0" applyFont="1" applyFill="1" applyBorder="1"/>
    <xf numFmtId="0" fontId="38" fillId="0" borderId="0" xfId="0" applyFont="1" applyFill="1" applyBorder="1" applyAlignment="1"/>
    <xf numFmtId="0" fontId="35" fillId="0" borderId="1" xfId="0" applyFont="1" applyFill="1" applyBorder="1"/>
    <xf numFmtId="0" fontId="38" fillId="0" borderId="1" xfId="0" applyFont="1" applyFill="1" applyBorder="1" applyAlignment="1"/>
    <xf numFmtId="0" fontId="40" fillId="4" borderId="0" xfId="0" applyFont="1" applyFill="1" applyBorder="1" applyAlignment="1">
      <alignment horizontal="left" vertical="top"/>
    </xf>
    <xf numFmtId="0" fontId="0" fillId="5" borderId="17" xfId="0" applyFill="1" applyBorder="1"/>
    <xf numFmtId="0" fontId="0" fillId="5" borderId="18" xfId="0" applyFill="1" applyBorder="1"/>
    <xf numFmtId="0" fontId="17" fillId="2" borderId="1" xfId="0" applyFont="1" applyFill="1" applyBorder="1" applyAlignment="1">
      <alignment horizontal="left" vertical="top"/>
    </xf>
    <xf numFmtId="0" fontId="18" fillId="4" borderId="8" xfId="0" applyFont="1" applyFill="1" applyBorder="1" applyAlignment="1">
      <alignment horizontal="left" vertical="top"/>
    </xf>
    <xf numFmtId="0" fontId="41" fillId="4" borderId="11" xfId="0" applyFont="1" applyFill="1" applyBorder="1" applyAlignment="1">
      <alignment horizontal="left" vertical="top"/>
    </xf>
    <xf numFmtId="0" fontId="18" fillId="0" borderId="0" xfId="0" applyFont="1" applyFill="1" applyBorder="1" applyAlignment="1">
      <alignment horizontal="left" vertical="top"/>
    </xf>
    <xf numFmtId="0" fontId="18" fillId="2" borderId="1" xfId="0" applyFont="1" applyFill="1" applyBorder="1" applyAlignment="1">
      <alignment horizontal="left" vertical="top"/>
    </xf>
    <xf numFmtId="0" fontId="13" fillId="4" borderId="10" xfId="0" applyFont="1" applyFill="1" applyBorder="1" applyAlignment="1">
      <alignment horizontal="left" vertical="top"/>
    </xf>
    <xf numFmtId="0" fontId="13" fillId="4" borderId="0" xfId="0" applyFont="1" applyFill="1" applyBorder="1" applyAlignment="1">
      <alignment horizontal="left" vertical="top"/>
    </xf>
    <xf numFmtId="0" fontId="0" fillId="3" borderId="0" xfId="0" applyFill="1" applyAlignment="1">
      <alignment horizontal="center"/>
    </xf>
    <xf numFmtId="0" fontId="0" fillId="5" borderId="17" xfId="0" applyFill="1" applyBorder="1" applyAlignment="1">
      <alignment horizontal="left"/>
    </xf>
    <xf numFmtId="181" fontId="0" fillId="5" borderId="17" xfId="0" applyNumberFormat="1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10" fontId="0" fillId="5" borderId="17" xfId="0" applyNumberFormat="1" applyFill="1" applyBorder="1" applyAlignment="1">
      <alignment horizontal="center"/>
    </xf>
    <xf numFmtId="182" fontId="0" fillId="5" borderId="17" xfId="0" applyNumberFormat="1" applyFill="1" applyBorder="1" applyAlignment="1">
      <alignment horizontal="center"/>
    </xf>
    <xf numFmtId="183" fontId="43" fillId="5" borderId="17" xfId="0" applyNumberFormat="1" applyFont="1" applyFill="1" applyBorder="1" applyAlignment="1">
      <alignment horizontal="center"/>
    </xf>
    <xf numFmtId="0" fontId="3" fillId="4" borderId="0" xfId="0" applyFont="1" applyFill="1"/>
    <xf numFmtId="0" fontId="42" fillId="4" borderId="0" xfId="0" applyFont="1" applyFill="1" applyBorder="1" applyAlignment="1">
      <alignment horizontal="left" vertical="top"/>
    </xf>
    <xf numFmtId="0" fontId="44" fillId="4" borderId="0" xfId="0" applyFont="1" applyFill="1" applyBorder="1" applyAlignment="1">
      <alignment horizontal="left" vertical="top"/>
    </xf>
    <xf numFmtId="183" fontId="45" fillId="4" borderId="30" xfId="0" applyNumberFormat="1" applyFont="1" applyFill="1" applyBorder="1" applyAlignment="1">
      <alignment horizontal="center"/>
    </xf>
    <xf numFmtId="15" fontId="0" fillId="4" borderId="0" xfId="0" applyNumberFormat="1" applyFill="1" applyBorder="1"/>
    <xf numFmtId="0" fontId="38" fillId="4" borderId="9" xfId="0" applyFont="1" applyFill="1" applyBorder="1" applyAlignment="1"/>
    <xf numFmtId="0" fontId="1" fillId="3" borderId="31" xfId="0" applyFont="1" applyFill="1" applyBorder="1" applyAlignment="1">
      <alignment horizontal="right" wrapText="1"/>
    </xf>
    <xf numFmtId="0" fontId="0" fillId="0" borderId="18" xfId="0" applyBorder="1"/>
    <xf numFmtId="0" fontId="0" fillId="0" borderId="8" xfId="0" applyFill="1" applyBorder="1"/>
    <xf numFmtId="0" fontId="15" fillId="3" borderId="17" xfId="0" applyFont="1" applyFill="1" applyBorder="1" applyAlignment="1">
      <alignment horizontal="right"/>
    </xf>
    <xf numFmtId="0" fontId="42" fillId="0" borderId="0" xfId="0" applyFont="1" applyFill="1" applyBorder="1" applyAlignment="1">
      <alignment horizontal="left" vertical="top"/>
    </xf>
    <xf numFmtId="0" fontId="30" fillId="8" borderId="0" xfId="0" applyFont="1" applyFill="1" applyBorder="1"/>
    <xf numFmtId="0" fontId="30" fillId="0" borderId="0" xfId="0" applyFont="1" applyFill="1" applyBorder="1"/>
    <xf numFmtId="0" fontId="16" fillId="5" borderId="0" xfId="0" applyFont="1" applyFill="1"/>
    <xf numFmtId="0" fontId="15" fillId="4" borderId="0" xfId="0" applyFont="1" applyFill="1"/>
    <xf numFmtId="0" fontId="16" fillId="4" borderId="0" xfId="0" applyFont="1" applyFill="1"/>
    <xf numFmtId="0" fontId="35" fillId="4" borderId="0" xfId="0" applyFont="1" applyFill="1"/>
    <xf numFmtId="0" fontId="37" fillId="4" borderId="0" xfId="0" applyFont="1" applyFill="1"/>
    <xf numFmtId="0" fontId="0" fillId="0" borderId="2" xfId="0" applyBorder="1"/>
    <xf numFmtId="0" fontId="46" fillId="20" borderId="0" xfId="0" applyFont="1" applyFill="1"/>
    <xf numFmtId="0" fontId="16" fillId="20" borderId="0" xfId="0" applyFont="1" applyFill="1"/>
    <xf numFmtId="0" fontId="0" fillId="20" borderId="0" xfId="0" applyFill="1"/>
    <xf numFmtId="0" fontId="16" fillId="4" borderId="0" xfId="0" applyFont="1" applyFill="1" applyBorder="1"/>
    <xf numFmtId="0" fontId="13" fillId="4" borderId="0" xfId="0" applyFont="1" applyFill="1"/>
    <xf numFmtId="0" fontId="13" fillId="3" borderId="17" xfId="0" applyFont="1" applyFill="1" applyBorder="1"/>
    <xf numFmtId="182" fontId="16" fillId="5" borderId="17" xfId="0" applyNumberFormat="1" applyFont="1" applyFill="1" applyBorder="1"/>
    <xf numFmtId="0" fontId="13" fillId="3" borderId="17" xfId="0" applyFont="1" applyFill="1" applyBorder="1" applyAlignment="1">
      <alignment horizontal="left"/>
    </xf>
    <xf numFmtId="0" fontId="13" fillId="3" borderId="31" xfId="0" applyFont="1" applyFill="1" applyBorder="1"/>
    <xf numFmtId="182" fontId="16" fillId="3" borderId="32" xfId="0" applyNumberFormat="1" applyFont="1" applyFill="1" applyBorder="1"/>
    <xf numFmtId="0" fontId="0" fillId="3" borderId="33" xfId="0" applyFill="1" applyBorder="1" applyAlignment="1">
      <alignment horizontal="left" vertical="top" wrapText="1"/>
    </xf>
    <xf numFmtId="9" fontId="0" fillId="5" borderId="33" xfId="0" applyNumberFormat="1" applyFill="1" applyBorder="1" applyAlignment="1">
      <alignment horizontal="right" vertical="top" wrapText="1"/>
    </xf>
    <xf numFmtId="0" fontId="3" fillId="5" borderId="19" xfId="0" applyFont="1" applyFill="1" applyBorder="1" applyAlignment="1">
      <alignment horizontal="right"/>
    </xf>
    <xf numFmtId="0" fontId="3" fillId="5" borderId="34" xfId="0" applyFont="1" applyFill="1" applyBorder="1" applyAlignment="1">
      <alignment horizontal="right"/>
    </xf>
    <xf numFmtId="182" fontId="16" fillId="5" borderId="19" xfId="0" applyNumberFormat="1" applyFont="1" applyFill="1" applyBorder="1"/>
    <xf numFmtId="182" fontId="16" fillId="5" borderId="34" xfId="0" applyNumberFormat="1" applyFont="1" applyFill="1" applyBorder="1"/>
    <xf numFmtId="9" fontId="0" fillId="5" borderId="18" xfId="0" applyNumberFormat="1" applyFill="1" applyBorder="1" applyAlignment="1">
      <alignment horizontal="right" vertical="top" wrapText="1"/>
    </xf>
    <xf numFmtId="0" fontId="16" fillId="3" borderId="11" xfId="0" applyFont="1" applyFill="1" applyBorder="1"/>
    <xf numFmtId="182" fontId="16" fillId="7" borderId="17" xfId="0" applyNumberFormat="1" applyFont="1" applyFill="1" applyBorder="1"/>
    <xf numFmtId="182" fontId="16" fillId="7" borderId="34" xfId="0" applyNumberFormat="1" applyFont="1" applyFill="1" applyBorder="1"/>
    <xf numFmtId="0" fontId="0" fillId="5" borderId="17" xfId="0" applyFill="1" applyBorder="1" applyAlignment="1">
      <alignment horizontal="right" vertical="top" wrapText="1"/>
    </xf>
    <xf numFmtId="0" fontId="13" fillId="5" borderId="17" xfId="0" applyFont="1" applyFill="1" applyBorder="1" applyAlignment="1">
      <alignment horizontal="right" vertical="top" wrapText="1"/>
    </xf>
    <xf numFmtId="0" fontId="13" fillId="16" borderId="17" xfId="0" applyFont="1" applyFill="1" applyBorder="1" applyAlignment="1">
      <alignment horizontal="right" wrapText="1"/>
    </xf>
    <xf numFmtId="0" fontId="47" fillId="3" borderId="18" xfId="0" applyFont="1" applyFill="1" applyBorder="1" applyAlignment="1">
      <alignment horizontal="right" vertical="center" wrapText="1"/>
    </xf>
    <xf numFmtId="0" fontId="37" fillId="3" borderId="0" xfId="0" applyFont="1" applyFill="1"/>
    <xf numFmtId="0" fontId="16" fillId="3" borderId="0" xfId="0" applyFont="1" applyFill="1"/>
    <xf numFmtId="0" fontId="16" fillId="5" borderId="0" xfId="0" applyFont="1" applyFill="1" applyAlignment="1">
      <alignment horizontal="left"/>
    </xf>
    <xf numFmtId="0" fontId="16" fillId="3" borderId="0" xfId="0" applyFont="1" applyFill="1" applyAlignment="1">
      <alignment horizontal="right"/>
    </xf>
    <xf numFmtId="0" fontId="16" fillId="3" borderId="0" xfId="0" applyFont="1" applyFill="1" applyBorder="1"/>
    <xf numFmtId="0" fontId="13" fillId="20" borderId="0" xfId="0" applyFont="1" applyFill="1"/>
    <xf numFmtId="0" fontId="13" fillId="0" borderId="1" xfId="0" applyFont="1" applyBorder="1"/>
    <xf numFmtId="0" fontId="13" fillId="4" borderId="7" xfId="0" applyFont="1" applyFill="1" applyBorder="1"/>
    <xf numFmtId="8" fontId="13" fillId="4" borderId="0" xfId="0" applyNumberFormat="1" applyFont="1" applyFill="1"/>
    <xf numFmtId="15" fontId="13" fillId="5" borderId="17" xfId="0" applyNumberFormat="1" applyFont="1" applyFill="1" applyBorder="1"/>
    <xf numFmtId="8" fontId="13" fillId="6" borderId="0" xfId="0" applyNumberFormat="1" applyFont="1" applyFill="1"/>
    <xf numFmtId="0" fontId="13" fillId="5" borderId="17" xfId="0" applyFont="1" applyFill="1" applyBorder="1"/>
    <xf numFmtId="8" fontId="13" fillId="5" borderId="17" xfId="0" applyNumberFormat="1" applyFont="1" applyFill="1" applyBorder="1"/>
    <xf numFmtId="0" fontId="13" fillId="0" borderId="2" xfId="0" applyFont="1" applyBorder="1"/>
    <xf numFmtId="9" fontId="13" fillId="4" borderId="0" xfId="0" applyNumberFormat="1" applyFont="1" applyFill="1"/>
    <xf numFmtId="1" fontId="13" fillId="4" borderId="0" xfId="0" applyNumberFormat="1" applyFont="1" applyFill="1"/>
    <xf numFmtId="0" fontId="36" fillId="0" borderId="0" xfId="0" applyFont="1" applyFill="1"/>
    <xf numFmtId="14" fontId="16" fillId="5" borderId="0" xfId="0" applyNumberFormat="1" applyFont="1" applyFill="1"/>
    <xf numFmtId="184" fontId="16" fillId="5" borderId="0" xfId="0" applyNumberFormat="1" applyFont="1" applyFill="1"/>
    <xf numFmtId="0" fontId="16" fillId="5" borderId="0" xfId="0" applyNumberFormat="1" applyFont="1" applyFill="1"/>
    <xf numFmtId="185" fontId="16" fillId="5" borderId="0" xfId="0" applyNumberFormat="1" applyFont="1" applyFill="1"/>
    <xf numFmtId="0" fontId="16" fillId="16" borderId="17" xfId="0" applyFont="1" applyFill="1" applyBorder="1"/>
    <xf numFmtId="14" fontId="16" fillId="7" borderId="17" xfId="0" applyNumberFormat="1" applyFont="1" applyFill="1" applyBorder="1"/>
    <xf numFmtId="0" fontId="15" fillId="3" borderId="17" xfId="0" applyFont="1" applyFill="1" applyBorder="1" applyAlignment="1">
      <alignment horizontal="center"/>
    </xf>
    <xf numFmtId="0" fontId="9" fillId="19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right"/>
    </xf>
    <xf numFmtId="3" fontId="7" fillId="2" borderId="0" xfId="0" applyNumberFormat="1" applyFont="1" applyFill="1" applyAlignment="1">
      <alignment horizontal="right"/>
    </xf>
    <xf numFmtId="0" fontId="7" fillId="21" borderId="0" xfId="0" applyFont="1" applyFill="1" applyAlignment="1">
      <alignment horizontal="right"/>
    </xf>
    <xf numFmtId="3" fontId="7" fillId="21" borderId="0" xfId="0" applyNumberFormat="1" applyFont="1" applyFill="1" applyAlignment="1">
      <alignment horizontal="right"/>
    </xf>
    <xf numFmtId="0" fontId="9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right"/>
    </xf>
    <xf numFmtId="3" fontId="7" fillId="0" borderId="0" xfId="0" applyNumberFormat="1" applyFont="1" applyFill="1" applyAlignment="1">
      <alignment horizontal="right"/>
    </xf>
    <xf numFmtId="22" fontId="7" fillId="0" borderId="0" xfId="0" applyNumberFormat="1" applyFont="1" applyFill="1" applyAlignment="1">
      <alignment horizontal="left"/>
    </xf>
    <xf numFmtId="0" fontId="7" fillId="21" borderId="0" xfId="0" applyFont="1" applyFill="1" applyAlignment="1">
      <alignment horizontal="center"/>
    </xf>
    <xf numFmtId="0" fontId="7" fillId="21" borderId="0" xfId="0" applyFont="1" applyFill="1" applyAlignment="1">
      <alignment horizontal="left"/>
    </xf>
    <xf numFmtId="0" fontId="7" fillId="0" borderId="0" xfId="0" applyFont="1" applyFill="1" applyAlignment="1">
      <alignment horizontal="center"/>
    </xf>
    <xf numFmtId="0" fontId="7" fillId="0" borderId="0" xfId="0" applyFont="1" applyFill="1" applyAlignment="1">
      <alignment horizontal="left"/>
    </xf>
    <xf numFmtId="0" fontId="16" fillId="0" borderId="0" xfId="0" applyFont="1" applyFill="1"/>
    <xf numFmtId="0" fontId="16" fillId="5" borderId="17" xfId="0" applyFont="1" applyFill="1" applyBorder="1" applyAlignment="1">
      <alignment horizontal="center"/>
    </xf>
    <xf numFmtId="0" fontId="16" fillId="5" borderId="17" xfId="0" applyFont="1" applyFill="1" applyBorder="1"/>
    <xf numFmtId="0" fontId="15" fillId="3" borderId="18" xfId="0" applyFont="1" applyFill="1" applyBorder="1"/>
    <xf numFmtId="0" fontId="16" fillId="3" borderId="35" xfId="0" applyFont="1" applyFill="1" applyBorder="1"/>
    <xf numFmtId="0" fontId="13" fillId="5" borderId="17" xfId="0" applyFont="1" applyFill="1" applyBorder="1" applyAlignment="1">
      <alignment horizontal="center"/>
    </xf>
    <xf numFmtId="0" fontId="48" fillId="4" borderId="0" xfId="0" applyFont="1" applyFill="1"/>
    <xf numFmtId="0" fontId="1" fillId="4" borderId="0" xfId="0" applyFont="1" applyFill="1"/>
    <xf numFmtId="0" fontId="1" fillId="3" borderId="17" xfId="0" applyFont="1" applyFill="1" applyBorder="1" applyAlignment="1">
      <alignment horizontal="right"/>
    </xf>
    <xf numFmtId="0" fontId="1" fillId="3" borderId="17" xfId="0" applyFont="1" applyFill="1" applyBorder="1"/>
    <xf numFmtId="0" fontId="0" fillId="6" borderId="17" xfId="0" applyFill="1" applyBorder="1"/>
    <xf numFmtId="0" fontId="48" fillId="3" borderId="0" xfId="0" applyFont="1" applyFill="1"/>
    <xf numFmtId="0" fontId="49" fillId="4" borderId="0" xfId="0" applyFont="1" applyFill="1"/>
    <xf numFmtId="0" fontId="48" fillId="5" borderId="0" xfId="0" applyFont="1" applyFill="1"/>
    <xf numFmtId="0" fontId="35" fillId="0" borderId="0" xfId="0" applyFont="1" applyFill="1"/>
    <xf numFmtId="0" fontId="49" fillId="5" borderId="0" xfId="0" applyFont="1" applyFill="1"/>
    <xf numFmtId="0" fontId="12" fillId="4" borderId="0" xfId="0" applyFont="1" applyFill="1" applyAlignment="1">
      <alignment horizontal="center" vertical="center"/>
    </xf>
    <xf numFmtId="0" fontId="24" fillId="0" borderId="0" xfId="0" applyFont="1" applyFill="1" applyBorder="1" applyAlignment="1">
      <alignment horizontal="left"/>
    </xf>
    <xf numFmtId="0" fontId="22" fillId="0" borderId="0" xfId="0" applyFont="1" applyFill="1" applyBorder="1" applyAlignment="1">
      <alignment horizontal="left"/>
    </xf>
    <xf numFmtId="0" fontId="50" fillId="0" borderId="0" xfId="0" applyFont="1" applyFill="1" applyBorder="1" applyAlignment="1">
      <alignment horizontal="left"/>
    </xf>
    <xf numFmtId="10" fontId="0" fillId="7" borderId="12" xfId="6" applyNumberFormat="1" applyFont="1" applyFill="1" applyBorder="1"/>
    <xf numFmtId="0" fontId="1" fillId="6" borderId="0" xfId="0" applyFont="1" applyFill="1"/>
    <xf numFmtId="0" fontId="3" fillId="6" borderId="0" xfId="0" applyFont="1" applyFill="1"/>
    <xf numFmtId="0" fontId="1" fillId="6" borderId="0" xfId="0" applyFont="1" applyFill="1" applyAlignment="1">
      <alignment horizontal="centerContinuous"/>
    </xf>
    <xf numFmtId="0" fontId="1" fillId="6" borderId="15" xfId="0" applyFont="1" applyFill="1" applyBorder="1"/>
    <xf numFmtId="0" fontId="1" fillId="6" borderId="11" xfId="0" applyFont="1" applyFill="1" applyBorder="1" applyAlignment="1">
      <alignment horizontal="center"/>
    </xf>
    <xf numFmtId="9" fontId="0" fillId="6" borderId="15" xfId="6" applyFont="1" applyFill="1" applyBorder="1"/>
    <xf numFmtId="9" fontId="0" fillId="6" borderId="10" xfId="6" applyFont="1" applyFill="1" applyBorder="1"/>
    <xf numFmtId="9" fontId="0" fillId="6" borderId="11" xfId="6" applyFont="1" applyFill="1" applyBorder="1"/>
    <xf numFmtId="0" fontId="1" fillId="6" borderId="0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0" fillId="7" borderId="36" xfId="0" applyFill="1" applyBorder="1"/>
    <xf numFmtId="0" fontId="0" fillId="7" borderId="17" xfId="0" applyFill="1" applyBorder="1"/>
    <xf numFmtId="10" fontId="0" fillId="7" borderId="17" xfId="0" applyNumberFormat="1" applyFill="1" applyBorder="1"/>
    <xf numFmtId="10" fontId="0" fillId="7" borderId="17" xfId="6" applyNumberFormat="1" applyFont="1" applyFill="1" applyBorder="1"/>
    <xf numFmtId="0" fontId="1" fillId="6" borderId="12" xfId="0" applyFont="1" applyFill="1" applyBorder="1" applyAlignment="1">
      <alignment horizontal="center"/>
    </xf>
    <xf numFmtId="0" fontId="32" fillId="0" borderId="0" xfId="3" applyFont="1"/>
    <xf numFmtId="0" fontId="51" fillId="0" borderId="0" xfId="3" applyFont="1"/>
    <xf numFmtId="10" fontId="51" fillId="0" borderId="0" xfId="3" applyNumberFormat="1" applyFont="1"/>
    <xf numFmtId="0" fontId="3" fillId="0" borderId="0" xfId="3" applyFont="1"/>
    <xf numFmtId="0" fontId="51" fillId="0" borderId="0" xfId="0" applyFont="1" applyFill="1" applyBorder="1"/>
    <xf numFmtId="0" fontId="51" fillId="0" borderId="0" xfId="3" applyFont="1" applyAlignment="1">
      <alignment horizontal="center"/>
    </xf>
    <xf numFmtId="0" fontId="37" fillId="0" borderId="0" xfId="0" applyFont="1" applyFill="1" applyBorder="1" applyAlignment="1">
      <alignment horizontal="left"/>
    </xf>
    <xf numFmtId="2" fontId="51" fillId="0" borderId="0" xfId="3" quotePrefix="1" applyNumberFormat="1" applyFont="1"/>
    <xf numFmtId="0" fontId="3" fillId="0" borderId="0" xfId="3" applyFont="1" applyAlignment="1">
      <alignment horizontal="center"/>
    </xf>
    <xf numFmtId="2" fontId="3" fillId="0" borderId="0" xfId="3" quotePrefix="1" applyNumberFormat="1" applyFont="1"/>
    <xf numFmtId="0" fontId="1" fillId="0" borderId="0" xfId="3" applyFont="1"/>
    <xf numFmtId="0" fontId="3" fillId="5" borderId="15" xfId="3" applyFont="1" applyFill="1" applyBorder="1"/>
    <xf numFmtId="2" fontId="3" fillId="5" borderId="6" xfId="3" applyNumberFormat="1" applyFont="1" applyFill="1" applyBorder="1" applyAlignment="1">
      <alignment horizontal="center"/>
    </xf>
    <xf numFmtId="2" fontId="3" fillId="5" borderId="7" xfId="3" applyNumberFormat="1" applyFont="1" applyFill="1" applyBorder="1" applyAlignment="1">
      <alignment horizontal="center"/>
    </xf>
    <xf numFmtId="0" fontId="3" fillId="5" borderId="10" xfId="3" applyFont="1" applyFill="1" applyBorder="1" applyAlignment="1">
      <alignment horizontal="center"/>
    </xf>
    <xf numFmtId="167" fontId="3" fillId="5" borderId="37" xfId="3" applyNumberFormat="1" applyFont="1" applyFill="1" applyBorder="1" applyAlignment="1">
      <alignment horizontal="center"/>
    </xf>
    <xf numFmtId="167" fontId="3" fillId="5" borderId="38" xfId="3" applyNumberFormat="1" applyFont="1" applyFill="1" applyBorder="1" applyAlignment="1">
      <alignment horizontal="center"/>
    </xf>
    <xf numFmtId="0" fontId="3" fillId="5" borderId="39" xfId="3" applyFont="1" applyFill="1" applyBorder="1"/>
    <xf numFmtId="167" fontId="3" fillId="5" borderId="0" xfId="3" applyNumberFormat="1" applyFont="1" applyFill="1" applyBorder="1" applyAlignment="1">
      <alignment horizontal="center"/>
    </xf>
    <xf numFmtId="167" fontId="3" fillId="5" borderId="8" xfId="3" applyNumberFormat="1" applyFont="1" applyFill="1" applyBorder="1" applyAlignment="1">
      <alignment horizontal="center"/>
    </xf>
    <xf numFmtId="0" fontId="3" fillId="5" borderId="40" xfId="3" applyFont="1" applyFill="1" applyBorder="1"/>
    <xf numFmtId="167" fontId="3" fillId="5" borderId="1" xfId="3" applyNumberFormat="1" applyFont="1" applyFill="1" applyBorder="1" applyAlignment="1">
      <alignment horizontal="center"/>
    </xf>
    <xf numFmtId="167" fontId="3" fillId="5" borderId="9" xfId="3" applyNumberFormat="1" applyFont="1" applyFill="1" applyBorder="1" applyAlignment="1">
      <alignment horizontal="center"/>
    </xf>
    <xf numFmtId="0" fontId="3" fillId="0" borderId="0" xfId="3" applyFont="1" applyBorder="1"/>
    <xf numFmtId="2" fontId="3" fillId="0" borderId="0" xfId="3" applyNumberFormat="1" applyFont="1" applyAlignment="1">
      <alignment horizontal="center"/>
    </xf>
    <xf numFmtId="0" fontId="3" fillId="5" borderId="6" xfId="3" applyFont="1" applyFill="1" applyBorder="1"/>
    <xf numFmtId="0" fontId="3" fillId="5" borderId="7" xfId="3" applyFont="1" applyFill="1" applyBorder="1"/>
    <xf numFmtId="167" fontId="3" fillId="5" borderId="41" xfId="3" applyNumberFormat="1" applyFont="1" applyFill="1" applyBorder="1"/>
    <xf numFmtId="165" fontId="3" fillId="5" borderId="37" xfId="3" applyNumberFormat="1" applyFont="1" applyFill="1" applyBorder="1"/>
    <xf numFmtId="165" fontId="3" fillId="5" borderId="42" xfId="3" applyNumberFormat="1" applyFont="1" applyFill="1" applyBorder="1"/>
    <xf numFmtId="165" fontId="3" fillId="5" borderId="38" xfId="3" applyNumberFormat="1" applyFont="1" applyFill="1" applyBorder="1"/>
    <xf numFmtId="0" fontId="3" fillId="5" borderId="43" xfId="3" applyFont="1" applyFill="1" applyBorder="1"/>
    <xf numFmtId="167" fontId="3" fillId="5" borderId="0" xfId="3" applyNumberFormat="1" applyFont="1" applyFill="1" applyBorder="1"/>
    <xf numFmtId="167" fontId="3" fillId="5" borderId="8" xfId="3" applyNumberFormat="1" applyFont="1" applyFill="1" applyBorder="1"/>
    <xf numFmtId="167" fontId="3" fillId="5" borderId="1" xfId="3" applyNumberFormat="1" applyFont="1" applyFill="1" applyBorder="1"/>
    <xf numFmtId="167" fontId="3" fillId="5" borderId="9" xfId="3" applyNumberFormat="1" applyFont="1" applyFill="1" applyBorder="1"/>
    <xf numFmtId="1" fontId="3" fillId="0" borderId="0" xfId="3" applyNumberFormat="1" applyFont="1"/>
    <xf numFmtId="0" fontId="51" fillId="3" borderId="17" xfId="3" applyFont="1" applyFill="1" applyBorder="1"/>
    <xf numFmtId="167" fontId="1" fillId="5" borderId="17" xfId="3" quotePrefix="1" applyNumberFormat="1" applyFont="1" applyFill="1" applyBorder="1"/>
    <xf numFmtId="0" fontId="3" fillId="3" borderId="17" xfId="3" applyFont="1" applyFill="1" applyBorder="1"/>
    <xf numFmtId="0" fontId="51" fillId="3" borderId="17" xfId="3" applyFont="1" applyFill="1" applyBorder="1" applyAlignment="1">
      <alignment horizontal="center"/>
    </xf>
    <xf numFmtId="0" fontId="51" fillId="5" borderId="17" xfId="3" applyFont="1" applyFill="1" applyBorder="1"/>
    <xf numFmtId="165" fontId="51" fillId="5" borderId="17" xfId="3" applyNumberFormat="1" applyFont="1" applyFill="1" applyBorder="1"/>
    <xf numFmtId="165" fontId="1" fillId="5" borderId="17" xfId="3" applyNumberFormat="1" applyFont="1" applyFill="1" applyBorder="1"/>
    <xf numFmtId="0" fontId="48" fillId="0" borderId="0" xfId="3" applyFont="1" applyFill="1" applyBorder="1" applyAlignment="1">
      <alignment horizontal="left"/>
    </xf>
    <xf numFmtId="0" fontId="15" fillId="0" borderId="0" xfId="4" applyFont="1"/>
    <xf numFmtId="0" fontId="13" fillId="0" borderId="0" xfId="4" applyFont="1"/>
    <xf numFmtId="0" fontId="13" fillId="0" borderId="44" xfId="4" pivotButton="1" applyFont="1" applyBorder="1"/>
    <xf numFmtId="0" fontId="13" fillId="0" borderId="45" xfId="4" applyFont="1" applyBorder="1"/>
    <xf numFmtId="0" fontId="13" fillId="0" borderId="46" xfId="4" applyFont="1" applyBorder="1"/>
    <xf numFmtId="0" fontId="13" fillId="0" borderId="44" xfId="4" applyFont="1" applyBorder="1"/>
    <xf numFmtId="0" fontId="13" fillId="0" borderId="47" xfId="4" applyFont="1" applyBorder="1"/>
    <xf numFmtId="0" fontId="13" fillId="0" borderId="48" xfId="4" applyFont="1" applyBorder="1"/>
    <xf numFmtId="0" fontId="13" fillId="0" borderId="44" xfId="4" applyNumberFormat="1" applyFont="1" applyBorder="1"/>
    <xf numFmtId="0" fontId="13" fillId="0" borderId="47" xfId="4" applyNumberFormat="1" applyFont="1" applyBorder="1"/>
    <xf numFmtId="0" fontId="13" fillId="0" borderId="48" xfId="4" applyNumberFormat="1" applyFont="1" applyBorder="1"/>
    <xf numFmtId="0" fontId="13" fillId="0" borderId="49" xfId="4" applyFont="1" applyBorder="1"/>
    <xf numFmtId="0" fontId="13" fillId="0" borderId="49" xfId="4" applyNumberFormat="1" applyFont="1" applyBorder="1"/>
    <xf numFmtId="0" fontId="13" fillId="0" borderId="0" xfId="4" applyNumberFormat="1" applyFont="1"/>
    <xf numFmtId="0" fontId="13" fillId="0" borderId="50" xfId="4" applyNumberFormat="1" applyFont="1" applyBorder="1"/>
    <xf numFmtId="0" fontId="13" fillId="0" borderId="51" xfId="4" applyFont="1" applyBorder="1"/>
    <xf numFmtId="0" fontId="13" fillId="0" borderId="51" xfId="4" applyNumberFormat="1" applyFont="1" applyBorder="1"/>
    <xf numFmtId="0" fontId="13" fillId="0" borderId="52" xfId="4" applyNumberFormat="1" applyFont="1" applyBorder="1"/>
    <xf numFmtId="0" fontId="13" fillId="0" borderId="33" xfId="4" applyNumberFormat="1" applyFont="1" applyBorder="1"/>
    <xf numFmtId="0" fontId="13" fillId="0" borderId="0" xfId="4" applyFont="1" applyBorder="1"/>
    <xf numFmtId="0" fontId="0" fillId="0" borderId="0" xfId="0" applyNumberFormat="1" applyBorder="1"/>
    <xf numFmtId="2" fontId="13" fillId="5" borderId="12" xfId="1" applyNumberFormat="1" applyFont="1" applyFill="1" applyBorder="1"/>
    <xf numFmtId="2" fontId="13" fillId="5" borderId="12" xfId="5" applyNumberFormat="1" applyFont="1" applyFill="1" applyBorder="1"/>
    <xf numFmtId="1" fontId="13" fillId="5" borderId="12" xfId="6" applyNumberFormat="1" applyFont="1" applyFill="1" applyBorder="1"/>
    <xf numFmtId="10" fontId="13" fillId="5" borderId="12" xfId="5" applyNumberFormat="1" applyFont="1" applyFill="1" applyBorder="1"/>
    <xf numFmtId="10" fontId="13" fillId="5" borderId="12" xfId="6" applyNumberFormat="1" applyFont="1" applyFill="1" applyBorder="1"/>
    <xf numFmtId="10" fontId="13" fillId="5" borderId="5" xfId="6" applyNumberFormat="1" applyFont="1" applyFill="1" applyBorder="1"/>
    <xf numFmtId="0" fontId="13" fillId="4" borderId="10" xfId="5" applyFont="1" applyFill="1" applyBorder="1"/>
    <xf numFmtId="0" fontId="13" fillId="16" borderId="10" xfId="5" applyFont="1" applyFill="1" applyBorder="1"/>
    <xf numFmtId="0" fontId="13" fillId="16" borderId="0" xfId="5" applyFont="1" applyFill="1" applyBorder="1"/>
    <xf numFmtId="0" fontId="13" fillId="16" borderId="11" xfId="5" applyFont="1" applyFill="1" applyBorder="1"/>
    <xf numFmtId="0" fontId="13" fillId="16" borderId="1" xfId="5" applyFont="1" applyFill="1" applyBorder="1"/>
    <xf numFmtId="0" fontId="13" fillId="4" borderId="11" xfId="5" applyFont="1" applyFill="1" applyBorder="1"/>
    <xf numFmtId="166" fontId="37" fillId="7" borderId="12" xfId="1" applyNumberFormat="1" applyFont="1" applyFill="1" applyBorder="1"/>
    <xf numFmtId="166" fontId="37" fillId="7" borderId="12" xfId="5" applyNumberFormat="1" applyFont="1" applyFill="1" applyBorder="1"/>
    <xf numFmtId="0" fontId="13" fillId="0" borderId="0" xfId="5" applyFont="1"/>
    <xf numFmtId="0" fontId="37" fillId="0" borderId="0" xfId="5" applyFont="1"/>
    <xf numFmtId="0" fontId="55" fillId="8" borderId="11" xfId="0" applyFont="1" applyFill="1" applyBorder="1"/>
    <xf numFmtId="0" fontId="55" fillId="8" borderId="0" xfId="0" applyFont="1" applyFill="1" applyBorder="1"/>
    <xf numFmtId="0" fontId="37" fillId="0" borderId="0" xfId="5" applyFont="1" applyFill="1" applyBorder="1"/>
    <xf numFmtId="0" fontId="46" fillId="0" borderId="0" xfId="5" applyFont="1"/>
    <xf numFmtId="0" fontId="46" fillId="22" borderId="14" xfId="5" applyFont="1" applyFill="1" applyBorder="1" applyAlignment="1">
      <alignment horizontal="left"/>
    </xf>
    <xf numFmtId="0" fontId="13" fillId="4" borderId="6" xfId="5" applyFont="1" applyFill="1" applyBorder="1"/>
    <xf numFmtId="0" fontId="13" fillId="4" borderId="0" xfId="5" applyFont="1" applyFill="1" applyBorder="1"/>
    <xf numFmtId="0" fontId="56" fillId="0" borderId="0" xfId="5" applyFont="1"/>
    <xf numFmtId="0" fontId="13" fillId="4" borderId="1" xfId="5" applyFont="1" applyFill="1" applyBorder="1"/>
    <xf numFmtId="0" fontId="13" fillId="0" borderId="0" xfId="5" applyFont="1" applyFill="1" applyBorder="1"/>
    <xf numFmtId="164" fontId="13" fillId="0" borderId="0" xfId="5" applyNumberFormat="1" applyFont="1"/>
    <xf numFmtId="0" fontId="46" fillId="13" borderId="14" xfId="5" applyFont="1" applyFill="1" applyBorder="1" applyAlignment="1">
      <alignment horizontal="left"/>
    </xf>
    <xf numFmtId="0" fontId="13" fillId="0" borderId="11" xfId="5" applyFont="1" applyBorder="1"/>
    <xf numFmtId="0" fontId="13" fillId="0" borderId="1" xfId="5" applyFont="1" applyBorder="1"/>
    <xf numFmtId="186" fontId="13" fillId="0" borderId="0" xfId="5" applyNumberFormat="1" applyFont="1"/>
    <xf numFmtId="0" fontId="13" fillId="4" borderId="0" xfId="5" applyFont="1" applyFill="1"/>
    <xf numFmtId="9" fontId="13" fillId="5" borderId="0" xfId="5" applyNumberFormat="1" applyFont="1" applyFill="1"/>
    <xf numFmtId="166" fontId="13" fillId="16" borderId="0" xfId="5" applyNumberFormat="1" applyFont="1" applyFill="1"/>
    <xf numFmtId="0" fontId="13" fillId="7" borderId="0" xfId="5" applyFont="1" applyFill="1"/>
    <xf numFmtId="0" fontId="13" fillId="4" borderId="0" xfId="5" applyFont="1" applyFill="1" applyAlignment="1">
      <alignment horizontal="right"/>
    </xf>
    <xf numFmtId="166" fontId="13" fillId="7" borderId="0" xfId="5" applyNumberFormat="1" applyFont="1" applyFill="1"/>
    <xf numFmtId="0" fontId="0" fillId="3" borderId="13" xfId="0" applyFill="1" applyBorder="1" applyAlignment="1">
      <alignment horizontal="right"/>
    </xf>
    <xf numFmtId="0" fontId="13" fillId="4" borderId="9" xfId="5" applyFont="1" applyFill="1" applyBorder="1"/>
    <xf numFmtId="1" fontId="13" fillId="5" borderId="12" xfId="1" applyNumberFormat="1" applyFont="1" applyFill="1" applyBorder="1"/>
    <xf numFmtId="1" fontId="13" fillId="5" borderId="12" xfId="5" applyNumberFormat="1" applyFont="1" applyFill="1" applyBorder="1"/>
    <xf numFmtId="187" fontId="13" fillId="5" borderId="12" xfId="1" applyNumberFormat="1" applyFont="1" applyFill="1" applyBorder="1"/>
    <xf numFmtId="0" fontId="13" fillId="16" borderId="9" xfId="5" applyFont="1" applyFill="1" applyBorder="1"/>
    <xf numFmtId="0" fontId="13" fillId="6" borderId="0" xfId="5" applyFont="1" applyFill="1"/>
    <xf numFmtId="0" fontId="13" fillId="0" borderId="0" xfId="5" applyFont="1" applyAlignment="1">
      <alignment horizontal="left"/>
    </xf>
    <xf numFmtId="0" fontId="13" fillId="7" borderId="0" xfId="5" applyFont="1" applyFill="1" applyAlignment="1">
      <alignment horizontal="left"/>
    </xf>
    <xf numFmtId="0" fontId="57" fillId="0" borderId="0" xfId="0" applyFont="1"/>
    <xf numFmtId="0" fontId="58" fillId="0" borderId="0" xfId="0" applyFont="1"/>
    <xf numFmtId="2" fontId="0" fillId="5" borderId="17" xfId="0" applyNumberFormat="1" applyFill="1" applyBorder="1"/>
    <xf numFmtId="2" fontId="0" fillId="5" borderId="19" xfId="0" applyNumberFormat="1" applyFill="1" applyBorder="1"/>
    <xf numFmtId="2" fontId="0" fillId="0" borderId="0" xfId="0" applyNumberFormat="1" applyFill="1" applyBorder="1"/>
    <xf numFmtId="0" fontId="0" fillId="7" borderId="0" xfId="0" applyFill="1"/>
    <xf numFmtId="0" fontId="0" fillId="7" borderId="19" xfId="0" applyFill="1" applyBorder="1"/>
    <xf numFmtId="0" fontId="51" fillId="0" borderId="0" xfId="3" applyFont="1" applyFill="1" applyAlignment="1">
      <alignment horizontal="center"/>
    </xf>
    <xf numFmtId="5" fontId="4" fillId="3" borderId="12" xfId="0" applyNumberFormat="1" applyFont="1" applyFill="1" applyBorder="1" applyAlignment="1">
      <alignment horizontal="center" wrapText="1"/>
    </xf>
    <xf numFmtId="0" fontId="5" fillId="5" borderId="12" xfId="0" applyFont="1" applyFill="1" applyBorder="1" applyProtection="1"/>
    <xf numFmtId="3" fontId="0" fillId="5" borderId="12" xfId="0" applyNumberFormat="1" applyFill="1" applyBorder="1" applyAlignment="1" applyProtection="1">
      <alignment horizontal="center"/>
    </xf>
    <xf numFmtId="0" fontId="0" fillId="5" borderId="12" xfId="0" applyFill="1" applyBorder="1" applyProtection="1"/>
    <xf numFmtId="0" fontId="57" fillId="4" borderId="0" xfId="0" applyFont="1" applyFill="1"/>
    <xf numFmtId="5" fontId="4" fillId="3" borderId="17" xfId="0" applyNumberFormat="1" applyFont="1" applyFill="1" applyBorder="1" applyAlignment="1">
      <alignment horizontal="center" wrapText="1"/>
    </xf>
    <xf numFmtId="0" fontId="0" fillId="4" borderId="0" xfId="0" applyFill="1" applyAlignment="1">
      <alignment horizontal="center"/>
    </xf>
    <xf numFmtId="0" fontId="0" fillId="4" borderId="0" xfId="0" applyFill="1" applyAlignment="1"/>
    <xf numFmtId="0" fontId="59" fillId="0" borderId="0" xfId="0" applyFont="1"/>
    <xf numFmtId="0" fontId="59" fillId="0" borderId="53" xfId="0" applyFont="1" applyBorder="1" applyAlignment="1">
      <alignment horizontal="center"/>
    </xf>
    <xf numFmtId="0" fontId="62" fillId="23" borderId="54" xfId="0" applyFont="1" applyFill="1" applyBorder="1"/>
    <xf numFmtId="0" fontId="63" fillId="23" borderId="54" xfId="0" applyFont="1" applyFill="1" applyBorder="1"/>
    <xf numFmtId="0" fontId="64" fillId="0" borderId="0" xfId="0" applyFont="1" applyAlignment="1">
      <alignment horizontal="right"/>
    </xf>
    <xf numFmtId="0" fontId="65" fillId="24" borderId="0" xfId="0" applyFont="1" applyFill="1"/>
    <xf numFmtId="0" fontId="6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71" fillId="0" borderId="0" xfId="3" applyFont="1" applyAlignment="1">
      <alignment horizontal="left"/>
    </xf>
    <xf numFmtId="0" fontId="70" fillId="0" borderId="0" xfId="4" applyFont="1"/>
    <xf numFmtId="0" fontId="13" fillId="2" borderId="0" xfId="0" applyFont="1" applyFill="1"/>
    <xf numFmtId="0" fontId="72" fillId="4" borderId="0" xfId="0" applyFont="1" applyFill="1"/>
    <xf numFmtId="0" fontId="1" fillId="0" borderId="0" xfId="0" applyFont="1" applyAlignment="1">
      <alignment horizontal="left" wrapText="1"/>
    </xf>
    <xf numFmtId="0" fontId="13" fillId="4" borderId="1" xfId="0" applyFont="1" applyFill="1" applyBorder="1" applyAlignment="1">
      <alignment horizontal="left" wrapText="1"/>
    </xf>
    <xf numFmtId="0" fontId="25" fillId="4" borderId="1" xfId="0" applyFont="1" applyFill="1" applyBorder="1" applyAlignment="1">
      <alignment horizontal="left" wrapText="1"/>
    </xf>
    <xf numFmtId="0" fontId="1" fillId="3" borderId="0" xfId="0" applyFont="1" applyFill="1" applyAlignment="1">
      <alignment horizontal="center"/>
    </xf>
    <xf numFmtId="22" fontId="0" fillId="5" borderId="0" xfId="0" applyNumberFormat="1" applyFill="1" applyAlignment="1">
      <alignment horizontal="center"/>
    </xf>
    <xf numFmtId="0" fontId="1" fillId="3" borderId="0" xfId="0" applyFont="1" applyFill="1" applyAlignment="1"/>
    <xf numFmtId="177" fontId="0" fillId="5" borderId="0" xfId="0" applyNumberFormat="1" applyFill="1" applyAlignment="1">
      <alignment horizontal="left"/>
    </xf>
    <xf numFmtId="0" fontId="15" fillId="4" borderId="0" xfId="0" applyFont="1" applyFill="1" applyAlignment="1">
      <alignment horizontal="left" wrapText="1"/>
    </xf>
    <xf numFmtId="0" fontId="40" fillId="3" borderId="18" xfId="0" applyFont="1" applyFill="1" applyBorder="1" applyAlignment="1">
      <alignment horizontal="center" vertical="center" wrapText="1"/>
    </xf>
    <xf numFmtId="0" fontId="40" fillId="3" borderId="35" xfId="0" applyFont="1" applyFill="1" applyBorder="1" applyAlignment="1">
      <alignment horizontal="center" vertical="center" wrapText="1"/>
    </xf>
    <xf numFmtId="0" fontId="15" fillId="3" borderId="17" xfId="0" applyFont="1" applyFill="1" applyBorder="1" applyAlignment="1">
      <alignment horizontal="center"/>
    </xf>
    <xf numFmtId="0" fontId="15" fillId="3" borderId="18" xfId="0" applyFont="1" applyFill="1" applyBorder="1" applyAlignment="1">
      <alignment horizontal="center"/>
    </xf>
    <xf numFmtId="0" fontId="15" fillId="3" borderId="55" xfId="0" applyFont="1" applyFill="1" applyBorder="1" applyAlignment="1">
      <alignment horizontal="center"/>
    </xf>
    <xf numFmtId="0" fontId="15" fillId="3" borderId="35" xfId="0" applyFont="1" applyFill="1" applyBorder="1" applyAlignment="1">
      <alignment horizontal="center"/>
    </xf>
    <xf numFmtId="0" fontId="51" fillId="3" borderId="17" xfId="3" applyFont="1" applyFill="1" applyBorder="1" applyAlignment="1">
      <alignment horizontal="left"/>
    </xf>
    <xf numFmtId="190" fontId="37" fillId="7" borderId="12" xfId="1" applyNumberFormat="1" applyFont="1" applyFill="1" applyBorder="1"/>
  </cellXfs>
  <cellStyles count="7">
    <cellStyle name="Comma" xfId="1" builtinId="3"/>
    <cellStyle name="Hyperlink" xfId="2" builtinId="8"/>
    <cellStyle name="Normal" xfId="0" builtinId="0"/>
    <cellStyle name="Normal_ch2pic" xfId="3"/>
    <cellStyle name="Normal_datatable+pivot" xfId="4"/>
    <cellStyle name="Normal_spreadmod_module3_VBA1_ans" xfId="5"/>
    <cellStyle name="Percent" xfId="6" builtinId="5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12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ont>
        <name val="Arial"/>
        <scheme val="none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normal density</a:t>
            </a:r>
          </a:p>
        </c:rich>
      </c:tx>
      <c:layout>
        <c:manualLayout>
          <c:xMode val="edge"/>
          <c:yMode val="edge"/>
          <c:x val="0.3333343569868964"/>
          <c:y val="4.639175257731956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949722231605717"/>
          <c:y val="0.29381443298969101"/>
          <c:w val="0.79874459127048736"/>
          <c:h val="0.51030927835051565"/>
        </c:manualLayout>
      </c:layout>
      <c:scatterChart>
        <c:scatterStyle val="smoothMarker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'Build-In Functions (Stat)'!$A$44:$A$60</c:f>
              <c:numCache>
                <c:formatCode>0.00</c:formatCode>
                <c:ptCount val="17"/>
                <c:pt idx="0">
                  <c:v>-4</c:v>
                </c:pt>
                <c:pt idx="1">
                  <c:v>-3.5</c:v>
                </c:pt>
                <c:pt idx="2">
                  <c:v>-3</c:v>
                </c:pt>
                <c:pt idx="3">
                  <c:v>-2.5</c:v>
                </c:pt>
                <c:pt idx="4">
                  <c:v>-2</c:v>
                </c:pt>
                <c:pt idx="5">
                  <c:v>-1.5</c:v>
                </c:pt>
                <c:pt idx="6">
                  <c:v>-1</c:v>
                </c:pt>
                <c:pt idx="7">
                  <c:v>-0.5</c:v>
                </c:pt>
                <c:pt idx="8">
                  <c:v>0</c:v>
                </c:pt>
                <c:pt idx="9">
                  <c:v>0.5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</c:numCache>
            </c:numRef>
          </c:xVal>
          <c:yVal>
            <c:numRef>
              <c:f>'Build-In Functions (Stat)'!$B$44:$B$60</c:f>
              <c:numCache>
                <c:formatCode>0.0000</c:formatCode>
                <c:ptCount val="17"/>
                <c:pt idx="0">
                  <c:v>1.3383022576488534E-4</c:v>
                </c:pt>
                <c:pt idx="1">
                  <c:v>8.7268269504575994E-4</c:v>
                </c:pt>
                <c:pt idx="2">
                  <c:v>4.4318484119380067E-3</c:v>
                </c:pt>
                <c:pt idx="3">
                  <c:v>1.7528300493568537E-2</c:v>
                </c:pt>
                <c:pt idx="4">
                  <c:v>5.3990966513188049E-2</c:v>
                </c:pt>
                <c:pt idx="5">
                  <c:v>0.12951759566589172</c:v>
                </c:pt>
                <c:pt idx="6">
                  <c:v>0.24197072451914334</c:v>
                </c:pt>
                <c:pt idx="7">
                  <c:v>0.35206532676429947</c:v>
                </c:pt>
                <c:pt idx="8">
                  <c:v>0.39894228040143265</c:v>
                </c:pt>
                <c:pt idx="9">
                  <c:v>0.35206532676429947</c:v>
                </c:pt>
                <c:pt idx="10">
                  <c:v>0.24197072451914334</c:v>
                </c:pt>
                <c:pt idx="11">
                  <c:v>0.12951759566589172</c:v>
                </c:pt>
                <c:pt idx="12">
                  <c:v>5.3990966513188049E-2</c:v>
                </c:pt>
                <c:pt idx="13">
                  <c:v>1.7528300493568537E-2</c:v>
                </c:pt>
                <c:pt idx="14">
                  <c:v>4.4318484119380067E-3</c:v>
                </c:pt>
                <c:pt idx="15">
                  <c:v>8.7268269504575994E-4</c:v>
                </c:pt>
                <c:pt idx="16">
                  <c:v>1.3383022576488534E-4</c:v>
                </c:pt>
              </c:numCache>
            </c:numRef>
          </c:yVal>
          <c:smooth val="1"/>
        </c:ser>
        <c:axId val="70320128"/>
        <c:axId val="70321664"/>
      </c:scatterChart>
      <c:valAx>
        <c:axId val="70320128"/>
        <c:scaling>
          <c:orientation val="minMax"/>
          <c:max val="4"/>
          <c:min val="-4"/>
        </c:scaling>
        <c:axPos val="b"/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en-US"/>
          </a:p>
        </c:txPr>
        <c:crossAx val="70321664"/>
        <c:crossesAt val="-6"/>
        <c:crossBetween val="midCat"/>
      </c:valAx>
      <c:valAx>
        <c:axId val="70321664"/>
        <c:scaling>
          <c:orientation val="minMax"/>
          <c:min val="0"/>
        </c:scaling>
        <c:axPos val="l"/>
        <c:numFmt formatCode="0.0" sourceLinked="0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en-US"/>
          </a:p>
        </c:txPr>
        <c:crossAx val="70320128"/>
        <c:crossesAt val="-6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normal distribution</a:t>
            </a:r>
          </a:p>
        </c:rich>
      </c:tx>
      <c:layout>
        <c:manualLayout>
          <c:xMode val="edge"/>
          <c:yMode val="edge"/>
          <c:x val="0.29467129743720832"/>
          <c:y val="4.615407729405694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912243938950977"/>
          <c:y val="0.2923091561956942"/>
          <c:w val="0.79937426432434167"/>
          <c:h val="0.51282308104507734"/>
        </c:manualLayout>
      </c:layout>
      <c:scatterChart>
        <c:scatterStyle val="smoothMarker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'Build-In Functions (Stat)'!$A$44:$A$60</c:f>
              <c:numCache>
                <c:formatCode>0.00</c:formatCode>
                <c:ptCount val="17"/>
                <c:pt idx="0">
                  <c:v>-4</c:v>
                </c:pt>
                <c:pt idx="1">
                  <c:v>-3.5</c:v>
                </c:pt>
                <c:pt idx="2">
                  <c:v>-3</c:v>
                </c:pt>
                <c:pt idx="3">
                  <c:v>-2.5</c:v>
                </c:pt>
                <c:pt idx="4">
                  <c:v>-2</c:v>
                </c:pt>
                <c:pt idx="5">
                  <c:v>-1.5</c:v>
                </c:pt>
                <c:pt idx="6">
                  <c:v>-1</c:v>
                </c:pt>
                <c:pt idx="7">
                  <c:v>-0.5</c:v>
                </c:pt>
                <c:pt idx="8">
                  <c:v>0</c:v>
                </c:pt>
                <c:pt idx="9">
                  <c:v>0.5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</c:numCache>
            </c:numRef>
          </c:xVal>
          <c:yVal>
            <c:numRef>
              <c:f>'Build-In Functions (Stat)'!$C$44:$C$60</c:f>
              <c:numCache>
                <c:formatCode>0.0000</c:formatCode>
                <c:ptCount val="17"/>
                <c:pt idx="0">
                  <c:v>3.1671241836783715E-5</c:v>
                </c:pt>
                <c:pt idx="1">
                  <c:v>2.3262907903420782E-4</c:v>
                </c:pt>
                <c:pt idx="2">
                  <c:v>1.3498980316301035E-3</c:v>
                </c:pt>
                <c:pt idx="3">
                  <c:v>6.2096653257759371E-3</c:v>
                </c:pt>
                <c:pt idx="4">
                  <c:v>2.275013194817932E-2</c:v>
                </c:pt>
                <c:pt idx="5">
                  <c:v>6.6807201268858085E-2</c:v>
                </c:pt>
                <c:pt idx="6">
                  <c:v>0.15865525393145707</c:v>
                </c:pt>
                <c:pt idx="7">
                  <c:v>0.30853753872598688</c:v>
                </c:pt>
                <c:pt idx="8">
                  <c:v>0.5</c:v>
                </c:pt>
                <c:pt idx="9">
                  <c:v>0.69146246127401312</c:v>
                </c:pt>
                <c:pt idx="10">
                  <c:v>0.84134474606854293</c:v>
                </c:pt>
                <c:pt idx="11">
                  <c:v>0.93319279873114191</c:v>
                </c:pt>
                <c:pt idx="12">
                  <c:v>0.97724986805182068</c:v>
                </c:pt>
                <c:pt idx="13">
                  <c:v>0.99379033467422406</c:v>
                </c:pt>
                <c:pt idx="14">
                  <c:v>0.9986501019683699</c:v>
                </c:pt>
                <c:pt idx="15">
                  <c:v>0.99976737092096579</c:v>
                </c:pt>
                <c:pt idx="16">
                  <c:v>0.99996832875816322</c:v>
                </c:pt>
              </c:numCache>
            </c:numRef>
          </c:yVal>
          <c:smooth val="1"/>
        </c:ser>
        <c:axId val="70349952"/>
        <c:axId val="70351488"/>
      </c:scatterChart>
      <c:valAx>
        <c:axId val="70349952"/>
        <c:scaling>
          <c:orientation val="minMax"/>
          <c:max val="4"/>
          <c:min val="-4"/>
        </c:scaling>
        <c:axPos val="b"/>
        <c:numFmt formatCode="0.00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en-US"/>
          </a:p>
        </c:txPr>
        <c:crossAx val="70351488"/>
        <c:crossesAt val="-6"/>
        <c:crossBetween val="midCat"/>
      </c:valAx>
      <c:valAx>
        <c:axId val="70351488"/>
        <c:scaling>
          <c:orientation val="minMax"/>
          <c:min val="0"/>
        </c:scaling>
        <c:axPos val="l"/>
        <c:numFmt formatCode="0.0" sourceLinked="0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en-US"/>
          </a:p>
        </c:txPr>
        <c:crossAx val="70349952"/>
        <c:crossesAt val="-6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2156909301889177"/>
          <c:y val="0.12790733985323144"/>
          <c:w val="0.82353256561184729"/>
          <c:h val="0.68023448921945751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Rand!$A$5:$A$14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Rand!$B$5:$B$14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</c:ser>
        <c:axId val="69822720"/>
        <c:axId val="69836800"/>
      </c:barChart>
      <c:catAx>
        <c:axId val="6982272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836800"/>
        <c:crosses val="autoZero"/>
        <c:auto val="1"/>
        <c:lblAlgn val="ctr"/>
        <c:lblOffset val="100"/>
        <c:tickLblSkip val="1"/>
        <c:tickMarkSkip val="1"/>
      </c:catAx>
      <c:valAx>
        <c:axId val="6983680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82272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937520861665465"/>
          <c:y val="0.12716763005780346"/>
          <c:w val="0.83593909442728909"/>
          <c:h val="0.68208092485549132"/>
        </c:manualLayout>
      </c:layout>
      <c:barChart>
        <c:barDir val="col"/>
        <c:grouping val="clustered"/>
        <c:ser>
          <c:idx val="1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Rand!$F$5:$F$14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Rand!$G$5:$G$14</c:f>
              <c:numCache>
                <c:formatCode>General</c:formatCode>
                <c:ptCount val="10"/>
                <c:pt idx="0">
                  <c:v>9</c:v>
                </c:pt>
                <c:pt idx="1">
                  <c:v>13</c:v>
                </c:pt>
                <c:pt idx="2">
                  <c:v>10</c:v>
                </c:pt>
                <c:pt idx="3">
                  <c:v>6</c:v>
                </c:pt>
                <c:pt idx="4">
                  <c:v>11</c:v>
                </c:pt>
                <c:pt idx="5">
                  <c:v>11</c:v>
                </c:pt>
                <c:pt idx="6">
                  <c:v>10</c:v>
                </c:pt>
                <c:pt idx="7">
                  <c:v>12</c:v>
                </c:pt>
                <c:pt idx="8">
                  <c:v>7</c:v>
                </c:pt>
                <c:pt idx="9">
                  <c:v>11</c:v>
                </c:pt>
              </c:numCache>
            </c:numRef>
          </c:val>
        </c:ser>
        <c:axId val="69855488"/>
        <c:axId val="70778880"/>
      </c:barChart>
      <c:catAx>
        <c:axId val="6985548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778880"/>
        <c:crosses val="autoZero"/>
        <c:auto val="1"/>
        <c:lblAlgn val="ctr"/>
        <c:lblOffset val="100"/>
        <c:tickLblSkip val="1"/>
        <c:tickMarkSkip val="1"/>
      </c:catAx>
      <c:valAx>
        <c:axId val="7077888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8554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245136186770428"/>
          <c:y val="0.12643749123053183"/>
          <c:w val="0.82101167315175094"/>
          <c:h val="0.68391188438333095"/>
        </c:manualLayout>
      </c:layout>
      <c:barChart>
        <c:barDir val="col"/>
        <c:grouping val="clustered"/>
        <c:ser>
          <c:idx val="1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Rand!$K$5:$K$14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Rand!$L$5:$L$14</c:f>
              <c:numCache>
                <c:formatCode>General</c:formatCode>
                <c:ptCount val="10"/>
                <c:pt idx="0">
                  <c:v>85</c:v>
                </c:pt>
                <c:pt idx="1">
                  <c:v>96</c:v>
                </c:pt>
                <c:pt idx="2">
                  <c:v>104</c:v>
                </c:pt>
                <c:pt idx="3">
                  <c:v>105</c:v>
                </c:pt>
                <c:pt idx="4">
                  <c:v>94</c:v>
                </c:pt>
                <c:pt idx="5">
                  <c:v>103</c:v>
                </c:pt>
                <c:pt idx="6">
                  <c:v>97</c:v>
                </c:pt>
                <c:pt idx="7">
                  <c:v>97</c:v>
                </c:pt>
                <c:pt idx="8">
                  <c:v>101</c:v>
                </c:pt>
                <c:pt idx="9">
                  <c:v>118</c:v>
                </c:pt>
              </c:numCache>
            </c:numRef>
          </c:val>
        </c:ser>
        <c:axId val="70797952"/>
        <c:axId val="70816128"/>
      </c:barChart>
      <c:catAx>
        <c:axId val="7079795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816128"/>
        <c:crosses val="autoZero"/>
        <c:auto val="1"/>
        <c:lblAlgn val="ctr"/>
        <c:lblOffset val="100"/>
        <c:tickLblSkip val="1"/>
        <c:tickMarkSkip val="1"/>
      </c:catAx>
      <c:valAx>
        <c:axId val="7081612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7979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v>Empirical</c:v>
          </c:tx>
          <c:cat>
            <c:numRef>
              <c:f>'Security (Price Model)'!$G$10:$G$20</c:f>
              <c:numCache>
                <c:formatCode>0%</c:formatCode>
                <c:ptCount val="11"/>
                <c:pt idx="0">
                  <c:v>-0.2</c:v>
                </c:pt>
                <c:pt idx="1">
                  <c:v>-0.16</c:v>
                </c:pt>
                <c:pt idx="2">
                  <c:v>-0.12</c:v>
                </c:pt>
                <c:pt idx="3">
                  <c:v>-7.9999999999999988E-2</c:v>
                </c:pt>
                <c:pt idx="4">
                  <c:v>-3.9999999999999987E-2</c:v>
                </c:pt>
                <c:pt idx="5">
                  <c:v>0</c:v>
                </c:pt>
                <c:pt idx="6">
                  <c:v>0.04</c:v>
                </c:pt>
                <c:pt idx="7">
                  <c:v>0.08</c:v>
                </c:pt>
                <c:pt idx="8">
                  <c:v>0.12</c:v>
                </c:pt>
                <c:pt idx="9">
                  <c:v>0.16</c:v>
                </c:pt>
                <c:pt idx="10">
                  <c:v>0.2</c:v>
                </c:pt>
              </c:numCache>
            </c:numRef>
          </c:cat>
          <c:val>
            <c:numRef>
              <c:f>'Security (Price Model)'!$J$10:$J$20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9.6774193548387094E-2</c:v>
                </c:pt>
                <c:pt idx="3">
                  <c:v>0.16129032258064516</c:v>
                </c:pt>
                <c:pt idx="4">
                  <c:v>0.27419354838709675</c:v>
                </c:pt>
                <c:pt idx="5">
                  <c:v>0.43548387096774188</c:v>
                </c:pt>
                <c:pt idx="6">
                  <c:v>0.5161290322580645</c:v>
                </c:pt>
                <c:pt idx="7">
                  <c:v>0.77419354838709675</c:v>
                </c:pt>
                <c:pt idx="8">
                  <c:v>0.91935483870967738</c:v>
                </c:pt>
                <c:pt idx="9">
                  <c:v>0.9838709677419355</c:v>
                </c:pt>
                <c:pt idx="10">
                  <c:v>1</c:v>
                </c:pt>
              </c:numCache>
            </c:numRef>
          </c:val>
        </c:ser>
        <c:ser>
          <c:idx val="1"/>
          <c:order val="1"/>
          <c:tx>
            <c:v>Theorical</c:v>
          </c:tx>
          <c:cat>
            <c:numRef>
              <c:f>'Security (Price Model)'!$G$10:$G$20</c:f>
              <c:numCache>
                <c:formatCode>0%</c:formatCode>
                <c:ptCount val="11"/>
                <c:pt idx="0">
                  <c:v>-0.2</c:v>
                </c:pt>
                <c:pt idx="1">
                  <c:v>-0.16</c:v>
                </c:pt>
                <c:pt idx="2">
                  <c:v>-0.12</c:v>
                </c:pt>
                <c:pt idx="3">
                  <c:v>-7.9999999999999988E-2</c:v>
                </c:pt>
                <c:pt idx="4">
                  <c:v>-3.9999999999999987E-2</c:v>
                </c:pt>
                <c:pt idx="5">
                  <c:v>0</c:v>
                </c:pt>
                <c:pt idx="6">
                  <c:v>0.04</c:v>
                </c:pt>
                <c:pt idx="7">
                  <c:v>0.08</c:v>
                </c:pt>
                <c:pt idx="8">
                  <c:v>0.12</c:v>
                </c:pt>
                <c:pt idx="9">
                  <c:v>0.16</c:v>
                </c:pt>
                <c:pt idx="10">
                  <c:v>0.2</c:v>
                </c:pt>
              </c:numCache>
            </c:numRef>
          </c:cat>
          <c:val>
            <c:numRef>
              <c:f>'Security (Price Model)'!$K$10:$K$20</c:f>
              <c:numCache>
                <c:formatCode>0.00%</c:formatCode>
                <c:ptCount val="11"/>
                <c:pt idx="0">
                  <c:v>3.7353008129118459E-3</c:v>
                </c:pt>
                <c:pt idx="1">
                  <c:v>1.4768494245668728E-2</c:v>
                </c:pt>
                <c:pt idx="2">
                  <c:v>4.6733648715786336E-2</c:v>
                </c:pt>
                <c:pt idx="3">
                  <c:v>0.11929372835210472</c:v>
                </c:pt>
                <c:pt idx="4">
                  <c:v>0.24835831182593426</c:v>
                </c:pt>
                <c:pt idx="5">
                  <c:v>0.42826026191692002</c:v>
                </c:pt>
                <c:pt idx="6">
                  <c:v>0.62477826789306745</c:v>
                </c:pt>
                <c:pt idx="7">
                  <c:v>0.79301135314034488</c:v>
                </c:pt>
                <c:pt idx="8">
                  <c:v>0.90587509875612926</c:v>
                </c:pt>
                <c:pt idx="9">
                  <c:v>0.96520992350135049</c:v>
                </c:pt>
                <c:pt idx="10">
                  <c:v>0.98965225166264514</c:v>
                </c:pt>
              </c:numCache>
            </c:numRef>
          </c:val>
        </c:ser>
        <c:marker val="1"/>
        <c:axId val="93993216"/>
        <c:axId val="94100864"/>
      </c:lineChart>
      <c:catAx>
        <c:axId val="93993216"/>
        <c:scaling>
          <c:orientation val="minMax"/>
        </c:scaling>
        <c:axPos val="b"/>
        <c:numFmt formatCode="0%" sourceLinked="1"/>
        <c:tickLblPos val="nextTo"/>
        <c:crossAx val="94100864"/>
        <c:crosses val="autoZero"/>
        <c:auto val="1"/>
        <c:lblAlgn val="ctr"/>
        <c:lblOffset val="100"/>
      </c:catAx>
      <c:valAx>
        <c:axId val="94100864"/>
        <c:scaling>
          <c:orientation val="minMax"/>
        </c:scaling>
        <c:axPos val="l"/>
        <c:majorGridlines/>
        <c:numFmt formatCode="0.00%" sourceLinked="1"/>
        <c:tickLblPos val="nextTo"/>
        <c:crossAx val="939932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Compounding/Discounting Factors </a:t>
            </a:r>
          </a:p>
        </c:rich>
      </c:tx>
      <c:layout>
        <c:manualLayout>
          <c:xMode val="edge"/>
          <c:yMode val="edge"/>
          <c:x val="0.20560810214692296"/>
          <c:y val="2.136761054191099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8068590794729594"/>
          <c:y val="0.14102622957661248"/>
          <c:w val="0.73832000316395063"/>
          <c:h val="0.70940466999144458"/>
        </c:manualLayout>
      </c:layout>
      <c:scatterChart>
        <c:scatterStyle val="lineMarker"/>
        <c:ser>
          <c:idx val="0"/>
          <c:order val="0"/>
          <c:tx>
            <c:strRef>
              <c:f>'Data Table'!$C$17</c:f>
              <c:strCache>
                <c:ptCount val="1"/>
                <c:pt idx="0">
                  <c:v>compound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Table'!$B$19:$B$28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'Data Table'!$C$19:$C$28</c:f>
              <c:numCache>
                <c:formatCode>0.000</c:formatCode>
                <c:ptCount val="10"/>
                <c:pt idx="0">
                  <c:v>1.0408107741923882</c:v>
                </c:pt>
                <c:pt idx="1">
                  <c:v>1.0832870676749586</c:v>
                </c:pt>
                <c:pt idx="2">
                  <c:v>1.1274968515793757</c:v>
                </c:pt>
                <c:pt idx="3">
                  <c:v>1.1735108709918103</c:v>
                </c:pt>
                <c:pt idx="4">
                  <c:v>1.2214027581601699</c:v>
                </c:pt>
                <c:pt idx="5">
                  <c:v>1.2712491503214047</c:v>
                </c:pt>
                <c:pt idx="6">
                  <c:v>1.3231298123374369</c:v>
                </c:pt>
                <c:pt idx="7">
                  <c:v>1.3771277643359572</c:v>
                </c:pt>
                <c:pt idx="8">
                  <c:v>1.4333294145603401</c:v>
                </c:pt>
                <c:pt idx="9">
                  <c:v>1.4918246976412703</c:v>
                </c:pt>
              </c:numCache>
            </c:numRef>
          </c:yVal>
        </c:ser>
        <c:ser>
          <c:idx val="1"/>
          <c:order val="1"/>
          <c:tx>
            <c:strRef>
              <c:f>'Data Table'!$D$17</c:f>
              <c:strCache>
                <c:ptCount val="1"/>
                <c:pt idx="0">
                  <c:v>discount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'Data Table'!$B$19:$B$28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'Data Table'!$D$19:$D$28</c:f>
              <c:numCache>
                <c:formatCode>0.000</c:formatCode>
                <c:ptCount val="10"/>
                <c:pt idx="0">
                  <c:v>0.96078943915232318</c:v>
                </c:pt>
                <c:pt idx="1">
                  <c:v>0.92311634638663576</c:v>
                </c:pt>
                <c:pt idx="2">
                  <c:v>0.88692043671715748</c:v>
                </c:pt>
                <c:pt idx="3">
                  <c:v>0.85214378896621135</c:v>
                </c:pt>
                <c:pt idx="4">
                  <c:v>0.81873075307798182</c:v>
                </c:pt>
                <c:pt idx="5">
                  <c:v>0.78662786106655347</c:v>
                </c:pt>
                <c:pt idx="6">
                  <c:v>0.75578374145572547</c:v>
                </c:pt>
                <c:pt idx="7">
                  <c:v>0.72614903707369094</c:v>
                </c:pt>
                <c:pt idx="8">
                  <c:v>0.69767632607103103</c:v>
                </c:pt>
                <c:pt idx="9">
                  <c:v>0.67032004603563933</c:v>
                </c:pt>
              </c:numCache>
            </c:numRef>
          </c:yVal>
        </c:ser>
        <c:axId val="70906624"/>
        <c:axId val="70908544"/>
      </c:scatterChart>
      <c:valAx>
        <c:axId val="709066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 years</a:t>
                </a:r>
              </a:p>
            </c:rich>
          </c:tx>
          <c:layout>
            <c:manualLayout>
              <c:xMode val="edge"/>
              <c:yMode val="edge"/>
              <c:x val="0.73832000316395063"/>
              <c:y val="0.726498758424973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08544"/>
        <c:crossesAt val="0"/>
        <c:crossBetween val="midCat"/>
        <c:majorUnit val="1"/>
      </c:valAx>
      <c:valAx>
        <c:axId val="70908544"/>
        <c:scaling>
          <c:orientation val="minMax"/>
          <c:max val="2"/>
          <c:min val="0"/>
        </c:scaling>
        <c:axPos val="l"/>
        <c:numFmt formatCode="0.00" sourceLinked="0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06624"/>
        <c:crosses val="autoZero"/>
        <c:crossBetween val="midCat"/>
        <c:majorUnit val="0.25"/>
        <c:minorUnit val="0.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2429974779664322"/>
          <c:y val="0.65384888258247675"/>
          <c:w val="0.37383291299440552"/>
          <c:h val="0.16239384011852345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22" r="0.75000000000000022" t="1" header="0.5" footer="0.5"/>
    <c:pageSetup paperSize="9"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Discount factors, differing rates</a:t>
            </a:r>
          </a:p>
        </c:rich>
      </c:tx>
      <c:layout>
        <c:manualLayout>
          <c:xMode val="edge"/>
          <c:yMode val="edge"/>
          <c:x val="0.28099249147859495"/>
          <c:y val="3.030315841094432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294796226100384"/>
          <c:y val="0.2121221088766102"/>
          <c:w val="0.84022264608795538"/>
          <c:h val="0.56710196454767214"/>
        </c:manualLayout>
      </c:layout>
      <c:scatterChart>
        <c:scatterStyle val="lineMarker"/>
        <c:ser>
          <c:idx val="0"/>
          <c:order val="0"/>
          <c:tx>
            <c:strRef>
              <c:f>'Data Table'!$C$32</c:f>
              <c:strCache>
                <c:ptCount val="1"/>
                <c:pt idx="0">
                  <c:v>3.0%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'Data Table'!$B$33:$B$42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'Data Table'!$C$33:$C$42</c:f>
              <c:numCache>
                <c:formatCode>0.000</c:formatCode>
                <c:ptCount val="10"/>
                <c:pt idx="0">
                  <c:v>0.97044553354850815</c:v>
                </c:pt>
                <c:pt idx="1">
                  <c:v>0.94176453358424872</c:v>
                </c:pt>
                <c:pt idx="2">
                  <c:v>0.91393118527122819</c:v>
                </c:pt>
                <c:pt idx="3">
                  <c:v>0.88692043671715748</c:v>
                </c:pt>
                <c:pt idx="4">
                  <c:v>0.86070797642505781</c:v>
                </c:pt>
                <c:pt idx="5">
                  <c:v>0.835270211411272</c:v>
                </c:pt>
                <c:pt idx="6">
                  <c:v>0.81058424597018708</c:v>
                </c:pt>
                <c:pt idx="7">
                  <c:v>0.78662786106655347</c:v>
                </c:pt>
                <c:pt idx="8">
                  <c:v>0.76337949433685315</c:v>
                </c:pt>
                <c:pt idx="9">
                  <c:v>0.74081822068171788</c:v>
                </c:pt>
              </c:numCache>
            </c:numRef>
          </c:yVal>
        </c:ser>
        <c:ser>
          <c:idx val="1"/>
          <c:order val="1"/>
          <c:tx>
            <c:strRef>
              <c:f>'Data Table'!$D$32</c:f>
              <c:strCache>
                <c:ptCount val="1"/>
                <c:pt idx="0">
                  <c:v>3.5%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'Data Table'!$B$33:$B$42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'Data Table'!$D$33:$D$42</c:f>
              <c:numCache>
                <c:formatCode>0.000</c:formatCode>
                <c:ptCount val="10"/>
                <c:pt idx="0">
                  <c:v>0.96560541625756646</c:v>
                </c:pt>
                <c:pt idx="1">
                  <c:v>0.93239381990594827</c:v>
                </c:pt>
                <c:pt idx="2">
                  <c:v>0.90032452258626561</c:v>
                </c:pt>
                <c:pt idx="3">
                  <c:v>0.86935823539880586</c:v>
                </c:pt>
                <c:pt idx="4">
                  <c:v>0.83945702076920736</c:v>
                </c:pt>
                <c:pt idx="5">
                  <c:v>0.81058424597018708</c:v>
                </c:pt>
                <c:pt idx="6">
                  <c:v>0.78270453824186814</c:v>
                </c:pt>
                <c:pt idx="7">
                  <c:v>0.75578374145572547</c:v>
                </c:pt>
                <c:pt idx="8">
                  <c:v>0.72978887426905681</c:v>
                </c:pt>
                <c:pt idx="9">
                  <c:v>0.70468808971871344</c:v>
                </c:pt>
              </c:numCache>
            </c:numRef>
          </c:yVal>
        </c:ser>
        <c:ser>
          <c:idx val="2"/>
          <c:order val="2"/>
          <c:tx>
            <c:strRef>
              <c:f>'Data Table'!$E$32</c:f>
              <c:strCache>
                <c:ptCount val="1"/>
                <c:pt idx="0">
                  <c:v>4.0%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'Data Table'!$B$33:$B$42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'Data Table'!$E$33:$E$42</c:f>
              <c:numCache>
                <c:formatCode>0.000</c:formatCode>
                <c:ptCount val="10"/>
                <c:pt idx="0">
                  <c:v>0.96078943915232318</c:v>
                </c:pt>
                <c:pt idx="1">
                  <c:v>0.92311634638663576</c:v>
                </c:pt>
                <c:pt idx="2">
                  <c:v>0.88692043671715748</c:v>
                </c:pt>
                <c:pt idx="3">
                  <c:v>0.85214378896621135</c:v>
                </c:pt>
                <c:pt idx="4">
                  <c:v>0.81873075307798182</c:v>
                </c:pt>
                <c:pt idx="5">
                  <c:v>0.78662786106655347</c:v>
                </c:pt>
                <c:pt idx="6">
                  <c:v>0.75578374145572547</c:v>
                </c:pt>
                <c:pt idx="7">
                  <c:v>0.72614903707369094</c:v>
                </c:pt>
                <c:pt idx="8">
                  <c:v>0.69767632607103103</c:v>
                </c:pt>
                <c:pt idx="9">
                  <c:v>0.67032004603563933</c:v>
                </c:pt>
              </c:numCache>
            </c:numRef>
          </c:yVal>
        </c:ser>
        <c:ser>
          <c:idx val="3"/>
          <c:order val="3"/>
          <c:tx>
            <c:strRef>
              <c:f>'Data Table'!$F$32</c:f>
              <c:strCache>
                <c:ptCount val="1"/>
                <c:pt idx="0">
                  <c:v>5.0%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'Data Table'!$B$33:$B$42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'Data Table'!$F$33:$F$42</c:f>
              <c:numCache>
                <c:formatCode>0.000</c:formatCode>
                <c:ptCount val="10"/>
                <c:pt idx="0">
                  <c:v>0.95122942450071402</c:v>
                </c:pt>
                <c:pt idx="1">
                  <c:v>0.90483741803595952</c:v>
                </c:pt>
                <c:pt idx="2">
                  <c:v>0.86070797642505781</c:v>
                </c:pt>
                <c:pt idx="3">
                  <c:v>0.81873075307798182</c:v>
                </c:pt>
                <c:pt idx="4">
                  <c:v>0.77880078307140488</c:v>
                </c:pt>
                <c:pt idx="5">
                  <c:v>0.74081822068171788</c:v>
                </c:pt>
                <c:pt idx="6">
                  <c:v>0.70468808971871344</c:v>
                </c:pt>
                <c:pt idx="7">
                  <c:v>0.67032004603563933</c:v>
                </c:pt>
                <c:pt idx="8">
                  <c:v>0.63762815162177333</c:v>
                </c:pt>
                <c:pt idx="9">
                  <c:v>0.60653065971263342</c:v>
                </c:pt>
              </c:numCache>
            </c:numRef>
          </c:yVal>
        </c:ser>
        <c:ser>
          <c:idx val="4"/>
          <c:order val="4"/>
          <c:tx>
            <c:strRef>
              <c:f>'Data Table'!$G$32</c:f>
              <c:strCache>
                <c:ptCount val="1"/>
                <c:pt idx="0">
                  <c:v>5.5%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'Data Table'!$B$33:$B$42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'Data Table'!$G$33:$G$42</c:f>
              <c:numCache>
                <c:formatCode>0.000</c:formatCode>
                <c:ptCount val="10"/>
                <c:pt idx="0">
                  <c:v>0.94648514795348382</c:v>
                </c:pt>
                <c:pt idx="1">
                  <c:v>0.89583413529652822</c:v>
                </c:pt>
                <c:pt idx="2">
                  <c:v>0.84789370408791587</c:v>
                </c:pt>
                <c:pt idx="3">
                  <c:v>0.80251879796247849</c:v>
                </c:pt>
                <c:pt idx="4">
                  <c:v>0.75957212322496848</c:v>
                </c:pt>
                <c:pt idx="5">
                  <c:v>0.71892373343192617</c:v>
                </c:pt>
                <c:pt idx="6">
                  <c:v>0.68045063620458768</c:v>
                </c:pt>
                <c:pt idx="7">
                  <c:v>0.64403642108314141</c:v>
                </c:pt>
                <c:pt idx="8">
                  <c:v>0.60957090729630925</c:v>
                </c:pt>
                <c:pt idx="9">
                  <c:v>0.57694981038048665</c:v>
                </c:pt>
              </c:numCache>
            </c:numRef>
          </c:yVal>
        </c:ser>
        <c:ser>
          <c:idx val="5"/>
          <c:order val="5"/>
          <c:tx>
            <c:strRef>
              <c:f>'Data Table'!$H$32</c:f>
              <c:strCache>
                <c:ptCount val="1"/>
                <c:pt idx="0">
                  <c:v>6.0%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'Data Table'!$B$33:$B$42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'Data Table'!$H$33:$H$42</c:f>
              <c:numCache>
                <c:formatCode>0.000</c:formatCode>
                <c:ptCount val="10"/>
                <c:pt idx="0">
                  <c:v>0.94176453358424872</c:v>
                </c:pt>
                <c:pt idx="1">
                  <c:v>0.88692043671715748</c:v>
                </c:pt>
                <c:pt idx="2">
                  <c:v>0.835270211411272</c:v>
                </c:pt>
                <c:pt idx="3">
                  <c:v>0.78662786106655347</c:v>
                </c:pt>
                <c:pt idx="4">
                  <c:v>0.74081822068171788</c:v>
                </c:pt>
                <c:pt idx="5">
                  <c:v>0.69767632607103103</c:v>
                </c:pt>
                <c:pt idx="6">
                  <c:v>0.65704681981505675</c:v>
                </c:pt>
                <c:pt idx="7">
                  <c:v>0.61878339180614084</c:v>
                </c:pt>
                <c:pt idx="8">
                  <c:v>0.58274825237398964</c:v>
                </c:pt>
                <c:pt idx="9">
                  <c:v>0.54881163609402639</c:v>
                </c:pt>
              </c:numCache>
            </c:numRef>
          </c:yVal>
        </c:ser>
        <c:axId val="71112576"/>
        <c:axId val="71119232"/>
      </c:scatterChart>
      <c:valAx>
        <c:axId val="711125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 yrs</a:t>
                </a:r>
              </a:p>
            </c:rich>
          </c:tx>
          <c:layout>
            <c:manualLayout>
              <c:xMode val="edge"/>
              <c:yMode val="edge"/>
              <c:x val="0.84297747443578508"/>
              <c:y val="0.74459189238320345"/>
            </c:manualLayout>
          </c:layout>
          <c:spPr>
            <a:noFill/>
            <a:ln w="25400">
              <a:noFill/>
            </a:ln>
          </c:spPr>
        </c:title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119232"/>
        <c:crossesAt val="0.5"/>
        <c:crossBetween val="midCat"/>
        <c:majorUnit val="1"/>
      </c:valAx>
      <c:valAx>
        <c:axId val="71119232"/>
        <c:scaling>
          <c:orientation val="minMax"/>
          <c:max val="1"/>
          <c:min val="0.5"/>
        </c:scaling>
        <c:axPos val="l"/>
        <c:numFmt formatCode="0.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112576"/>
        <c:crosses val="autoZero"/>
        <c:crossBetween val="midCat"/>
        <c:majorUnit val="0.25"/>
        <c:minorUnit val="0.0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906384260890854"/>
          <c:y val="0.39394105934227613"/>
          <c:w val="0.15702521582627374"/>
          <c:h val="0.3852830140820063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6.7415730337078705E-2"/>
          <c:y val="9.9236826165960079E-2"/>
          <c:w val="0.86797752808988782"/>
          <c:h val="0.72900899221916804"/>
        </c:manualLayout>
      </c:layout>
      <c:scatterChart>
        <c:scatterStyle val="lineMarker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Solver!$I$14:$I$54</c:f>
              <c:numCache>
                <c:formatCode>General</c:formatCode>
                <c:ptCount val="41"/>
                <c:pt idx="0">
                  <c:v>-1</c:v>
                </c:pt>
                <c:pt idx="1">
                  <c:v>-0.85</c:v>
                </c:pt>
                <c:pt idx="2">
                  <c:v>-0.7</c:v>
                </c:pt>
                <c:pt idx="3">
                  <c:v>-0.55000000000000004</c:v>
                </c:pt>
                <c:pt idx="4">
                  <c:v>-0.4</c:v>
                </c:pt>
                <c:pt idx="5">
                  <c:v>-0.25</c:v>
                </c:pt>
                <c:pt idx="6">
                  <c:v>-9.9999999999999922E-2</c:v>
                </c:pt>
                <c:pt idx="7">
                  <c:v>5.0000000000000072E-2</c:v>
                </c:pt>
                <c:pt idx="8">
                  <c:v>0.2</c:v>
                </c:pt>
                <c:pt idx="9">
                  <c:v>0.35</c:v>
                </c:pt>
                <c:pt idx="10">
                  <c:v>0.5</c:v>
                </c:pt>
                <c:pt idx="11">
                  <c:v>0.65</c:v>
                </c:pt>
                <c:pt idx="12">
                  <c:v>0.8</c:v>
                </c:pt>
                <c:pt idx="13">
                  <c:v>0.95</c:v>
                </c:pt>
                <c:pt idx="14">
                  <c:v>1.1000000000000001</c:v>
                </c:pt>
                <c:pt idx="15">
                  <c:v>1.25</c:v>
                </c:pt>
                <c:pt idx="16">
                  <c:v>1.4</c:v>
                </c:pt>
                <c:pt idx="17">
                  <c:v>1.55</c:v>
                </c:pt>
                <c:pt idx="18">
                  <c:v>1.7</c:v>
                </c:pt>
                <c:pt idx="19">
                  <c:v>1.85</c:v>
                </c:pt>
                <c:pt idx="20">
                  <c:v>2</c:v>
                </c:pt>
                <c:pt idx="21">
                  <c:v>2.15</c:v>
                </c:pt>
                <c:pt idx="22">
                  <c:v>2.2999999999999998</c:v>
                </c:pt>
                <c:pt idx="23">
                  <c:v>2.4500000000000002</c:v>
                </c:pt>
                <c:pt idx="24">
                  <c:v>2.6</c:v>
                </c:pt>
                <c:pt idx="25">
                  <c:v>2.75</c:v>
                </c:pt>
                <c:pt idx="26">
                  <c:v>2.9</c:v>
                </c:pt>
                <c:pt idx="27">
                  <c:v>3.05</c:v>
                </c:pt>
                <c:pt idx="28">
                  <c:v>3.2</c:v>
                </c:pt>
                <c:pt idx="29">
                  <c:v>3.35</c:v>
                </c:pt>
                <c:pt idx="30">
                  <c:v>3.5</c:v>
                </c:pt>
                <c:pt idx="31">
                  <c:v>3.65</c:v>
                </c:pt>
                <c:pt idx="32">
                  <c:v>3.8</c:v>
                </c:pt>
                <c:pt idx="33">
                  <c:v>3.95</c:v>
                </c:pt>
                <c:pt idx="34">
                  <c:v>4.0999999999999996</c:v>
                </c:pt>
                <c:pt idx="35">
                  <c:v>4.25</c:v>
                </c:pt>
                <c:pt idx="36">
                  <c:v>4.4000000000000004</c:v>
                </c:pt>
                <c:pt idx="37">
                  <c:v>4.55</c:v>
                </c:pt>
                <c:pt idx="38">
                  <c:v>4.7</c:v>
                </c:pt>
                <c:pt idx="39">
                  <c:v>4.8499999999999996</c:v>
                </c:pt>
                <c:pt idx="40">
                  <c:v>5</c:v>
                </c:pt>
              </c:numCache>
            </c:numRef>
          </c:xVal>
          <c:yVal>
            <c:numRef>
              <c:f>Solver!$J$14:$J$54</c:f>
              <c:numCache>
                <c:formatCode>General</c:formatCode>
                <c:ptCount val="41"/>
                <c:pt idx="0">
                  <c:v>4</c:v>
                </c:pt>
                <c:pt idx="1">
                  <c:v>3.5724999999999998</c:v>
                </c:pt>
                <c:pt idx="2">
                  <c:v>3.19</c:v>
                </c:pt>
                <c:pt idx="3">
                  <c:v>2.8525</c:v>
                </c:pt>
                <c:pt idx="4">
                  <c:v>2.56</c:v>
                </c:pt>
                <c:pt idx="5">
                  <c:v>2.3125</c:v>
                </c:pt>
                <c:pt idx="6">
                  <c:v>2.11</c:v>
                </c:pt>
                <c:pt idx="7">
                  <c:v>1.9524999999999999</c:v>
                </c:pt>
                <c:pt idx="8">
                  <c:v>1.84</c:v>
                </c:pt>
                <c:pt idx="9">
                  <c:v>1.7725</c:v>
                </c:pt>
                <c:pt idx="10">
                  <c:v>1.75</c:v>
                </c:pt>
                <c:pt idx="11">
                  <c:v>1.7725</c:v>
                </c:pt>
                <c:pt idx="12">
                  <c:v>1.84</c:v>
                </c:pt>
                <c:pt idx="13">
                  <c:v>1.9524999999999999</c:v>
                </c:pt>
                <c:pt idx="14">
                  <c:v>2.11</c:v>
                </c:pt>
                <c:pt idx="15">
                  <c:v>2.3125</c:v>
                </c:pt>
                <c:pt idx="16">
                  <c:v>2.56</c:v>
                </c:pt>
                <c:pt idx="17">
                  <c:v>2.8525</c:v>
                </c:pt>
                <c:pt idx="18">
                  <c:v>3.19</c:v>
                </c:pt>
                <c:pt idx="19">
                  <c:v>3.5724999999999998</c:v>
                </c:pt>
                <c:pt idx="20">
                  <c:v>4</c:v>
                </c:pt>
                <c:pt idx="21">
                  <c:v>4.4725000000000001</c:v>
                </c:pt>
                <c:pt idx="22">
                  <c:v>4.99</c:v>
                </c:pt>
                <c:pt idx="23">
                  <c:v>5.5525000000000002</c:v>
                </c:pt>
                <c:pt idx="24">
                  <c:v>6.16</c:v>
                </c:pt>
                <c:pt idx="25">
                  <c:v>6.8125</c:v>
                </c:pt>
                <c:pt idx="26">
                  <c:v>7.51</c:v>
                </c:pt>
                <c:pt idx="27">
                  <c:v>8.2524999999999942</c:v>
                </c:pt>
                <c:pt idx="28">
                  <c:v>9.0399999999999938</c:v>
                </c:pt>
                <c:pt idx="29">
                  <c:v>9.8724999999999916</c:v>
                </c:pt>
                <c:pt idx="30">
                  <c:v>10.75</c:v>
                </c:pt>
                <c:pt idx="31">
                  <c:v>11.672499999999999</c:v>
                </c:pt>
                <c:pt idx="32">
                  <c:v>12.64</c:v>
                </c:pt>
                <c:pt idx="33">
                  <c:v>13.6525</c:v>
                </c:pt>
                <c:pt idx="34">
                  <c:v>14.71</c:v>
                </c:pt>
                <c:pt idx="35">
                  <c:v>15.8125</c:v>
                </c:pt>
                <c:pt idx="36">
                  <c:v>16.96</c:v>
                </c:pt>
                <c:pt idx="37">
                  <c:v>18.1525</c:v>
                </c:pt>
                <c:pt idx="38">
                  <c:v>19.39</c:v>
                </c:pt>
                <c:pt idx="39">
                  <c:v>20.672499999999999</c:v>
                </c:pt>
                <c:pt idx="40">
                  <c:v>22</c:v>
                </c:pt>
              </c:numCache>
            </c:numRef>
          </c:yVal>
        </c:ser>
        <c:axId val="70193152"/>
        <c:axId val="70195840"/>
      </c:scatterChart>
      <c:valAx>
        <c:axId val="70193152"/>
        <c:scaling>
          <c:orientation val="minMax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70195840"/>
        <c:crosses val="autoZero"/>
        <c:crossBetween val="midCat"/>
      </c:valAx>
      <c:valAx>
        <c:axId val="70195840"/>
        <c:scaling>
          <c:orientation val="minMax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en-US"/>
          </a:p>
        </c:txPr>
        <c:crossAx val="701931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362694300518142"/>
          <c:y val="8.8967971530249199E-2"/>
          <c:w val="0.86010362694300535"/>
          <c:h val="0.71886120996441283"/>
        </c:manualLayout>
      </c:layout>
      <c:lineChart>
        <c:grouping val="standard"/>
        <c:ser>
          <c:idx val="1"/>
          <c:order val="0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'Normal Variates'!$E$27:$E$39</c:f>
              <c:numCache>
                <c:formatCode>0.00</c:formatCode>
                <c:ptCount val="13"/>
                <c:pt idx="0">
                  <c:v>-3</c:v>
                </c:pt>
                <c:pt idx="1">
                  <c:v>-2.5</c:v>
                </c:pt>
                <c:pt idx="2">
                  <c:v>-2</c:v>
                </c:pt>
                <c:pt idx="3">
                  <c:v>-1.5</c:v>
                </c:pt>
                <c:pt idx="4">
                  <c:v>-1</c:v>
                </c:pt>
                <c:pt idx="5">
                  <c:v>-0.5</c:v>
                </c:pt>
                <c:pt idx="6">
                  <c:v>0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2.5</c:v>
                </c:pt>
                <c:pt idx="12">
                  <c:v>3</c:v>
                </c:pt>
              </c:numCache>
            </c:numRef>
          </c:cat>
          <c:val>
            <c:numRef>
              <c:f>'Normal Variates'!$F$27:$F$39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ropLines>
          <c:spPr>
            <a:ln w="3175">
              <a:solidFill>
                <a:srgbClr val="FF00FF"/>
              </a:solidFill>
              <a:prstDash val="solid"/>
            </a:ln>
          </c:spPr>
        </c:dropLines>
        <c:marker val="1"/>
        <c:axId val="70225280"/>
        <c:axId val="71562368"/>
      </c:lineChart>
      <c:catAx>
        <c:axId val="70225280"/>
        <c:scaling>
          <c:orientation val="minMax"/>
        </c:scaling>
        <c:axPos val="b"/>
        <c:numFmt formatCode="0.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562368"/>
        <c:crosses val="autoZero"/>
        <c:auto val="1"/>
        <c:lblAlgn val="ctr"/>
        <c:lblOffset val="100"/>
        <c:tickLblSkip val="1"/>
        <c:tickMarkSkip val="1"/>
      </c:catAx>
      <c:valAx>
        <c:axId val="7156236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2252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val>
            <c:numRef>
              <c:f>'Monte Carlo'!$C$29:$C$129</c:f>
              <c:numCache>
                <c:formatCode>General</c:formatCode>
                <c:ptCount val="101"/>
                <c:pt idx="0">
                  <c:v>100</c:v>
                </c:pt>
                <c:pt idx="1">
                  <c:v>97.577806208256064</c:v>
                </c:pt>
                <c:pt idx="2">
                  <c:v>96.378732594456821</c:v>
                </c:pt>
                <c:pt idx="3">
                  <c:v>97.552179378451839</c:v>
                </c:pt>
                <c:pt idx="4">
                  <c:v>98.015833135276353</c:v>
                </c:pt>
                <c:pt idx="5">
                  <c:v>97.059374563123086</c:v>
                </c:pt>
                <c:pt idx="6">
                  <c:v>95.216744594418174</c:v>
                </c:pt>
                <c:pt idx="7">
                  <c:v>95.114076687596054</c:v>
                </c:pt>
                <c:pt idx="8">
                  <c:v>95.588894498255684</c:v>
                </c:pt>
                <c:pt idx="9">
                  <c:v>94.149427480370491</c:v>
                </c:pt>
                <c:pt idx="10">
                  <c:v>94.042082810931248</c:v>
                </c:pt>
                <c:pt idx="11">
                  <c:v>92.971958288973568</c:v>
                </c:pt>
                <c:pt idx="12">
                  <c:v>92.336807723953584</c:v>
                </c:pt>
                <c:pt idx="13">
                  <c:v>94.542345771200203</c:v>
                </c:pt>
                <c:pt idx="14">
                  <c:v>92.211653439116915</c:v>
                </c:pt>
                <c:pt idx="15">
                  <c:v>91.674412267124296</c:v>
                </c:pt>
                <c:pt idx="16">
                  <c:v>89.475892307406752</c:v>
                </c:pt>
                <c:pt idx="17">
                  <c:v>88.255165982337871</c:v>
                </c:pt>
                <c:pt idx="18">
                  <c:v>90.403276170048642</c:v>
                </c:pt>
                <c:pt idx="19">
                  <c:v>92.73561996037634</c:v>
                </c:pt>
                <c:pt idx="20">
                  <c:v>93.83863860088077</c:v>
                </c:pt>
                <c:pt idx="21">
                  <c:v>94.798290431459222</c:v>
                </c:pt>
                <c:pt idx="22">
                  <c:v>94.283795013267053</c:v>
                </c:pt>
                <c:pt idx="23">
                  <c:v>95.829492354902797</c:v>
                </c:pt>
                <c:pt idx="24">
                  <c:v>96.420610145705794</c:v>
                </c:pt>
                <c:pt idx="25">
                  <c:v>96.462438762154591</c:v>
                </c:pt>
                <c:pt idx="26">
                  <c:v>96.925151534594065</c:v>
                </c:pt>
                <c:pt idx="27">
                  <c:v>95.089105161804937</c:v>
                </c:pt>
                <c:pt idx="28">
                  <c:v>95.461030998364052</c:v>
                </c:pt>
                <c:pt idx="29">
                  <c:v>97.063888030448737</c:v>
                </c:pt>
                <c:pt idx="30">
                  <c:v>98.176078758277043</c:v>
                </c:pt>
                <c:pt idx="31">
                  <c:v>99.156921044257757</c:v>
                </c:pt>
                <c:pt idx="32">
                  <c:v>97.483279694100531</c:v>
                </c:pt>
                <c:pt idx="33">
                  <c:v>96.178239082894976</c:v>
                </c:pt>
                <c:pt idx="34">
                  <c:v>94.003109626062923</c:v>
                </c:pt>
                <c:pt idx="35">
                  <c:v>94.518152245819124</c:v>
                </c:pt>
                <c:pt idx="36">
                  <c:v>96.454926081732637</c:v>
                </c:pt>
                <c:pt idx="37">
                  <c:v>94.345604500089735</c:v>
                </c:pt>
                <c:pt idx="38">
                  <c:v>95.471331137641315</c:v>
                </c:pt>
                <c:pt idx="39">
                  <c:v>94.454601425358277</c:v>
                </c:pt>
                <c:pt idx="40">
                  <c:v>95.444154713277186</c:v>
                </c:pt>
                <c:pt idx="41">
                  <c:v>95.986410356644484</c:v>
                </c:pt>
                <c:pt idx="42">
                  <c:v>95.742362504714421</c:v>
                </c:pt>
                <c:pt idx="43">
                  <c:v>96.595240269716157</c:v>
                </c:pt>
                <c:pt idx="44">
                  <c:v>97.608166636885102</c:v>
                </c:pt>
                <c:pt idx="45">
                  <c:v>98.744269765788204</c:v>
                </c:pt>
                <c:pt idx="46">
                  <c:v>97.512967656598406</c:v>
                </c:pt>
                <c:pt idx="47">
                  <c:v>99.740065937667552</c:v>
                </c:pt>
                <c:pt idx="48">
                  <c:v>97.684767611824014</c:v>
                </c:pt>
                <c:pt idx="49">
                  <c:v>98.701196749286296</c:v>
                </c:pt>
                <c:pt idx="50">
                  <c:v>98.424404416698593</c:v>
                </c:pt>
                <c:pt idx="51">
                  <c:v>96.792217952026689</c:v>
                </c:pt>
                <c:pt idx="52">
                  <c:v>98.053332428702461</c:v>
                </c:pt>
                <c:pt idx="53">
                  <c:v>98.065341297984261</c:v>
                </c:pt>
                <c:pt idx="54">
                  <c:v>93.957875050256163</c:v>
                </c:pt>
                <c:pt idx="55">
                  <c:v>90.355602690669784</c:v>
                </c:pt>
                <c:pt idx="56">
                  <c:v>91.789625565348089</c:v>
                </c:pt>
                <c:pt idx="57">
                  <c:v>91.819314272177706</c:v>
                </c:pt>
                <c:pt idx="58">
                  <c:v>91.706757854139255</c:v>
                </c:pt>
                <c:pt idx="59">
                  <c:v>93.147752137213089</c:v>
                </c:pt>
                <c:pt idx="60">
                  <c:v>93.274469927394875</c:v>
                </c:pt>
                <c:pt idx="61">
                  <c:v>93.900893067057098</c:v>
                </c:pt>
                <c:pt idx="62">
                  <c:v>90.470199003111844</c:v>
                </c:pt>
                <c:pt idx="63">
                  <c:v>87.852709534321761</c:v>
                </c:pt>
                <c:pt idx="64">
                  <c:v>89.176124565065109</c:v>
                </c:pt>
                <c:pt idx="65">
                  <c:v>90.161160930368084</c:v>
                </c:pt>
                <c:pt idx="66">
                  <c:v>89.069757109763628</c:v>
                </c:pt>
                <c:pt idx="67">
                  <c:v>88.870817555173076</c:v>
                </c:pt>
                <c:pt idx="68">
                  <c:v>92.698330004981699</c:v>
                </c:pt>
                <c:pt idx="69">
                  <c:v>91.644409968646698</c:v>
                </c:pt>
                <c:pt idx="70">
                  <c:v>90.024254247201171</c:v>
                </c:pt>
                <c:pt idx="71">
                  <c:v>88.686583871161957</c:v>
                </c:pt>
                <c:pt idx="72">
                  <c:v>90.100631704561195</c:v>
                </c:pt>
                <c:pt idx="73">
                  <c:v>90.286399128039989</c:v>
                </c:pt>
                <c:pt idx="74">
                  <c:v>91.825429380851205</c:v>
                </c:pt>
                <c:pt idx="75">
                  <c:v>89.979919792345171</c:v>
                </c:pt>
                <c:pt idx="76">
                  <c:v>91.020879792109028</c:v>
                </c:pt>
                <c:pt idx="77">
                  <c:v>90.298414317684561</c:v>
                </c:pt>
                <c:pt idx="78">
                  <c:v>90.52318900472099</c:v>
                </c:pt>
                <c:pt idx="79">
                  <c:v>90.015695777432811</c:v>
                </c:pt>
                <c:pt idx="80">
                  <c:v>90.594383331833754</c:v>
                </c:pt>
                <c:pt idx="81">
                  <c:v>91.523939335352964</c:v>
                </c:pt>
                <c:pt idx="82">
                  <c:v>92.352017721067455</c:v>
                </c:pt>
                <c:pt idx="83">
                  <c:v>93.035079605001656</c:v>
                </c:pt>
                <c:pt idx="84">
                  <c:v>93.847942397117066</c:v>
                </c:pt>
                <c:pt idx="85">
                  <c:v>93.956005235290903</c:v>
                </c:pt>
                <c:pt idx="86">
                  <c:v>92.327831287636386</c:v>
                </c:pt>
                <c:pt idx="87">
                  <c:v>92.525056925698195</c:v>
                </c:pt>
                <c:pt idx="88">
                  <c:v>96.31183452566367</c:v>
                </c:pt>
                <c:pt idx="89">
                  <c:v>96.484392850259397</c:v>
                </c:pt>
                <c:pt idx="90">
                  <c:v>95.831209069435204</c:v>
                </c:pt>
                <c:pt idx="91">
                  <c:v>96.276536894105277</c:v>
                </c:pt>
                <c:pt idx="92">
                  <c:v>93.838514205400514</c:v>
                </c:pt>
                <c:pt idx="93">
                  <c:v>94.544697235076541</c:v>
                </c:pt>
                <c:pt idx="94">
                  <c:v>94.78202022488172</c:v>
                </c:pt>
                <c:pt idx="95">
                  <c:v>92.173608480044649</c:v>
                </c:pt>
                <c:pt idx="96">
                  <c:v>90.979714430405849</c:v>
                </c:pt>
                <c:pt idx="97">
                  <c:v>90.700509981270585</c:v>
                </c:pt>
                <c:pt idx="98">
                  <c:v>91.682773798937006</c:v>
                </c:pt>
                <c:pt idx="99">
                  <c:v>94.571184736023966</c:v>
                </c:pt>
                <c:pt idx="100">
                  <c:v>94.676006368600099</c:v>
                </c:pt>
              </c:numCache>
            </c:numRef>
          </c:val>
        </c:ser>
        <c:marker val="1"/>
        <c:axId val="149270528"/>
        <c:axId val="149272064"/>
      </c:lineChart>
      <c:catAx>
        <c:axId val="149270528"/>
        <c:scaling>
          <c:orientation val="minMax"/>
        </c:scaling>
        <c:axPos val="b"/>
        <c:tickLblPos val="nextTo"/>
        <c:crossAx val="149272064"/>
        <c:crosses val="autoZero"/>
        <c:auto val="1"/>
        <c:lblAlgn val="ctr"/>
        <c:lblOffset val="100"/>
      </c:catAx>
      <c:valAx>
        <c:axId val="149272064"/>
        <c:scaling>
          <c:orientation val="minMax"/>
        </c:scaling>
        <c:axPos val="l"/>
        <c:majorGridlines/>
        <c:numFmt formatCode="General" sourceLinked="1"/>
        <c:tickLblPos val="nextTo"/>
        <c:crossAx val="1492705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v>Call</c:v>
          </c:tx>
          <c:cat>
            <c:numRef>
              <c:f>BS!$B$35:$B$44</c:f>
              <c:numCache>
                <c:formatCode>0%</c:formatCode>
                <c:ptCount val="10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</c:numCache>
            </c:numRef>
          </c:cat>
          <c:val>
            <c:numRef>
              <c:f>BS!$C$35:$C$44</c:f>
              <c:numCache>
                <c:formatCode>General</c:formatCode>
                <c:ptCount val="10"/>
                <c:pt idx="0">
                  <c:v>21.567564868181321</c:v>
                </c:pt>
                <c:pt idx="1">
                  <c:v>21.589525582626067</c:v>
                </c:pt>
                <c:pt idx="2">
                  <c:v>21.861264040578234</c:v>
                </c:pt>
                <c:pt idx="3">
                  <c:v>22.52735067434773</c:v>
                </c:pt>
                <c:pt idx="4">
                  <c:v>23.502271495244266</c:v>
                </c:pt>
                <c:pt idx="5">
                  <c:v>24.68322857350956</c:v>
                </c:pt>
                <c:pt idx="6">
                  <c:v>25.999144774107691</c:v>
                </c:pt>
                <c:pt idx="7">
                  <c:v>27.404504282953887</c:v>
                </c:pt>
                <c:pt idx="8">
                  <c:v>28.86986590701094</c:v>
                </c:pt>
                <c:pt idx="9">
                  <c:v>30.375574324549035</c:v>
                </c:pt>
              </c:numCache>
            </c:numRef>
          </c:val>
        </c:ser>
        <c:ser>
          <c:idx val="1"/>
          <c:order val="1"/>
          <c:tx>
            <c:v>Put</c:v>
          </c:tx>
          <c:cat>
            <c:numRef>
              <c:f>BS!$B$35:$B$44</c:f>
              <c:numCache>
                <c:formatCode>0%</c:formatCode>
                <c:ptCount val="10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</c:numCache>
            </c:numRef>
          </c:cat>
          <c:val>
            <c:numRef>
              <c:f>BS!$D$35:$D$44</c:f>
              <c:numCache>
                <c:formatCode>0.0000</c:formatCode>
                <c:ptCount val="10"/>
                <c:pt idx="0">
                  <c:v>4.9575313479896554E-7</c:v>
                </c:pt>
                <c:pt idx="1">
                  <c:v>2.1961210197877556E-2</c:v>
                </c:pt>
                <c:pt idx="2">
                  <c:v>0.29369966815004034</c:v>
                </c:pt>
                <c:pt idx="3">
                  <c:v>0.95978630191953584</c:v>
                </c:pt>
                <c:pt idx="4">
                  <c:v>1.9347071228160768</c:v>
                </c:pt>
                <c:pt idx="5">
                  <c:v>3.1156642010813584</c:v>
                </c:pt>
                <c:pt idx="6">
                  <c:v>4.4315804016794935</c:v>
                </c:pt>
                <c:pt idx="7">
                  <c:v>5.8369399105257038</c:v>
                </c:pt>
                <c:pt idx="8">
                  <c:v>7.3023015345827496</c:v>
                </c:pt>
                <c:pt idx="9">
                  <c:v>8.8080099521208481</c:v>
                </c:pt>
              </c:numCache>
            </c:numRef>
          </c:val>
        </c:ser>
        <c:marker val="1"/>
        <c:axId val="71772800"/>
        <c:axId val="72811648"/>
      </c:lineChart>
      <c:catAx>
        <c:axId val="71772800"/>
        <c:scaling>
          <c:orientation val="minMax"/>
        </c:scaling>
        <c:axPos val="b"/>
        <c:numFmt formatCode="0%" sourceLinked="1"/>
        <c:tickLblPos val="nextTo"/>
        <c:crossAx val="72811648"/>
        <c:crosses val="autoZero"/>
        <c:auto val="1"/>
        <c:lblAlgn val="ctr"/>
        <c:lblOffset val="100"/>
      </c:catAx>
      <c:valAx>
        <c:axId val="72811648"/>
        <c:scaling>
          <c:orientation val="minMax"/>
        </c:scaling>
        <c:axPos val="l"/>
        <c:majorGridlines/>
        <c:numFmt formatCode="General" sourceLinked="1"/>
        <c:tickLblPos val="nextTo"/>
        <c:crossAx val="717728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41</xdr:row>
      <xdr:rowOff>142875</xdr:rowOff>
    </xdr:from>
    <xdr:to>
      <xdr:col>8</xdr:col>
      <xdr:colOff>28575</xdr:colOff>
      <xdr:row>53</xdr:row>
      <xdr:rowOff>47625</xdr:rowOff>
    </xdr:to>
    <xdr:graphicFrame macro="">
      <xdr:nvGraphicFramePr>
        <xdr:cNvPr id="1945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485775</xdr:colOff>
      <xdr:row>54</xdr:row>
      <xdr:rowOff>104775</xdr:rowOff>
    </xdr:from>
    <xdr:to>
      <xdr:col>8</xdr:col>
      <xdr:colOff>47625</xdr:colOff>
      <xdr:row>66</xdr:row>
      <xdr:rowOff>19050</xdr:rowOff>
    </xdr:to>
    <xdr:graphicFrame macro="">
      <xdr:nvGraphicFramePr>
        <xdr:cNvPr id="1946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</xdr:row>
      <xdr:rowOff>152400</xdr:rowOff>
    </xdr:from>
    <xdr:to>
      <xdr:col>3</xdr:col>
      <xdr:colOff>419100</xdr:colOff>
      <xdr:row>27</xdr:row>
      <xdr:rowOff>9525</xdr:rowOff>
    </xdr:to>
    <xdr:graphicFrame macro="">
      <xdr:nvGraphicFramePr>
        <xdr:cNvPr id="2048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17</xdr:row>
      <xdr:rowOff>0</xdr:rowOff>
    </xdr:from>
    <xdr:to>
      <xdr:col>8</xdr:col>
      <xdr:colOff>419100</xdr:colOff>
      <xdr:row>27</xdr:row>
      <xdr:rowOff>28575</xdr:rowOff>
    </xdr:to>
    <xdr:graphicFrame macro="">
      <xdr:nvGraphicFramePr>
        <xdr:cNvPr id="2048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17</xdr:row>
      <xdr:rowOff>0</xdr:rowOff>
    </xdr:from>
    <xdr:to>
      <xdr:col>13</xdr:col>
      <xdr:colOff>428625</xdr:colOff>
      <xdr:row>27</xdr:row>
      <xdr:rowOff>38100</xdr:rowOff>
    </xdr:to>
    <xdr:graphicFrame macro="">
      <xdr:nvGraphicFramePr>
        <xdr:cNvPr id="2048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22</xdr:row>
      <xdr:rowOff>123825</xdr:rowOff>
    </xdr:from>
    <xdr:to>
      <xdr:col>13</xdr:col>
      <xdr:colOff>485775</xdr:colOff>
      <xdr:row>39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14</xdr:row>
      <xdr:rowOff>104775</xdr:rowOff>
    </xdr:from>
    <xdr:to>
      <xdr:col>10</xdr:col>
      <xdr:colOff>38100</xdr:colOff>
      <xdr:row>28</xdr:row>
      <xdr:rowOff>47625</xdr:rowOff>
    </xdr:to>
    <xdr:graphicFrame macro="">
      <xdr:nvGraphicFramePr>
        <xdr:cNvPr id="1331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29</xdr:row>
      <xdr:rowOff>9525</xdr:rowOff>
    </xdr:from>
    <xdr:to>
      <xdr:col>13</xdr:col>
      <xdr:colOff>428625</xdr:colOff>
      <xdr:row>42</xdr:row>
      <xdr:rowOff>85725</xdr:rowOff>
    </xdr:to>
    <xdr:graphicFrame macro="">
      <xdr:nvGraphicFramePr>
        <xdr:cNvPr id="1331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390525</xdr:colOff>
      <xdr:row>12</xdr:row>
      <xdr:rowOff>28575</xdr:rowOff>
    </xdr:from>
    <xdr:to>
      <xdr:col>7</xdr:col>
      <xdr:colOff>9525</xdr:colOff>
      <xdr:row>25</xdr:row>
      <xdr:rowOff>19050</xdr:rowOff>
    </xdr:to>
    <xdr:graphicFrame macro="">
      <xdr:nvGraphicFramePr>
        <xdr:cNvPr id="3072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971550</xdr:colOff>
      <xdr:row>28</xdr:row>
      <xdr:rowOff>0</xdr:rowOff>
    </xdr:from>
    <xdr:to>
      <xdr:col>6</xdr:col>
      <xdr:colOff>685800</xdr:colOff>
      <xdr:row>40</xdr:row>
      <xdr:rowOff>133350</xdr:rowOff>
    </xdr:to>
    <xdr:pic>
      <xdr:nvPicPr>
        <xdr:cNvPr id="30725" name="Picture 5" descr="Solver Parameter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71550" y="4772025"/>
          <a:ext cx="4314825" cy="2419350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95250</xdr:colOff>
      <xdr:row>4</xdr:row>
      <xdr:rowOff>57150</xdr:rowOff>
    </xdr:from>
    <xdr:to>
      <xdr:col>11</xdr:col>
      <xdr:colOff>142875</xdr:colOff>
      <xdr:row>15</xdr:row>
      <xdr:rowOff>123825</xdr:rowOff>
    </xdr:to>
    <xdr:grpSp>
      <xdr:nvGrpSpPr>
        <xdr:cNvPr id="28677" name="Group 5"/>
        <xdr:cNvGrpSpPr>
          <a:grpSpLocks noChangeAspect="1"/>
        </xdr:cNvGrpSpPr>
      </xdr:nvGrpSpPr>
      <xdr:grpSpPr bwMode="auto">
        <a:xfrm>
          <a:off x="5124450" y="962025"/>
          <a:ext cx="1876425" cy="1924050"/>
          <a:chOff x="3658" y="2352"/>
          <a:chExt cx="1478" cy="1509"/>
        </a:xfrm>
      </xdr:grpSpPr>
      <xdr:sp macro="" textlink="">
        <xdr:nvSpPr>
          <xdr:cNvPr id="28678" name="Line 6"/>
          <xdr:cNvSpPr>
            <a:spLocks noChangeAspect="1" noChangeShapeType="1"/>
          </xdr:cNvSpPr>
        </xdr:nvSpPr>
        <xdr:spPr bwMode="auto">
          <a:xfrm flipV="1">
            <a:off x="3840" y="2400"/>
            <a:ext cx="0" cy="124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ffectLst/>
        </xdr:spPr>
      </xdr:sp>
      <xdr:sp macro="" textlink="">
        <xdr:nvSpPr>
          <xdr:cNvPr id="28679" name="Line 7"/>
          <xdr:cNvSpPr>
            <a:spLocks noChangeAspect="1" noChangeShapeType="1"/>
          </xdr:cNvSpPr>
        </xdr:nvSpPr>
        <xdr:spPr bwMode="auto">
          <a:xfrm>
            <a:off x="3840" y="3648"/>
            <a:ext cx="129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ffectLst/>
        </xdr:spPr>
      </xdr:sp>
      <xdr:sp macro="" textlink="">
        <xdr:nvSpPr>
          <xdr:cNvPr id="28680" name="Line 8"/>
          <xdr:cNvSpPr>
            <a:spLocks noChangeAspect="1" noChangeShapeType="1"/>
          </xdr:cNvSpPr>
        </xdr:nvSpPr>
        <xdr:spPr bwMode="auto">
          <a:xfrm rot="5400000">
            <a:off x="4248" y="2904"/>
            <a:ext cx="0" cy="81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</xdr:spPr>
      </xdr:sp>
      <xdr:sp macro="" textlink="">
        <xdr:nvSpPr>
          <xdr:cNvPr id="28681" name="Line 9"/>
          <xdr:cNvSpPr>
            <a:spLocks noChangeAspect="1" noChangeShapeType="1"/>
          </xdr:cNvSpPr>
        </xdr:nvSpPr>
        <xdr:spPr bwMode="auto">
          <a:xfrm>
            <a:off x="4656" y="3312"/>
            <a:ext cx="0" cy="33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</xdr:spPr>
      </xdr:sp>
      <xdr:sp macro="" textlink="">
        <xdr:nvSpPr>
          <xdr:cNvPr id="28682" name="Freeform 10"/>
          <xdr:cNvSpPr>
            <a:spLocks noChangeAspect="1"/>
          </xdr:cNvSpPr>
        </xdr:nvSpPr>
        <xdr:spPr bwMode="auto">
          <a:xfrm>
            <a:off x="3840" y="2496"/>
            <a:ext cx="768" cy="1152"/>
          </a:xfrm>
          <a:custGeom>
            <a:avLst/>
            <a:gdLst/>
            <a:ahLst/>
            <a:cxnLst>
              <a:cxn ang="0">
                <a:pos x="0" y="1152"/>
              </a:cxn>
              <a:cxn ang="0">
                <a:pos x="480" y="864"/>
              </a:cxn>
              <a:cxn ang="0">
                <a:pos x="768" y="0"/>
              </a:cxn>
            </a:cxnLst>
            <a:rect l="0" t="0" r="r" b="b"/>
            <a:pathLst>
              <a:path w="768" h="1152">
                <a:moveTo>
                  <a:pt x="0" y="1152"/>
                </a:moveTo>
                <a:cubicBezTo>
                  <a:pt x="176" y="1104"/>
                  <a:pt x="352" y="1056"/>
                  <a:pt x="480" y="864"/>
                </a:cubicBezTo>
                <a:cubicBezTo>
                  <a:pt x="608" y="672"/>
                  <a:pt x="688" y="336"/>
                  <a:pt x="768" y="0"/>
                </a:cubicBezTo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ffectLst/>
        </xdr:spPr>
      </xdr:sp>
      <xdr:sp macro="" textlink="">
        <xdr:nvSpPr>
          <xdr:cNvPr id="28684" name="Line 12"/>
          <xdr:cNvSpPr>
            <a:spLocks noChangeAspect="1" noChangeShapeType="1"/>
          </xdr:cNvSpPr>
        </xdr:nvSpPr>
        <xdr:spPr bwMode="auto">
          <a:xfrm>
            <a:off x="3840" y="3024"/>
            <a:ext cx="624" cy="0"/>
          </a:xfrm>
          <a:prstGeom prst="line">
            <a:avLst/>
          </a:prstGeom>
          <a:noFill/>
          <a:ln w="9525">
            <a:solidFill>
              <a:srgbClr val="000000"/>
            </a:solidFill>
            <a:prstDash val="sysDot"/>
            <a:round/>
            <a:headEnd/>
            <a:tailEnd/>
          </a:ln>
          <a:effectLst/>
        </xdr:spPr>
      </xdr:sp>
      <xdr:sp macro="" textlink="">
        <xdr:nvSpPr>
          <xdr:cNvPr id="28685" name="Line 13"/>
          <xdr:cNvSpPr>
            <a:spLocks noChangeAspect="1" noChangeShapeType="1"/>
          </xdr:cNvSpPr>
        </xdr:nvSpPr>
        <xdr:spPr bwMode="auto">
          <a:xfrm>
            <a:off x="4464" y="3024"/>
            <a:ext cx="0" cy="624"/>
          </a:xfrm>
          <a:prstGeom prst="line">
            <a:avLst/>
          </a:prstGeom>
          <a:noFill/>
          <a:ln w="9525">
            <a:solidFill>
              <a:srgbClr val="000000"/>
            </a:solidFill>
            <a:prstDash val="sysDot"/>
            <a:round/>
            <a:headEnd/>
            <a:tailEnd/>
          </a:ln>
          <a:effectLst/>
        </xdr:spPr>
      </xdr:sp>
    </xdr:grpSp>
    <xdr:clientData/>
  </xdr:twoCellAnchor>
  <xdr:twoCellAnchor>
    <xdr:from>
      <xdr:col>7</xdr:col>
      <xdr:colOff>0</xdr:colOff>
      <xdr:row>25</xdr:row>
      <xdr:rowOff>0</xdr:rowOff>
    </xdr:from>
    <xdr:to>
      <xdr:col>13</xdr:col>
      <xdr:colOff>19050</xdr:colOff>
      <xdr:row>41</xdr:row>
      <xdr:rowOff>85725</xdr:rowOff>
    </xdr:to>
    <xdr:graphicFrame macro="">
      <xdr:nvGraphicFramePr>
        <xdr:cNvPr id="28688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419100</xdr:colOff>
      <xdr:row>27</xdr:row>
      <xdr:rowOff>38100</xdr:rowOff>
    </xdr:from>
    <xdr:to>
      <xdr:col>10</xdr:col>
      <xdr:colOff>304800</xdr:colOff>
      <xdr:row>41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533400</xdr:colOff>
      <xdr:row>32</xdr:row>
      <xdr:rowOff>9525</xdr:rowOff>
    </xdr:from>
    <xdr:to>
      <xdr:col>10</xdr:col>
      <xdr:colOff>638175</xdr:colOff>
      <xdr:row>46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CD%20Shum\My%20Documents\financial%20computing\course\WorkshopFinancialSpreadsheet\OtherSpreadSheets\AdvancedModelinginFinance\AMFExcel_an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OtherSpreadSheets/AdvancedModelinginFinance/AMFExcel_an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CD%20Shum\My%20Documents\financial%20computing\course\WorkshopFinancialSpreadsheet\excel_intro_ans_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requency"/>
      <sheetName val="SNorm"/>
      <sheetName val="Lookup"/>
      <sheetName val="Bonds"/>
      <sheetName val="CompoundDTab"/>
      <sheetName val="BSDTab"/>
      <sheetName val="Beta"/>
      <sheetName val="MatDef"/>
      <sheetName val="MatExs"/>
    </sheetNames>
    <sheetDataSet>
      <sheetData sheetId="0"/>
      <sheetData sheetId="1"/>
      <sheetData sheetId="2">
        <row r="5">
          <cell r="F5">
            <v>0</v>
          </cell>
          <cell r="G5">
            <v>0.08</v>
          </cell>
        </row>
        <row r="6">
          <cell r="F6">
            <v>10000</v>
          </cell>
          <cell r="G6">
            <v>0.105</v>
          </cell>
        </row>
        <row r="7">
          <cell r="F7">
            <v>20000</v>
          </cell>
          <cell r="G7">
            <v>0.12</v>
          </cell>
        </row>
      </sheetData>
      <sheetData sheetId="3"/>
      <sheetData sheetId="4"/>
      <sheetData sheetId="5"/>
      <sheetData sheetId="6"/>
      <sheetData sheetId="7">
        <row r="17">
          <cell r="I17">
            <v>-0.17547568710359404</v>
          </cell>
          <cell r="J17">
            <v>-1.4799154334038065E-2</v>
          </cell>
          <cell r="K17">
            <v>7.1881606765327732E-2</v>
          </cell>
        </row>
        <row r="18">
          <cell r="I18">
            <v>-6.4129668780831553E-2</v>
          </cell>
          <cell r="J18">
            <v>7.8928823114869609E-2</v>
          </cell>
          <cell r="K18">
            <v>-5.0035236081747696E-2</v>
          </cell>
        </row>
        <row r="19">
          <cell r="I19">
            <v>8.5976039464411541E-2</v>
          </cell>
          <cell r="J19">
            <v>-2.8893587033121906E-2</v>
          </cell>
          <cell r="K19">
            <v>4.5102184637068346E-2</v>
          </cell>
        </row>
        <row r="21">
          <cell r="C21">
            <v>20</v>
          </cell>
        </row>
        <row r="22">
          <cell r="C22">
            <v>-5</v>
          </cell>
        </row>
        <row r="23">
          <cell r="C23">
            <v>0</v>
          </cell>
        </row>
      </sheetData>
      <sheetData sheetId="8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Frequency"/>
      <sheetName val="SNorm"/>
      <sheetName val="Lookup"/>
      <sheetName val="Bonds"/>
      <sheetName val="CompoundDTab"/>
      <sheetName val="BSDTab"/>
      <sheetName val="Beta"/>
      <sheetName val="MatDef"/>
      <sheetName val="MatExs"/>
    </sheetNames>
    <sheetDataSet>
      <sheetData sheetId="0"/>
      <sheetData sheetId="1"/>
      <sheetData sheetId="2">
        <row r="5">
          <cell r="F5">
            <v>0</v>
          </cell>
          <cell r="G5">
            <v>0.08</v>
          </cell>
        </row>
        <row r="6">
          <cell r="F6">
            <v>10000</v>
          </cell>
          <cell r="G6">
            <v>0.105</v>
          </cell>
        </row>
        <row r="7">
          <cell r="F7">
            <v>20000</v>
          </cell>
          <cell r="G7">
            <v>0.12</v>
          </cell>
        </row>
      </sheetData>
      <sheetData sheetId="3"/>
      <sheetData sheetId="4"/>
      <sheetData sheetId="5"/>
      <sheetData sheetId="6"/>
      <sheetData sheetId="7">
        <row r="17">
          <cell r="I17">
            <v>-0.17547568710359404</v>
          </cell>
          <cell r="J17">
            <v>-1.4799154334038065E-2</v>
          </cell>
          <cell r="K17">
            <v>7.1881606765327732E-2</v>
          </cell>
        </row>
        <row r="18">
          <cell r="I18">
            <v>-6.4129668780831553E-2</v>
          </cell>
          <cell r="J18">
            <v>7.8928823114869609E-2</v>
          </cell>
          <cell r="K18">
            <v>-5.0035236081747696E-2</v>
          </cell>
        </row>
        <row r="19">
          <cell r="I19">
            <v>8.5976039464411541E-2</v>
          </cell>
          <cell r="J19">
            <v>-2.8893587033121906E-2</v>
          </cell>
          <cell r="K19">
            <v>4.5102184637068346E-2</v>
          </cell>
        </row>
        <row r="21">
          <cell r="C21">
            <v>20</v>
          </cell>
        </row>
        <row r="22">
          <cell r="C22">
            <v>-5</v>
          </cell>
        </row>
        <row r="23">
          <cell r="C23">
            <v>0</v>
          </cell>
        </row>
      </sheetData>
      <sheetData sheetId="8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.m"/>
      <sheetName val="Table of Contents"/>
      <sheetName val="Very Basics"/>
      <sheetName val="Navigating"/>
      <sheetName val="Copy &amp; Paste"/>
      <sheetName val="Formatting cells"/>
      <sheetName val="Formula"/>
      <sheetName val="Build-In Functions"/>
      <sheetName val="Build-In Functions (Time Value)"/>
      <sheetName val="Build-In Functions (Stat)"/>
      <sheetName val="Rand"/>
      <sheetName val="Security (Covar)"/>
      <sheetName val="Security (Price Model)"/>
      <sheetName val="Regression"/>
      <sheetName val="Data Table"/>
      <sheetName val="Pivot Table"/>
      <sheetName val="Customizing views"/>
      <sheetName val="Other Goodies"/>
      <sheetName val="Function Keys"/>
      <sheetName val="Normal Variates"/>
      <sheetName val="Monte Carlo"/>
      <sheetName val="BS"/>
      <sheetName val="excel_intro_ans_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shum\course\Computational%20Tools%20and%20Technologies%20for%20Financial%20Application\sample%20spreadsheets\2\datatable+pivot.xls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 " refreshedDate="39344.713436226855" createdVersion="1" refreshedVersion="1" recordCount="12" upgradeOnRefresh="1">
  <cacheSource type="worksheet">
    <worksheetSource ref="A1:G13" sheet="Pivot" r:id="rId2"/>
  </cacheSource>
  <cacheFields count="7">
    <cacheField name="Month" numFmtId="0">
      <sharedItems count="2">
        <s v="Jan"/>
        <s v="Feb"/>
      </sharedItems>
    </cacheField>
    <cacheField name="Year" numFmtId="0">
      <sharedItems containsSemiMixedTypes="0" containsString="0" containsNumber="1" containsInteger="1" minValue="2007" maxValue="2007" count="1">
        <n v="2007"/>
      </sharedItems>
    </cacheField>
    <cacheField name="Type" numFmtId="0">
      <sharedItems count="4">
        <s v="Diary"/>
        <s v="Beverage"/>
        <s v="Produce"/>
        <s v="Meat"/>
      </sharedItems>
    </cacheField>
    <cacheField name="Salesperson" numFmtId="0">
      <sharedItems count="4">
        <s v="Dodsworth"/>
        <s v="Davolio"/>
        <s v="Buchanan"/>
        <s v="Suyama"/>
      </sharedItems>
    </cacheField>
    <cacheField name="Sales" numFmtId="0">
      <sharedItems containsSemiMixedTypes="0" containsString="0" containsNumber="1" containsInteger="1" minValue="1328" maxValue="9662" count="12">
        <n v="2628"/>
        <n v="8725"/>
        <n v="6715"/>
        <n v="4356"/>
        <n v="9662"/>
        <n v="1328"/>
        <n v="3571"/>
        <n v="6758"/>
        <n v="4953"/>
        <n v="4923"/>
        <n v="2666"/>
        <n v="1450"/>
      </sharedItems>
    </cacheField>
    <cacheField name="Units" numFmtId="0">
      <sharedItems containsSemiMixedTypes="0" containsString="0" containsNumber="1" containsInteger="1" minValue="124" maxValue="7817" count="12">
        <n v="5611"/>
        <n v="6890"/>
        <n v="2652"/>
        <n v="5636"/>
        <n v="3400"/>
        <n v="2861"/>
        <n v="5178"/>
        <n v="7817"/>
        <n v="5889"/>
        <n v="124"/>
        <n v="744"/>
        <n v="234"/>
      </sharedItems>
    </cacheField>
    <cacheField name="Region" numFmtId="0">
      <sharedItems count="4">
        <s v="West"/>
        <s v="North"/>
        <s v="South"/>
        <s v="East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x v="0"/>
    <x v="0"/>
    <x v="0"/>
    <x v="0"/>
    <x v="0"/>
    <x v="0"/>
  </r>
  <r>
    <x v="0"/>
    <x v="0"/>
    <x v="1"/>
    <x v="1"/>
    <x v="1"/>
    <x v="1"/>
    <x v="1"/>
  </r>
  <r>
    <x v="0"/>
    <x v="0"/>
    <x v="2"/>
    <x v="2"/>
    <x v="2"/>
    <x v="2"/>
    <x v="2"/>
  </r>
  <r>
    <x v="0"/>
    <x v="0"/>
    <x v="0"/>
    <x v="3"/>
    <x v="3"/>
    <x v="3"/>
    <x v="3"/>
  </r>
  <r>
    <x v="0"/>
    <x v="0"/>
    <x v="3"/>
    <x v="3"/>
    <x v="4"/>
    <x v="4"/>
    <x v="1"/>
  </r>
  <r>
    <x v="0"/>
    <x v="0"/>
    <x v="2"/>
    <x v="1"/>
    <x v="5"/>
    <x v="5"/>
    <x v="0"/>
  </r>
  <r>
    <x v="1"/>
    <x v="0"/>
    <x v="1"/>
    <x v="2"/>
    <x v="6"/>
    <x v="6"/>
    <x v="2"/>
  </r>
  <r>
    <x v="1"/>
    <x v="0"/>
    <x v="0"/>
    <x v="0"/>
    <x v="7"/>
    <x v="7"/>
    <x v="2"/>
  </r>
  <r>
    <x v="1"/>
    <x v="0"/>
    <x v="1"/>
    <x v="2"/>
    <x v="8"/>
    <x v="8"/>
    <x v="0"/>
  </r>
  <r>
    <x v="1"/>
    <x v="0"/>
    <x v="3"/>
    <x v="1"/>
    <x v="9"/>
    <x v="9"/>
    <x v="2"/>
  </r>
  <r>
    <x v="1"/>
    <x v="0"/>
    <x v="3"/>
    <x v="3"/>
    <x v="10"/>
    <x v="10"/>
    <x v="0"/>
  </r>
  <r>
    <x v="1"/>
    <x v="0"/>
    <x v="2"/>
    <x v="2"/>
    <x v="11"/>
    <x v="1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1" asteriskTotals="1" showMemberPropertyTips="0" useAutoFormatting="1" itemPrintTitles="1" createdVersion="1" indent="0" compact="0" compactData="0" gridDropZones="1">
  <location ref="A21:F27" firstHeaderRow="1" firstDataRow="2" firstDataCol="1"/>
  <pivotFields count="7"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5">
        <item x="1"/>
        <item x="0"/>
        <item x="3"/>
        <item x="2"/>
        <item t="default"/>
      </items>
    </pivotField>
    <pivotField compact="0" outline="0" subtotalTop="0" showAll="0" includeNewItemsInFilter="1">
      <items count="5">
        <item x="2"/>
        <item x="1"/>
        <item x="0"/>
        <item x="3"/>
        <item t="default"/>
      </items>
    </pivotField>
    <pivotField dataField="1"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5">
        <item x="3"/>
        <item x="1"/>
        <item x="2"/>
        <item x="0"/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Sales" fld="4" baseField="0" baseItem="0"/>
  </dataFields>
  <formats count="1">
    <format dxfId="5">
      <pivotArea type="all" dataOnly="0" outline="0" fieldPosition="0"/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oleObject" Target="../embeddings/oleObject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4" Type="http://schemas.openxmlformats.org/officeDocument/2006/relationships/oleObject" Target="../embeddings/oleObject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3" Type="http://schemas.openxmlformats.org/officeDocument/2006/relationships/vmlDrawing" Target="../drawings/vmlDrawing14.vml"/><Relationship Id="rId7" Type="http://schemas.openxmlformats.org/officeDocument/2006/relationships/oleObject" Target="../embeddings/oleObject6.bin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Relationship Id="rId6" Type="http://schemas.openxmlformats.org/officeDocument/2006/relationships/oleObject" Target="../embeddings/oleObject5.bin"/><Relationship Id="rId5" Type="http://schemas.openxmlformats.org/officeDocument/2006/relationships/oleObject" Target="../embeddings/oleObject4.bin"/><Relationship Id="rId4" Type="http://schemas.openxmlformats.org/officeDocument/2006/relationships/oleObject" Target="../embeddings/oleObject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Relationship Id="rId4" Type="http://schemas.openxmlformats.org/officeDocument/2006/relationships/oleObject" Target="../embeddings/oleObject8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oleObject" Target="../embeddings/oleObject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84"/>
  <sheetViews>
    <sheetView showGridLines="0" workbookViewId="0">
      <selection activeCell="B5" sqref="B5"/>
    </sheetView>
  </sheetViews>
  <sheetFormatPr defaultRowHeight="12.75"/>
  <cols>
    <col min="1" max="1" width="3.7109375" customWidth="1"/>
    <col min="2" max="2" width="64.85546875" customWidth="1"/>
    <col min="3" max="3" width="3.42578125" customWidth="1"/>
  </cols>
  <sheetData>
    <row r="1" spans="1:3" ht="21" customHeight="1">
      <c r="A1" s="300"/>
      <c r="B1" s="300"/>
      <c r="C1" s="300"/>
    </row>
    <row r="2" spans="1:3" ht="42" customHeight="1">
      <c r="A2" s="116"/>
      <c r="B2" s="53" t="s">
        <v>61</v>
      </c>
      <c r="C2" s="116"/>
    </row>
    <row r="3" spans="1:3" ht="39" customHeight="1">
      <c r="A3" s="116"/>
      <c r="B3" s="301" t="s">
        <v>15</v>
      </c>
      <c r="C3" s="116"/>
    </row>
    <row r="4" spans="1:3" ht="31.5" customHeight="1">
      <c r="A4" s="116"/>
      <c r="B4" s="57" t="s">
        <v>103</v>
      </c>
      <c r="C4" s="116"/>
    </row>
    <row r="5" spans="1:3" ht="31.5" customHeight="1">
      <c r="A5" s="116"/>
      <c r="B5" s="57" t="s">
        <v>64</v>
      </c>
      <c r="C5" s="116"/>
    </row>
    <row r="6" spans="1:3" ht="31.5" customHeight="1">
      <c r="A6" s="116"/>
      <c r="B6" s="57" t="s">
        <v>97</v>
      </c>
      <c r="C6" s="116"/>
    </row>
    <row r="7" spans="1:3" ht="31.5" customHeight="1">
      <c r="A7" s="116"/>
      <c r="B7" s="57" t="s">
        <v>135</v>
      </c>
      <c r="C7" s="116"/>
    </row>
    <row r="8" spans="1:3" ht="31.5" customHeight="1">
      <c r="A8" s="116"/>
      <c r="B8" s="57" t="s">
        <v>193</v>
      </c>
      <c r="C8" s="116"/>
    </row>
    <row r="9" spans="1:3" ht="31.5" customHeight="1">
      <c r="A9" s="116"/>
      <c r="B9" s="57" t="s">
        <v>264</v>
      </c>
      <c r="C9" s="116"/>
    </row>
    <row r="10" spans="1:3" ht="31.5" customHeight="1">
      <c r="A10" s="116"/>
      <c r="B10" s="57" t="s">
        <v>357</v>
      </c>
      <c r="C10" s="116"/>
    </row>
    <row r="11" spans="1:3" ht="31.5" customHeight="1">
      <c r="A11" s="116"/>
      <c r="B11" s="57" t="s">
        <v>14</v>
      </c>
      <c r="C11" s="116"/>
    </row>
    <row r="12" spans="1:3" ht="31.5" customHeight="1">
      <c r="A12" s="116"/>
      <c r="B12" s="57" t="s">
        <v>425</v>
      </c>
      <c r="C12" s="116"/>
    </row>
    <row r="13" spans="1:3" ht="31.5" customHeight="1">
      <c r="A13" s="116"/>
      <c r="B13" s="57" t="s">
        <v>445</v>
      </c>
      <c r="C13" s="116"/>
    </row>
    <row r="14" spans="1:3" ht="31.5" customHeight="1">
      <c r="A14" s="116"/>
      <c r="B14" s="57" t="s">
        <v>482</v>
      </c>
      <c r="C14" s="116"/>
    </row>
    <row r="15" spans="1:3" ht="31.5" customHeight="1">
      <c r="A15" s="116"/>
      <c r="B15" s="57" t="s">
        <v>494</v>
      </c>
      <c r="C15" s="116"/>
    </row>
    <row r="16" spans="1:3" ht="31.5" customHeight="1">
      <c r="A16" s="116"/>
      <c r="B16" s="58"/>
      <c r="C16" s="116"/>
    </row>
    <row r="17" spans="1:3" ht="19.5" customHeight="1">
      <c r="A17" s="116"/>
      <c r="B17" s="116"/>
      <c r="C17" s="116"/>
    </row>
    <row r="18" spans="1:3" ht="31.5" customHeight="1">
      <c r="B18" s="2"/>
    </row>
    <row r="19" spans="1:3">
      <c r="B19" s="2" t="s">
        <v>508</v>
      </c>
    </row>
    <row r="20" spans="1:3">
      <c r="B20" s="2" t="s">
        <v>509</v>
      </c>
    </row>
    <row r="21" spans="1:3">
      <c r="B21" s="2" t="s">
        <v>510</v>
      </c>
    </row>
    <row r="22" spans="1:3" ht="31.5" customHeight="1">
      <c r="B22" s="2"/>
    </row>
    <row r="23" spans="1:3" ht="31.5" customHeight="1">
      <c r="B23" s="2"/>
    </row>
    <row r="24" spans="1:3" ht="31.5" customHeight="1">
      <c r="B24" s="2"/>
    </row>
    <row r="25" spans="1:3">
      <c r="B25" s="2"/>
    </row>
    <row r="26" spans="1:3">
      <c r="B26" s="2"/>
    </row>
    <row r="27" spans="1:3">
      <c r="B27" s="2"/>
    </row>
    <row r="28" spans="1:3">
      <c r="B28" s="2"/>
    </row>
    <row r="29" spans="1:3">
      <c r="B29" s="2"/>
    </row>
    <row r="30" spans="1:3">
      <c r="B30" s="2"/>
    </row>
    <row r="31" spans="1:3">
      <c r="B31" s="2"/>
    </row>
    <row r="32" spans="1:3">
      <c r="B32" s="2"/>
    </row>
    <row r="33" spans="2:2">
      <c r="B33" s="2"/>
    </row>
    <row r="34" spans="2:2">
      <c r="B34" s="2"/>
    </row>
    <row r="35" spans="2:2">
      <c r="B35" s="2"/>
    </row>
    <row r="36" spans="2:2">
      <c r="B36" s="2"/>
    </row>
    <row r="37" spans="2:2">
      <c r="B37" s="2"/>
    </row>
    <row r="38" spans="2:2">
      <c r="B38" s="2"/>
    </row>
    <row r="39" spans="2:2">
      <c r="B39" s="2"/>
    </row>
    <row r="40" spans="2:2">
      <c r="B40" s="2"/>
    </row>
    <row r="41" spans="2:2">
      <c r="B41" s="2"/>
    </row>
    <row r="42" spans="2:2">
      <c r="B42" s="2"/>
    </row>
    <row r="43" spans="2:2">
      <c r="B43" s="2"/>
    </row>
    <row r="44" spans="2:2">
      <c r="B44" s="2"/>
    </row>
    <row r="45" spans="2:2">
      <c r="B45" s="2"/>
    </row>
    <row r="46" spans="2:2">
      <c r="B46" s="2"/>
    </row>
    <row r="47" spans="2:2">
      <c r="B47" s="2"/>
    </row>
    <row r="48" spans="2: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</sheetData>
  <phoneticPr fontId="20" type="noConversion"/>
  <hyperlinks>
    <hyperlink ref="B4" location="'Very Basics'!A1" display="The Very Basics"/>
    <hyperlink ref="B5" location="Navigating!A1" display="Navigating"/>
    <hyperlink ref="B6" location="'Copy &amp; Paste'!A1" display="Copy &amp; Paste"/>
    <hyperlink ref="B7" location="'Formatting cells'!A1" display="Formatting cells"/>
    <hyperlink ref="B8" location="Formula!A1" display="Formula"/>
    <hyperlink ref="B9" location="'Build-In Functions'!A1" display="Build-In Functions"/>
    <hyperlink ref="B10" location="'Build-In Functions (Time Value)'!A1" display="Build-In Functions (Time Value)"/>
    <hyperlink ref="B11" location="'Build-In Functions (Stat)'!A1" display="Build-In Functions (Statistics)"/>
    <hyperlink ref="B12" location="'Data Table'!A1" display="Data Table"/>
    <hyperlink ref="B13" location="'Pivot Table'!A1" display="Pivot Table"/>
    <hyperlink ref="B14" location="Misc!A1" display="Misc"/>
    <hyperlink ref="B15" location="Solver!A1" display="Solver"/>
  </hyperlinks>
  <pageMargins left="0.75" right="0.75" top="1" bottom="1" header="0.5" footer="0.5"/>
  <pageSetup paperSize="9" orientation="portrait" horizontalDpi="4294967295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H51"/>
  <sheetViews>
    <sheetView showGridLines="0" workbookViewId="0">
      <selection activeCell="A36" sqref="A36"/>
    </sheetView>
  </sheetViews>
  <sheetFormatPr defaultRowHeight="12.75"/>
  <cols>
    <col min="1" max="1" width="116.85546875" customWidth="1"/>
  </cols>
  <sheetData>
    <row r="1" spans="1:1" ht="27.75">
      <c r="A1" s="56" t="s">
        <v>103</v>
      </c>
    </row>
    <row r="4" spans="1:1" ht="15.75">
      <c r="A4" s="107" t="s">
        <v>62</v>
      </c>
    </row>
    <row r="5" spans="1:1" s="108" customFormat="1" ht="15">
      <c r="A5" s="54" t="s">
        <v>63</v>
      </c>
    </row>
    <row r="6" spans="1:1" s="108" customFormat="1" ht="15">
      <c r="A6" s="55" t="s">
        <v>525</v>
      </c>
    </row>
    <row r="10" spans="1:1" ht="15.75">
      <c r="A10" s="107" t="s">
        <v>16</v>
      </c>
    </row>
    <row r="11" spans="1:1" ht="15">
      <c r="A11" s="14" t="s">
        <v>134</v>
      </c>
    </row>
    <row r="12" spans="1:1" ht="30">
      <c r="A12" s="15" t="s">
        <v>511</v>
      </c>
    </row>
    <row r="15" spans="1:1">
      <c r="A15" s="3"/>
    </row>
    <row r="16" spans="1:1" ht="15.75">
      <c r="A16" s="111" t="s">
        <v>107</v>
      </c>
    </row>
    <row r="17" spans="1:8" ht="15">
      <c r="A17" s="110" t="s">
        <v>105</v>
      </c>
    </row>
    <row r="18" spans="1:8" ht="15">
      <c r="A18" s="109" t="s">
        <v>104</v>
      </c>
    </row>
    <row r="19" spans="1:8" ht="15">
      <c r="A19" s="109" t="s">
        <v>108</v>
      </c>
    </row>
    <row r="20" spans="1:8" ht="15">
      <c r="A20" s="109" t="s">
        <v>130</v>
      </c>
    </row>
    <row r="21" spans="1:8" ht="15">
      <c r="A21" s="110" t="s">
        <v>131</v>
      </c>
    </row>
    <row r="22" spans="1:8" ht="15">
      <c r="A22" s="110" t="s">
        <v>132</v>
      </c>
    </row>
    <row r="23" spans="1:8" ht="15">
      <c r="A23" s="109" t="s">
        <v>106</v>
      </c>
    </row>
    <row r="24" spans="1:8" ht="15">
      <c r="A24" s="112" t="s">
        <v>133</v>
      </c>
    </row>
    <row r="27" spans="1:8" ht="15.75">
      <c r="A27" s="156" t="s">
        <v>174</v>
      </c>
      <c r="B27" s="25"/>
      <c r="C27" s="25"/>
      <c r="D27" s="25"/>
      <c r="E27" s="25"/>
      <c r="F27" s="25"/>
      <c r="G27" s="25"/>
      <c r="H27" s="25"/>
    </row>
    <row r="28" spans="1:8" ht="15.75">
      <c r="A28" s="157"/>
      <c r="B28" s="25"/>
      <c r="C28" s="25"/>
      <c r="D28" s="25"/>
      <c r="E28" s="25"/>
      <c r="F28" s="25"/>
      <c r="G28" s="25"/>
      <c r="H28" s="25"/>
    </row>
    <row r="29" spans="1:8" ht="15.75">
      <c r="A29" s="157" t="s">
        <v>176</v>
      </c>
      <c r="B29" s="25"/>
      <c r="C29" s="25"/>
      <c r="D29" s="25"/>
      <c r="E29" s="25"/>
      <c r="F29" s="25"/>
      <c r="G29" s="25"/>
      <c r="H29" s="25"/>
    </row>
    <row r="30" spans="1:8" ht="15.75">
      <c r="A30" s="157" t="s">
        <v>507</v>
      </c>
      <c r="B30" s="25"/>
      <c r="C30" s="25"/>
      <c r="D30" s="25"/>
      <c r="E30" s="25"/>
      <c r="F30" s="25"/>
      <c r="G30" s="25"/>
      <c r="H30" s="25"/>
    </row>
    <row r="31" spans="1:8" ht="15.75">
      <c r="A31" s="157" t="s">
        <v>177</v>
      </c>
      <c r="B31" s="25"/>
      <c r="C31" s="25"/>
      <c r="D31" s="25"/>
      <c r="E31" s="25"/>
      <c r="F31" s="25"/>
      <c r="G31" s="25"/>
      <c r="H31" s="25"/>
    </row>
    <row r="32" spans="1:8" ht="47.25">
      <c r="A32" s="159" t="s">
        <v>183</v>
      </c>
      <c r="B32" s="25"/>
      <c r="C32" s="25"/>
      <c r="D32" s="25"/>
      <c r="E32" s="25"/>
      <c r="F32" s="25"/>
      <c r="G32" s="25"/>
      <c r="H32" s="25"/>
    </row>
    <row r="33" spans="1:8" ht="15.75">
      <c r="A33" s="159"/>
      <c r="B33" s="25"/>
      <c r="C33" s="25"/>
      <c r="D33" s="25"/>
      <c r="E33" s="25"/>
      <c r="F33" s="25"/>
      <c r="G33" s="25"/>
      <c r="H33" s="25"/>
    </row>
    <row r="34" spans="1:8" ht="15.75">
      <c r="A34" s="158" t="s">
        <v>178</v>
      </c>
      <c r="B34" s="25"/>
      <c r="C34" s="25"/>
      <c r="D34" s="25"/>
      <c r="E34" s="25"/>
      <c r="F34" s="25"/>
      <c r="G34" s="25"/>
      <c r="H34" s="25"/>
    </row>
    <row r="35" spans="1:8">
      <c r="B35" s="25"/>
      <c r="C35" s="25"/>
      <c r="D35" s="25"/>
      <c r="E35" s="25"/>
      <c r="F35" s="25"/>
      <c r="G35" s="25"/>
      <c r="H35" s="25"/>
    </row>
    <row r="36" spans="1:8">
      <c r="A36" s="155" t="s">
        <v>175</v>
      </c>
      <c r="B36" s="25"/>
      <c r="C36" s="25"/>
      <c r="D36" s="25"/>
      <c r="E36" s="25"/>
      <c r="F36" s="25"/>
      <c r="G36" s="25"/>
      <c r="H36" s="25"/>
    </row>
    <row r="37" spans="1:8">
      <c r="B37" s="25"/>
      <c r="C37" s="25"/>
      <c r="D37" s="25"/>
      <c r="E37" s="25"/>
      <c r="F37" s="25"/>
      <c r="G37" s="25"/>
      <c r="H37" s="25"/>
    </row>
    <row r="38" spans="1:8">
      <c r="B38" s="25"/>
      <c r="C38" s="25"/>
      <c r="D38" s="25"/>
      <c r="E38" s="25"/>
      <c r="F38" s="25"/>
      <c r="G38" s="25"/>
      <c r="H38" s="25"/>
    </row>
    <row r="39" spans="1:8">
      <c r="B39" s="25"/>
      <c r="C39" s="25"/>
      <c r="D39" s="25"/>
      <c r="E39" s="25"/>
      <c r="F39" s="25"/>
      <c r="G39" s="25"/>
      <c r="H39" s="25"/>
    </row>
    <row r="40" spans="1:8" ht="15.75">
      <c r="A40" s="156" t="s">
        <v>179</v>
      </c>
      <c r="B40" s="25"/>
      <c r="C40" s="25"/>
      <c r="D40" s="25"/>
      <c r="E40" s="25"/>
      <c r="F40" s="25"/>
      <c r="G40" s="25"/>
      <c r="H40" s="25"/>
    </row>
    <row r="41" spans="1:8" ht="15.75">
      <c r="A41" s="157"/>
      <c r="B41" s="25"/>
      <c r="C41" s="25"/>
      <c r="D41" s="25"/>
      <c r="E41" s="25"/>
      <c r="F41" s="25"/>
      <c r="G41" s="25"/>
      <c r="H41" s="25"/>
    </row>
    <row r="42" spans="1:8" ht="15.75">
      <c r="A42" s="157" t="s">
        <v>180</v>
      </c>
      <c r="B42" s="25"/>
      <c r="C42" s="25"/>
      <c r="D42" s="25"/>
      <c r="E42" s="25"/>
      <c r="F42" s="25"/>
      <c r="G42" s="25"/>
      <c r="H42" s="25"/>
    </row>
    <row r="43" spans="1:8" ht="15.75">
      <c r="A43" s="157" t="s">
        <v>182</v>
      </c>
      <c r="B43" s="25"/>
      <c r="C43" s="25"/>
      <c r="D43" s="25"/>
      <c r="E43" s="25"/>
      <c r="F43" s="25"/>
      <c r="G43" s="25"/>
      <c r="H43" s="25"/>
    </row>
    <row r="44" spans="1:8" ht="15.75">
      <c r="A44" s="157" t="s">
        <v>177</v>
      </c>
      <c r="B44" s="25"/>
      <c r="C44" s="25"/>
      <c r="D44" s="25"/>
      <c r="E44" s="25"/>
      <c r="F44" s="25"/>
      <c r="G44" s="25"/>
      <c r="H44" s="25"/>
    </row>
    <row r="45" spans="1:8" ht="15.75">
      <c r="A45" s="162" t="s">
        <v>184</v>
      </c>
      <c r="B45" s="25"/>
      <c r="C45" s="25"/>
      <c r="D45" s="25"/>
      <c r="E45" s="25"/>
      <c r="F45" s="25"/>
      <c r="G45" s="25"/>
      <c r="H45" s="25"/>
    </row>
    <row r="46" spans="1:8" ht="15.75">
      <c r="A46" s="160" t="s">
        <v>185</v>
      </c>
      <c r="B46" s="25"/>
      <c r="C46" s="25"/>
      <c r="D46" s="25"/>
      <c r="E46" s="25"/>
      <c r="F46" s="25"/>
      <c r="G46" s="25"/>
      <c r="H46" s="25"/>
    </row>
    <row r="47" spans="1:8" ht="15.75">
      <c r="A47" s="160" t="s">
        <v>186</v>
      </c>
      <c r="B47" s="25"/>
      <c r="C47" s="25"/>
      <c r="D47" s="25"/>
      <c r="E47" s="25"/>
      <c r="F47" s="25"/>
      <c r="G47" s="25"/>
      <c r="H47" s="25"/>
    </row>
    <row r="49" spans="1:1">
      <c r="A49" s="155" t="s">
        <v>181</v>
      </c>
    </row>
    <row r="51" spans="1:1">
      <c r="A51" s="161"/>
    </row>
  </sheetData>
  <phoneticPr fontId="20" type="noConversion"/>
  <pageMargins left="0.75" right="0.75" top="1" bottom="1" header="0.5" footer="0.5"/>
  <pageSetup orientation="portrait" horizontalDpi="4294967295" verticalDpi="0" r:id="rId1"/>
  <headerFooter alignWithMargins="0">
    <oddHeader>&amp;A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H94"/>
  <sheetViews>
    <sheetView topLeftCell="A72" workbookViewId="0">
      <selection activeCell="A4" sqref="A4"/>
    </sheetView>
  </sheetViews>
  <sheetFormatPr defaultRowHeight="12.75"/>
  <cols>
    <col min="1" max="1" width="30.42578125" customWidth="1"/>
    <col min="4" max="4" width="30.42578125" bestFit="1" customWidth="1"/>
    <col min="7" max="7" width="30.42578125" bestFit="1" customWidth="1"/>
  </cols>
  <sheetData>
    <row r="1" spans="1:8" ht="27.75">
      <c r="A1" s="59" t="s">
        <v>64</v>
      </c>
      <c r="B1" s="60"/>
      <c r="C1" s="60"/>
      <c r="D1" s="60"/>
      <c r="E1" s="60"/>
      <c r="F1" s="87"/>
      <c r="G1" s="61"/>
      <c r="H1" s="61"/>
    </row>
    <row r="2" spans="1:8">
      <c r="A2" s="3"/>
      <c r="B2" s="3"/>
      <c r="C2" s="3"/>
      <c r="D2" s="3"/>
      <c r="E2" s="3"/>
      <c r="F2" s="3"/>
      <c r="G2" s="3"/>
      <c r="H2" s="3"/>
    </row>
    <row r="3" spans="1:8" ht="15.75">
      <c r="A3" s="68" t="s">
        <v>74</v>
      </c>
      <c r="B3" s="18"/>
      <c r="C3" s="18"/>
      <c r="D3" s="18"/>
      <c r="E3" s="18"/>
      <c r="F3" s="18"/>
      <c r="G3" s="18"/>
      <c r="H3" s="17"/>
    </row>
    <row r="4" spans="1:8" s="4" customFormat="1" ht="15.75">
      <c r="A4" s="75" t="s">
        <v>526</v>
      </c>
      <c r="B4" s="84"/>
      <c r="C4" s="84"/>
      <c r="D4" s="84"/>
      <c r="E4" s="84"/>
      <c r="F4" s="84"/>
      <c r="G4" s="84"/>
      <c r="H4" s="85"/>
    </row>
    <row r="5" spans="1:8" s="4" customFormat="1" ht="15">
      <c r="A5" s="76" t="s">
        <v>109</v>
      </c>
      <c r="B5" s="78"/>
      <c r="C5" s="78"/>
      <c r="D5" s="78"/>
      <c r="E5" s="78" t="s">
        <v>110</v>
      </c>
      <c r="F5" s="78"/>
      <c r="G5" s="78"/>
      <c r="H5" s="86"/>
    </row>
    <row r="6" spans="1:8" ht="15">
      <c r="A6" s="73"/>
      <c r="B6" s="74"/>
      <c r="C6" s="74"/>
      <c r="D6" s="74"/>
      <c r="E6" s="74"/>
      <c r="F6" s="74"/>
      <c r="G6" s="74"/>
      <c r="H6" s="74"/>
    </row>
    <row r="7" spans="1:8" ht="15">
      <c r="A7" s="73"/>
      <c r="B7" s="74"/>
      <c r="C7" s="74"/>
      <c r="D7" s="77" t="s">
        <v>75</v>
      </c>
      <c r="E7" s="74"/>
      <c r="F7" s="74"/>
      <c r="G7" s="74"/>
      <c r="H7" s="74"/>
    </row>
    <row r="10" spans="1:8" ht="15">
      <c r="A10" s="79"/>
      <c r="B10" s="3"/>
      <c r="C10" s="3"/>
      <c r="D10" s="3"/>
      <c r="E10" s="3"/>
      <c r="F10" s="3"/>
      <c r="G10" s="3"/>
      <c r="H10" s="3"/>
    </row>
    <row r="11" spans="1:8" ht="15.75">
      <c r="A11" s="68" t="s">
        <v>69</v>
      </c>
      <c r="B11" s="18"/>
      <c r="C11" s="18"/>
      <c r="D11" s="18"/>
      <c r="E11" s="18"/>
      <c r="F11" s="18"/>
      <c r="G11" s="18"/>
      <c r="H11" s="17"/>
    </row>
    <row r="12" spans="1:8" ht="15.75">
      <c r="A12" s="69"/>
      <c r="B12" s="20"/>
      <c r="C12" s="21"/>
      <c r="D12" s="21"/>
      <c r="E12" s="21"/>
      <c r="F12" s="21"/>
      <c r="G12" s="21"/>
      <c r="H12" s="22"/>
    </row>
    <row r="13" spans="1:8" ht="15.75">
      <c r="A13" s="5"/>
    </row>
    <row r="14" spans="1:8">
      <c r="A14" s="62" t="s">
        <v>73</v>
      </c>
      <c r="D14" s="62" t="s">
        <v>65</v>
      </c>
      <c r="G14" s="62" t="s">
        <v>66</v>
      </c>
    </row>
    <row r="15" spans="1:8" ht="15.75">
      <c r="A15" s="5"/>
    </row>
    <row r="16" spans="1:8">
      <c r="A16" s="63"/>
      <c r="B16" s="63"/>
      <c r="C16" s="63"/>
      <c r="D16" s="67"/>
      <c r="E16" s="63"/>
      <c r="F16" s="63"/>
      <c r="G16" s="63"/>
      <c r="H16" s="63"/>
    </row>
    <row r="17" spans="1:8">
      <c r="A17" s="62" t="s">
        <v>68</v>
      </c>
      <c r="G17" s="62" t="s">
        <v>67</v>
      </c>
    </row>
    <row r="18" spans="1:8">
      <c r="A18" s="63"/>
      <c r="G18" s="63"/>
    </row>
    <row r="19" spans="1:8" ht="15.75">
      <c r="A19" s="5"/>
    </row>
    <row r="20" spans="1:8" ht="14.25" customHeight="1">
      <c r="A20" s="65" t="s">
        <v>76</v>
      </c>
      <c r="C20" s="64"/>
    </row>
    <row r="21" spans="1:8">
      <c r="A21" s="81" t="s">
        <v>77</v>
      </c>
      <c r="C21" s="64"/>
    </row>
    <row r="22" spans="1:8">
      <c r="A22" s="81" t="s">
        <v>78</v>
      </c>
      <c r="C22" s="64"/>
    </row>
    <row r="23" spans="1:8" ht="15.75">
      <c r="A23" s="461" t="s">
        <v>80</v>
      </c>
      <c r="B23" s="461"/>
      <c r="C23" s="66"/>
    </row>
    <row r="24" spans="1:8" ht="15.75">
      <c r="A24" s="5"/>
    </row>
    <row r="25" spans="1:8" ht="15.75">
      <c r="A25" s="80"/>
      <c r="B25" s="3"/>
      <c r="C25" s="3"/>
      <c r="D25" s="3"/>
      <c r="E25" s="3"/>
      <c r="F25" s="3"/>
      <c r="G25" s="3"/>
      <c r="H25" s="3"/>
    </row>
    <row r="26" spans="1:8" ht="15.75">
      <c r="A26" s="82" t="s">
        <v>83</v>
      </c>
      <c r="B26" s="18"/>
      <c r="C26" s="18"/>
      <c r="D26" s="18"/>
      <c r="E26" s="18"/>
      <c r="F26" s="18"/>
      <c r="G26" s="18"/>
      <c r="H26" s="17"/>
    </row>
    <row r="27" spans="1:8" ht="15.75">
      <c r="A27" s="82" t="s">
        <v>81</v>
      </c>
      <c r="B27" s="18"/>
      <c r="C27" s="18"/>
      <c r="D27" s="18"/>
      <c r="E27" s="18"/>
      <c r="F27" s="18"/>
      <c r="G27" s="18"/>
      <c r="H27" s="19"/>
    </row>
    <row r="28" spans="1:8" ht="15.75">
      <c r="A28" s="82" t="s">
        <v>82</v>
      </c>
      <c r="B28" s="18"/>
      <c r="C28" s="18"/>
      <c r="D28" s="18"/>
      <c r="E28" s="18"/>
      <c r="F28" s="18"/>
      <c r="G28" s="18"/>
      <c r="H28" s="19"/>
    </row>
    <row r="29" spans="1:8" ht="15.75">
      <c r="A29" s="68"/>
      <c r="B29" s="18"/>
      <c r="C29" s="18"/>
      <c r="D29" s="18"/>
      <c r="E29" s="18"/>
      <c r="F29" s="18"/>
      <c r="G29" s="18"/>
      <c r="H29" s="19"/>
    </row>
    <row r="30" spans="1:8" ht="15.75">
      <c r="A30" s="82" t="s">
        <v>84</v>
      </c>
      <c r="B30" s="18"/>
      <c r="C30" s="18"/>
      <c r="D30" s="18"/>
      <c r="E30" s="18"/>
      <c r="F30" s="18"/>
      <c r="G30" s="18"/>
      <c r="H30" s="19"/>
    </row>
    <row r="31" spans="1:8" ht="15.75">
      <c r="A31" s="82" t="s">
        <v>85</v>
      </c>
      <c r="B31" s="18"/>
      <c r="C31" s="18"/>
      <c r="D31" s="18"/>
      <c r="E31" s="18"/>
      <c r="F31" s="18"/>
      <c r="G31" s="18"/>
      <c r="H31" s="19"/>
    </row>
    <row r="32" spans="1:8" ht="15.75">
      <c r="A32" s="82" t="s">
        <v>86</v>
      </c>
      <c r="B32" s="18"/>
      <c r="C32" s="18"/>
      <c r="D32" s="18"/>
      <c r="E32" s="18"/>
      <c r="F32" s="18"/>
      <c r="G32" s="18"/>
      <c r="H32" s="19"/>
    </row>
    <row r="33" spans="1:8" ht="15.75">
      <c r="A33" s="82" t="s">
        <v>87</v>
      </c>
      <c r="B33" s="18"/>
      <c r="C33" s="18"/>
      <c r="D33" s="18"/>
      <c r="E33" s="18"/>
      <c r="F33" s="18"/>
      <c r="G33" s="18"/>
      <c r="H33" s="19"/>
    </row>
    <row r="34" spans="1:8" ht="15.75">
      <c r="A34" s="68"/>
      <c r="B34" s="18"/>
      <c r="C34" s="18"/>
      <c r="D34" s="18"/>
      <c r="E34" s="18"/>
      <c r="F34" s="18"/>
      <c r="G34" s="18"/>
      <c r="H34" s="19"/>
    </row>
    <row r="35" spans="1:8" ht="15.75">
      <c r="A35" s="82" t="s">
        <v>88</v>
      </c>
      <c r="B35" s="18"/>
      <c r="C35" s="18"/>
      <c r="D35" s="18"/>
      <c r="E35" s="18"/>
      <c r="F35" s="18"/>
      <c r="G35" s="18"/>
      <c r="H35" s="19"/>
    </row>
    <row r="36" spans="1:8" ht="15.75">
      <c r="A36" s="83" t="s">
        <v>89</v>
      </c>
      <c r="B36" s="21"/>
      <c r="C36" s="21"/>
      <c r="D36" s="21"/>
      <c r="E36" s="21"/>
      <c r="F36" s="21"/>
      <c r="G36" s="21"/>
      <c r="H36" s="22"/>
    </row>
    <row r="37" spans="1:8" ht="15.75">
      <c r="A37" s="5"/>
    </row>
    <row r="38" spans="1:8" ht="15.75">
      <c r="A38" s="5"/>
    </row>
    <row r="39" spans="1:8" ht="15.75">
      <c r="A39" s="80"/>
      <c r="B39" s="3"/>
      <c r="C39" s="3"/>
      <c r="D39" s="3"/>
      <c r="E39" s="3"/>
      <c r="F39" s="3"/>
      <c r="G39" s="3"/>
      <c r="H39" s="3"/>
    </row>
    <row r="40" spans="1:8" ht="15.75">
      <c r="A40" s="115" t="s">
        <v>118</v>
      </c>
      <c r="B40" s="26"/>
      <c r="C40" s="26"/>
      <c r="D40" s="26"/>
      <c r="E40" s="26"/>
      <c r="F40" s="26"/>
      <c r="G40" s="26"/>
      <c r="H40" s="17"/>
    </row>
    <row r="41" spans="1:8" ht="15">
      <c r="A41" s="113" t="s">
        <v>112</v>
      </c>
      <c r="B41" s="26"/>
      <c r="C41" s="26"/>
      <c r="D41" s="26"/>
      <c r="E41" s="26"/>
      <c r="F41" s="26"/>
      <c r="G41" s="26"/>
      <c r="H41" s="19"/>
    </row>
    <row r="42" spans="1:8" ht="15">
      <c r="A42" s="113" t="s">
        <v>114</v>
      </c>
      <c r="B42" s="26"/>
      <c r="C42" s="26"/>
      <c r="D42" s="26"/>
      <c r="E42" s="26"/>
      <c r="F42" s="26"/>
      <c r="G42" s="26"/>
      <c r="H42" s="19"/>
    </row>
    <row r="43" spans="1:8" ht="15">
      <c r="A43" s="113" t="s">
        <v>115</v>
      </c>
      <c r="B43" s="26"/>
      <c r="C43" s="26"/>
      <c r="D43" s="26"/>
      <c r="E43" s="26"/>
      <c r="F43" s="26"/>
      <c r="G43" s="26"/>
      <c r="H43" s="19"/>
    </row>
    <row r="44" spans="1:8" ht="15">
      <c r="A44" s="113"/>
      <c r="B44" s="26"/>
      <c r="C44" s="26"/>
      <c r="D44" s="26"/>
      <c r="E44" s="26"/>
      <c r="F44" s="26"/>
      <c r="G44" s="26"/>
      <c r="H44" s="19"/>
    </row>
    <row r="45" spans="1:8" ht="15">
      <c r="A45" s="113" t="s">
        <v>113</v>
      </c>
      <c r="B45" s="26"/>
      <c r="C45" s="26"/>
      <c r="D45" s="26"/>
      <c r="E45" s="26"/>
      <c r="F45" s="26"/>
      <c r="G45" s="26"/>
      <c r="H45" s="19"/>
    </row>
    <row r="46" spans="1:8" ht="15">
      <c r="A46" s="113" t="s">
        <v>116</v>
      </c>
      <c r="B46" s="26"/>
      <c r="C46" s="26"/>
      <c r="D46" s="26"/>
      <c r="E46" s="26"/>
      <c r="F46" s="26"/>
      <c r="G46" s="26"/>
      <c r="H46" s="19"/>
    </row>
    <row r="47" spans="1:8" ht="15">
      <c r="A47" s="114" t="s">
        <v>117</v>
      </c>
      <c r="B47" s="21"/>
      <c r="C47" s="21"/>
      <c r="D47" s="21"/>
      <c r="E47" s="21"/>
      <c r="F47" s="21"/>
      <c r="G47" s="21"/>
      <c r="H47" s="22"/>
    </row>
    <row r="48" spans="1:8" ht="15.75">
      <c r="A48" s="5"/>
    </row>
    <row r="49" spans="1:8" ht="15.75">
      <c r="A49" s="5"/>
    </row>
    <row r="50" spans="1:8" ht="15.75">
      <c r="A50" s="5"/>
      <c r="G50" s="3"/>
    </row>
    <row r="51" spans="1:8" ht="15.75">
      <c r="A51" s="70" t="s">
        <v>98</v>
      </c>
      <c r="B51" s="16"/>
      <c r="C51" s="16"/>
      <c r="D51" s="16"/>
      <c r="E51" s="16"/>
      <c r="F51" s="16"/>
      <c r="G51" s="18"/>
      <c r="H51" s="17"/>
    </row>
    <row r="52" spans="1:8" ht="45" customHeight="1">
      <c r="A52" s="462" t="s">
        <v>102</v>
      </c>
      <c r="B52" s="462"/>
      <c r="C52" s="462"/>
      <c r="D52" s="462"/>
      <c r="E52" s="462"/>
      <c r="F52" s="462"/>
      <c r="G52" s="21"/>
      <c r="H52" s="22"/>
    </row>
    <row r="55" spans="1:8">
      <c r="A55" s="101" t="s">
        <v>70</v>
      </c>
      <c r="B55" s="102"/>
      <c r="C55" s="102"/>
      <c r="D55" s="103" t="s">
        <v>99</v>
      </c>
      <c r="E55" s="102"/>
      <c r="F55" s="102"/>
      <c r="G55" s="104" t="s">
        <v>101</v>
      </c>
    </row>
    <row r="56" spans="1:8">
      <c r="A56" s="102"/>
      <c r="B56" s="102"/>
      <c r="C56" s="102"/>
      <c r="D56" s="102"/>
      <c r="E56" s="102"/>
      <c r="F56" s="102"/>
      <c r="G56" s="102"/>
    </row>
    <row r="57" spans="1:8">
      <c r="A57" s="102"/>
      <c r="B57" s="102"/>
      <c r="C57" s="102"/>
      <c r="D57" s="102"/>
      <c r="E57" s="102"/>
      <c r="F57" s="102"/>
      <c r="G57" s="102"/>
    </row>
    <row r="58" spans="1:8">
      <c r="A58" s="102"/>
      <c r="B58" s="102"/>
      <c r="C58" s="102"/>
      <c r="D58" s="102"/>
      <c r="E58" s="102"/>
      <c r="F58" s="102"/>
      <c r="G58" s="102"/>
    </row>
    <row r="59" spans="1:8">
      <c r="A59" s="102"/>
      <c r="B59" s="102"/>
      <c r="C59" s="102"/>
      <c r="D59" s="102"/>
      <c r="E59" s="102"/>
      <c r="F59" s="102"/>
      <c r="G59" s="102"/>
    </row>
    <row r="60" spans="1:8">
      <c r="A60" s="102"/>
      <c r="B60" s="102"/>
      <c r="C60" s="102"/>
      <c r="D60" s="102"/>
      <c r="E60" s="102"/>
      <c r="F60" s="102"/>
      <c r="G60" s="102"/>
    </row>
    <row r="61" spans="1:8">
      <c r="A61" s="101" t="s">
        <v>99</v>
      </c>
      <c r="B61" s="102"/>
      <c r="C61" s="102"/>
      <c r="D61" s="102"/>
      <c r="E61" s="102"/>
      <c r="F61" s="102"/>
      <c r="G61" s="105" t="s">
        <v>99</v>
      </c>
    </row>
    <row r="62" spans="1:8">
      <c r="A62" s="102"/>
      <c r="B62" s="102"/>
      <c r="C62" s="102"/>
      <c r="D62" s="102"/>
      <c r="E62" s="102"/>
      <c r="F62" s="102"/>
      <c r="G62" s="102"/>
    </row>
    <row r="63" spans="1:8">
      <c r="A63" s="102"/>
      <c r="B63" s="102"/>
      <c r="C63" s="102"/>
      <c r="D63" s="102"/>
      <c r="E63" s="102"/>
      <c r="F63" s="102"/>
      <c r="G63" s="102"/>
    </row>
    <row r="64" spans="1:8">
      <c r="A64" s="102"/>
      <c r="B64" s="102"/>
      <c r="C64" s="102"/>
      <c r="D64" s="102"/>
      <c r="E64" s="102"/>
      <c r="F64" s="102"/>
      <c r="G64" s="102"/>
    </row>
    <row r="65" spans="1:7">
      <c r="A65" s="102"/>
      <c r="B65" s="102"/>
      <c r="C65" s="102"/>
      <c r="D65" s="102"/>
      <c r="E65" s="102"/>
      <c r="F65" s="102"/>
      <c r="G65" s="102"/>
    </row>
    <row r="66" spans="1:7">
      <c r="A66" s="102"/>
      <c r="B66" s="102"/>
      <c r="C66" s="102"/>
      <c r="D66" s="102"/>
      <c r="E66" s="102"/>
      <c r="F66" s="102"/>
      <c r="G66" s="102"/>
    </row>
    <row r="67" spans="1:7">
      <c r="A67" s="102"/>
      <c r="B67" s="102"/>
      <c r="C67" s="102"/>
      <c r="D67" s="102"/>
      <c r="E67" s="102"/>
      <c r="F67" s="102"/>
      <c r="G67" s="102"/>
    </row>
    <row r="68" spans="1:7">
      <c r="A68" s="102"/>
      <c r="B68" s="102"/>
      <c r="C68" s="102"/>
      <c r="D68" s="102"/>
      <c r="E68" s="102"/>
      <c r="F68" s="102"/>
      <c r="G68" s="102"/>
    </row>
    <row r="69" spans="1:7">
      <c r="A69" s="102"/>
      <c r="B69" s="102"/>
      <c r="C69" s="102"/>
      <c r="D69" s="102"/>
      <c r="E69" s="102"/>
      <c r="F69" s="102"/>
      <c r="G69" s="102"/>
    </row>
    <row r="70" spans="1:7">
      <c r="A70" s="102"/>
      <c r="B70" s="102"/>
      <c r="C70" s="102"/>
      <c r="D70" s="102"/>
      <c r="E70" s="102"/>
      <c r="F70" s="102"/>
      <c r="G70" s="102"/>
    </row>
    <row r="71" spans="1:7">
      <c r="A71" s="102"/>
      <c r="B71" s="102"/>
      <c r="C71" s="102"/>
      <c r="D71" s="102"/>
      <c r="E71" s="102"/>
      <c r="F71" s="102"/>
      <c r="G71" s="102"/>
    </row>
    <row r="72" spans="1:7">
      <c r="A72" s="102"/>
      <c r="B72" s="102"/>
      <c r="C72" s="102"/>
      <c r="D72" s="102"/>
      <c r="E72" s="102"/>
      <c r="F72" s="102"/>
      <c r="G72" s="102"/>
    </row>
    <row r="73" spans="1:7">
      <c r="A73" s="102"/>
      <c r="B73" s="102"/>
      <c r="C73" s="102"/>
      <c r="D73" s="102"/>
      <c r="E73" s="102"/>
      <c r="F73" s="102"/>
      <c r="G73" s="102"/>
    </row>
    <row r="74" spans="1:7">
      <c r="A74" s="102"/>
      <c r="B74" s="102"/>
      <c r="C74" s="102"/>
      <c r="D74" s="102"/>
      <c r="E74" s="102"/>
      <c r="F74" s="102"/>
      <c r="G74" s="102"/>
    </row>
    <row r="75" spans="1:7">
      <c r="A75" s="102"/>
      <c r="B75" s="102"/>
      <c r="C75" s="102"/>
      <c r="D75" s="102"/>
      <c r="E75" s="102"/>
      <c r="F75" s="102"/>
      <c r="G75" s="102"/>
    </row>
    <row r="76" spans="1:7">
      <c r="A76" s="102"/>
      <c r="B76" s="102"/>
      <c r="C76" s="102"/>
      <c r="D76" s="102"/>
      <c r="E76" s="102"/>
      <c r="F76" s="102"/>
      <c r="G76" s="102"/>
    </row>
    <row r="77" spans="1:7">
      <c r="A77" s="102"/>
      <c r="B77" s="102"/>
      <c r="C77" s="102"/>
      <c r="D77" s="102"/>
      <c r="E77" s="102"/>
      <c r="F77" s="102"/>
      <c r="G77" s="102"/>
    </row>
    <row r="78" spans="1:7">
      <c r="A78" s="101" t="s">
        <v>99</v>
      </c>
      <c r="B78" s="102"/>
      <c r="C78" s="102"/>
      <c r="D78" s="102"/>
      <c r="E78" s="102"/>
      <c r="F78" s="102"/>
      <c r="G78" s="105" t="s">
        <v>99</v>
      </c>
    </row>
    <row r="79" spans="1:7">
      <c r="A79" s="102"/>
      <c r="B79" s="102"/>
      <c r="C79" s="102"/>
      <c r="D79" s="102"/>
      <c r="E79" s="102"/>
      <c r="F79" s="102"/>
      <c r="G79" s="102"/>
    </row>
    <row r="80" spans="1:7">
      <c r="A80" s="102"/>
      <c r="B80" s="102"/>
      <c r="C80" s="102"/>
      <c r="D80" s="102"/>
      <c r="E80" s="102"/>
      <c r="F80" s="102"/>
      <c r="G80" s="102"/>
    </row>
    <row r="81" spans="1:7">
      <c r="A81" s="102"/>
      <c r="B81" s="102"/>
      <c r="C81" s="102"/>
      <c r="D81" s="102"/>
      <c r="E81" s="102"/>
      <c r="F81" s="102"/>
      <c r="G81" s="102"/>
    </row>
    <row r="82" spans="1:7">
      <c r="A82" s="102"/>
      <c r="B82" s="102"/>
      <c r="C82" s="102"/>
      <c r="D82" s="102"/>
      <c r="E82" s="102"/>
      <c r="F82" s="102"/>
      <c r="G82" s="102"/>
    </row>
    <row r="83" spans="1:7">
      <c r="A83" s="102"/>
      <c r="B83" s="102"/>
      <c r="C83" s="102"/>
      <c r="D83" s="102"/>
      <c r="E83" s="102"/>
      <c r="F83" s="102"/>
      <c r="G83" s="102"/>
    </row>
    <row r="84" spans="1:7">
      <c r="A84" s="102"/>
      <c r="B84" s="102"/>
      <c r="C84" s="102"/>
      <c r="D84" s="102"/>
      <c r="E84" s="102"/>
      <c r="F84" s="102"/>
      <c r="G84" s="102"/>
    </row>
    <row r="85" spans="1:7">
      <c r="A85" s="102"/>
      <c r="B85" s="102"/>
      <c r="C85" s="102"/>
      <c r="D85" s="102"/>
      <c r="E85" s="102"/>
      <c r="F85" s="102"/>
      <c r="G85" s="102"/>
    </row>
    <row r="86" spans="1:7">
      <c r="A86" s="102"/>
      <c r="B86" s="102"/>
      <c r="C86" s="102"/>
      <c r="D86" s="102"/>
      <c r="E86" s="102"/>
      <c r="F86" s="102"/>
      <c r="G86" s="102"/>
    </row>
    <row r="87" spans="1:7">
      <c r="A87" s="102"/>
      <c r="B87" s="102"/>
      <c r="C87" s="102"/>
      <c r="D87" s="102"/>
      <c r="E87" s="102"/>
      <c r="F87" s="102"/>
      <c r="G87" s="102"/>
    </row>
    <row r="88" spans="1:7">
      <c r="A88" s="102"/>
      <c r="B88" s="102"/>
      <c r="C88" s="102"/>
      <c r="D88" s="102"/>
      <c r="E88" s="102"/>
      <c r="F88" s="102"/>
      <c r="G88" s="102"/>
    </row>
    <row r="89" spans="1:7">
      <c r="A89" s="102"/>
      <c r="B89" s="102"/>
      <c r="C89" s="102"/>
      <c r="D89" s="102"/>
      <c r="E89" s="102"/>
      <c r="F89" s="102"/>
      <c r="G89" s="102"/>
    </row>
    <row r="90" spans="1:7">
      <c r="A90" s="102"/>
      <c r="B90" s="102"/>
      <c r="C90" s="102"/>
      <c r="D90" s="102"/>
      <c r="E90" s="102"/>
      <c r="F90" s="102"/>
      <c r="G90" s="102"/>
    </row>
    <row r="91" spans="1:7">
      <c r="A91" s="102"/>
      <c r="B91" s="102"/>
      <c r="C91" s="102"/>
      <c r="D91" s="102"/>
      <c r="E91" s="102"/>
      <c r="F91" s="102"/>
      <c r="G91" s="102"/>
    </row>
    <row r="92" spans="1:7">
      <c r="A92" s="102"/>
      <c r="B92" s="102"/>
      <c r="C92" s="102"/>
      <c r="D92" s="102"/>
      <c r="E92" s="102"/>
      <c r="F92" s="102"/>
      <c r="G92" s="102"/>
    </row>
    <row r="93" spans="1:7">
      <c r="A93" s="102"/>
      <c r="B93" s="102"/>
      <c r="C93" s="102"/>
      <c r="D93" s="102"/>
      <c r="E93" s="102"/>
      <c r="F93" s="102"/>
      <c r="G93" s="102"/>
    </row>
    <row r="94" spans="1:7">
      <c r="A94" s="101" t="s">
        <v>100</v>
      </c>
      <c r="B94" s="102"/>
      <c r="C94" s="102"/>
      <c r="D94" s="103" t="s">
        <v>99</v>
      </c>
      <c r="E94" s="102"/>
      <c r="F94" s="102"/>
      <c r="G94" s="105" t="s">
        <v>71</v>
      </c>
    </row>
  </sheetData>
  <mergeCells count="2">
    <mergeCell ref="A23:B23"/>
    <mergeCell ref="A52:F52"/>
  </mergeCells>
  <phoneticPr fontId="19" type="noConversion"/>
  <pageMargins left="0.75" right="0.75" top="1" bottom="1" header="0.5" footer="0.5"/>
  <headerFooter alignWithMargin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6"/>
  <dimension ref="A1:H69"/>
  <sheetViews>
    <sheetView topLeftCell="A6" workbookViewId="0">
      <selection activeCell="A21" sqref="A21:F21"/>
    </sheetView>
  </sheetViews>
  <sheetFormatPr defaultRowHeight="12.75"/>
  <cols>
    <col min="1" max="1" width="30.42578125" customWidth="1"/>
    <col min="6" max="7" width="30.42578125" bestFit="1" customWidth="1"/>
  </cols>
  <sheetData>
    <row r="1" spans="1:8" ht="27.75">
      <c r="A1" s="59" t="s">
        <v>97</v>
      </c>
      <c r="B1" s="60"/>
      <c r="C1" s="60"/>
      <c r="D1" s="60"/>
      <c r="E1" s="60"/>
      <c r="F1" s="60"/>
      <c r="G1" s="61"/>
      <c r="H1" s="61"/>
    </row>
    <row r="3" spans="1:8" ht="15.75">
      <c r="A3" s="70" t="s">
        <v>96</v>
      </c>
      <c r="B3" s="16"/>
      <c r="C3" s="16"/>
      <c r="D3" s="16"/>
      <c r="E3" s="16"/>
      <c r="F3" s="16"/>
      <c r="G3" s="16"/>
      <c r="H3" s="17"/>
    </row>
    <row r="4" spans="1:8" ht="89.25" customHeight="1">
      <c r="A4" s="462" t="s">
        <v>79</v>
      </c>
      <c r="B4" s="462"/>
      <c r="C4" s="462"/>
      <c r="D4" s="462"/>
      <c r="E4" s="462"/>
      <c r="F4" s="462"/>
      <c r="G4" s="21"/>
      <c r="H4" s="22"/>
    </row>
    <row r="5" spans="1:8">
      <c r="A5" s="71"/>
      <c r="B5" s="25"/>
      <c r="C5" s="25"/>
      <c r="D5" s="25"/>
      <c r="E5" s="25"/>
      <c r="F5" s="25"/>
      <c r="G5" s="25"/>
      <c r="H5" s="25"/>
    </row>
    <row r="7" spans="1:8">
      <c r="A7" s="106" t="s">
        <v>70</v>
      </c>
      <c r="B7" s="102">
        <v>2</v>
      </c>
      <c r="C7" s="102">
        <v>3</v>
      </c>
      <c r="D7" s="102">
        <v>4</v>
      </c>
      <c r="E7" s="102">
        <v>5</v>
      </c>
      <c r="F7" s="102">
        <v>6</v>
      </c>
    </row>
    <row r="8" spans="1:8">
      <c r="A8" s="102">
        <v>1</v>
      </c>
      <c r="B8" s="102">
        <v>2</v>
      </c>
      <c r="C8" s="102">
        <v>3</v>
      </c>
      <c r="D8" s="102">
        <v>4</v>
      </c>
      <c r="E8" s="102">
        <v>5</v>
      </c>
      <c r="F8" s="102">
        <v>6</v>
      </c>
    </row>
    <row r="9" spans="1:8">
      <c r="A9" s="102">
        <v>1</v>
      </c>
      <c r="B9" s="102">
        <v>2</v>
      </c>
      <c r="C9" s="102">
        <v>3</v>
      </c>
      <c r="D9" s="102">
        <v>4</v>
      </c>
      <c r="E9" s="102">
        <v>5</v>
      </c>
      <c r="F9" s="102">
        <v>6</v>
      </c>
    </row>
    <row r="10" spans="1:8">
      <c r="A10" s="102">
        <v>1</v>
      </c>
      <c r="B10" s="102">
        <v>2</v>
      </c>
      <c r="C10" s="102">
        <v>3</v>
      </c>
      <c r="D10" s="102">
        <v>4</v>
      </c>
      <c r="E10" s="102">
        <v>5</v>
      </c>
      <c r="F10" s="101" t="s">
        <v>71</v>
      </c>
    </row>
    <row r="13" spans="1:8">
      <c r="A13" s="72" t="s">
        <v>72</v>
      </c>
    </row>
    <row r="20" spans="1:8" ht="15.75">
      <c r="A20" s="70" t="s">
        <v>119</v>
      </c>
      <c r="B20" s="16"/>
      <c r="C20" s="16"/>
      <c r="D20" s="16"/>
      <c r="E20" s="16"/>
      <c r="F20" s="16"/>
      <c r="G20" s="16"/>
      <c r="H20" s="17"/>
    </row>
    <row r="21" spans="1:8" ht="102" customHeight="1">
      <c r="A21" s="462" t="s">
        <v>527</v>
      </c>
      <c r="B21" s="462"/>
      <c r="C21" s="462"/>
      <c r="D21" s="462"/>
      <c r="E21" s="462"/>
      <c r="F21" s="462"/>
      <c r="G21" s="21"/>
      <c r="H21" s="22"/>
    </row>
    <row r="23" spans="1:8">
      <c r="B23" s="102">
        <v>1</v>
      </c>
      <c r="C23" s="102">
        <v>2</v>
      </c>
      <c r="D23" s="102">
        <v>3</v>
      </c>
      <c r="E23" s="102">
        <v>4</v>
      </c>
    </row>
    <row r="24" spans="1:8">
      <c r="B24" s="102">
        <v>5</v>
      </c>
      <c r="C24" s="102">
        <v>6</v>
      </c>
      <c r="D24" s="102">
        <v>7</v>
      </c>
      <c r="E24" s="102">
        <v>8</v>
      </c>
    </row>
    <row r="25" spans="1:8">
      <c r="B25" s="102">
        <v>9</v>
      </c>
      <c r="C25" s="102">
        <v>10</v>
      </c>
      <c r="D25" s="102">
        <v>11</v>
      </c>
      <c r="E25" s="102">
        <v>12</v>
      </c>
    </row>
    <row r="27" spans="1:8">
      <c r="B27" s="77" t="s">
        <v>72</v>
      </c>
    </row>
    <row r="34" spans="1:8" ht="15.75">
      <c r="A34" s="70" t="s">
        <v>120</v>
      </c>
      <c r="B34" s="16"/>
      <c r="C34" s="16"/>
      <c r="D34" s="16"/>
      <c r="E34" s="16"/>
      <c r="F34" s="16"/>
      <c r="G34" s="16"/>
      <c r="H34" s="17"/>
    </row>
    <row r="35" spans="1:8" ht="117" customHeight="1">
      <c r="A35" s="462" t="s">
        <v>512</v>
      </c>
      <c r="B35" s="462"/>
      <c r="C35" s="462"/>
      <c r="D35" s="462"/>
      <c r="E35" s="462"/>
      <c r="F35" s="462"/>
      <c r="G35" s="21"/>
      <c r="H35" s="22"/>
    </row>
    <row r="37" spans="1:8">
      <c r="B37" s="89">
        <v>1</v>
      </c>
      <c r="C37" s="90">
        <v>2</v>
      </c>
      <c r="D37" s="91">
        <v>3</v>
      </c>
      <c r="E37" s="92">
        <v>4</v>
      </c>
    </row>
    <row r="38" spans="1:8">
      <c r="B38" s="93">
        <v>5</v>
      </c>
      <c r="C38" s="94">
        <v>6</v>
      </c>
      <c r="D38" s="95">
        <v>7</v>
      </c>
      <c r="E38" s="96">
        <v>8</v>
      </c>
    </row>
    <row r="39" spans="1:8">
      <c r="B39" s="97">
        <v>9</v>
      </c>
      <c r="C39" s="98">
        <v>10</v>
      </c>
      <c r="D39" s="88">
        <v>11</v>
      </c>
      <c r="E39" s="39">
        <v>12</v>
      </c>
    </row>
    <row r="41" spans="1:8">
      <c r="B41" s="77" t="s">
        <v>72</v>
      </c>
    </row>
    <row r="48" spans="1:8" ht="15.75">
      <c r="A48" s="70" t="s">
        <v>95</v>
      </c>
      <c r="B48" s="16"/>
      <c r="C48" s="16"/>
      <c r="D48" s="16"/>
      <c r="E48" s="16"/>
      <c r="F48" s="16"/>
      <c r="G48" s="16"/>
      <c r="H48" s="17"/>
    </row>
    <row r="49" spans="1:8" ht="75.75" customHeight="1">
      <c r="A49" s="462" t="s">
        <v>111</v>
      </c>
      <c r="B49" s="462"/>
      <c r="C49" s="462"/>
      <c r="D49" s="462"/>
      <c r="E49" s="462"/>
      <c r="F49" s="462"/>
      <c r="G49" s="21"/>
      <c r="H49" s="22"/>
    </row>
    <row r="52" spans="1:8" s="99" customFormat="1">
      <c r="B52" s="99">
        <v>1</v>
      </c>
      <c r="C52" s="99">
        <v>2</v>
      </c>
    </row>
    <row r="53" spans="1:8" s="99" customFormat="1">
      <c r="B53" s="100">
        <v>0.375</v>
      </c>
      <c r="C53" s="100">
        <v>0.41666666666666669</v>
      </c>
      <c r="D53" s="100"/>
      <c r="E53" s="100"/>
      <c r="F53" s="100"/>
    </row>
    <row r="54" spans="1:8" s="99" customFormat="1">
      <c r="B54" s="99" t="s">
        <v>90</v>
      </c>
      <c r="C54" s="99" t="s">
        <v>91</v>
      </c>
    </row>
    <row r="55" spans="1:8" s="99" customFormat="1">
      <c r="B55" s="99" t="s">
        <v>92</v>
      </c>
      <c r="C55" s="99" t="s">
        <v>93</v>
      </c>
    </row>
    <row r="56" spans="1:8" s="99" customFormat="1">
      <c r="B56" s="99" t="s">
        <v>92</v>
      </c>
      <c r="C56" s="99" t="s">
        <v>94</v>
      </c>
    </row>
    <row r="57" spans="1:8" s="99" customFormat="1">
      <c r="B57" s="99">
        <v>1999</v>
      </c>
      <c r="C57" s="99">
        <v>2000</v>
      </c>
    </row>
    <row r="61" spans="1:8" ht="15.75">
      <c r="A61" s="70" t="s">
        <v>129</v>
      </c>
      <c r="B61" s="16"/>
      <c r="C61" s="16"/>
      <c r="D61" s="16"/>
      <c r="E61" s="16"/>
      <c r="F61" s="16"/>
      <c r="G61" s="16"/>
      <c r="H61" s="17"/>
    </row>
    <row r="62" spans="1:8" ht="75.75" customHeight="1">
      <c r="A62" s="462" t="s">
        <v>128</v>
      </c>
      <c r="B62" s="462"/>
      <c r="C62" s="462"/>
      <c r="D62" s="462"/>
      <c r="E62" s="462"/>
      <c r="F62" s="462"/>
      <c r="G62" s="21"/>
      <c r="H62" s="22"/>
    </row>
    <row r="65" spans="2:4">
      <c r="B65" s="116">
        <v>1</v>
      </c>
      <c r="C65" s="90">
        <v>2</v>
      </c>
      <c r="D65" s="91">
        <v>3</v>
      </c>
    </row>
    <row r="66" spans="2:4">
      <c r="B66" s="93" t="s">
        <v>121</v>
      </c>
      <c r="C66" s="94" t="s">
        <v>122</v>
      </c>
      <c r="D66" s="95" t="s">
        <v>123</v>
      </c>
    </row>
    <row r="67" spans="2:4">
      <c r="B67" s="97" t="s">
        <v>124</v>
      </c>
      <c r="C67" s="98" t="s">
        <v>125</v>
      </c>
      <c r="D67" s="88" t="s">
        <v>126</v>
      </c>
    </row>
    <row r="69" spans="2:4">
      <c r="B69" s="116" t="s">
        <v>127</v>
      </c>
    </row>
  </sheetData>
  <mergeCells count="5">
    <mergeCell ref="A62:F62"/>
    <mergeCell ref="A4:F4"/>
    <mergeCell ref="A21:F21"/>
    <mergeCell ref="A35:F35"/>
    <mergeCell ref="A49:F49"/>
  </mergeCells>
  <phoneticPr fontId="19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I112"/>
  <sheetViews>
    <sheetView showGridLines="0" topLeftCell="A107" workbookViewId="0">
      <selection activeCell="C109" sqref="C109"/>
    </sheetView>
  </sheetViews>
  <sheetFormatPr defaultRowHeight="12.75"/>
  <cols>
    <col min="2" max="2" width="19.5703125" customWidth="1"/>
    <col min="3" max="3" width="15.42578125" bestFit="1" customWidth="1"/>
    <col min="4" max="4" width="15.28515625" customWidth="1"/>
    <col min="5" max="5" width="12.140625" bestFit="1" customWidth="1"/>
    <col min="6" max="7" width="14.42578125" bestFit="1" customWidth="1"/>
    <col min="8" max="8" width="13.42578125" bestFit="1" customWidth="1"/>
    <col min="9" max="13" width="12.28515625" customWidth="1"/>
  </cols>
  <sheetData>
    <row r="1" spans="1:8" ht="27.75">
      <c r="A1" s="59" t="s">
        <v>145</v>
      </c>
      <c r="B1" s="60"/>
      <c r="C1" s="60"/>
      <c r="D1" s="60"/>
      <c r="E1" s="60"/>
      <c r="F1" s="60"/>
      <c r="G1" s="87"/>
      <c r="H1" s="61"/>
    </row>
    <row r="4" spans="1:8" ht="15.75">
      <c r="A4" s="70" t="s">
        <v>146</v>
      </c>
      <c r="B4" s="16"/>
      <c r="C4" s="16"/>
      <c r="D4" s="16"/>
      <c r="E4" s="16"/>
      <c r="F4" s="16"/>
      <c r="G4" s="16"/>
      <c r="H4" s="17"/>
    </row>
    <row r="5" spans="1:8" ht="119.25" customHeight="1">
      <c r="A5" s="463" t="s">
        <v>148</v>
      </c>
      <c r="B5" s="462"/>
      <c r="C5" s="462"/>
      <c r="D5" s="462"/>
      <c r="E5" s="462"/>
      <c r="F5" s="462"/>
      <c r="G5" s="462"/>
      <c r="H5" s="22"/>
    </row>
    <row r="8" spans="1:8" s="117" customFormat="1" ht="39">
      <c r="B8" s="130" t="s">
        <v>136</v>
      </c>
      <c r="C8" s="119" t="s">
        <v>138</v>
      </c>
      <c r="D8" s="119" t="s">
        <v>139</v>
      </c>
      <c r="E8" s="119" t="s">
        <v>142</v>
      </c>
      <c r="F8" s="120" t="s">
        <v>140</v>
      </c>
      <c r="G8" s="120" t="s">
        <v>141</v>
      </c>
      <c r="H8" s="119" t="s">
        <v>137</v>
      </c>
    </row>
    <row r="9" spans="1:8">
      <c r="B9" s="121">
        <v>1234567.8899999999</v>
      </c>
      <c r="C9" s="122">
        <f t="shared" ref="C9:E11" si="0">B9</f>
        <v>1234567.8899999999</v>
      </c>
      <c r="D9" s="123">
        <f t="shared" si="0"/>
        <v>1234567.8899999999</v>
      </c>
      <c r="E9" s="124">
        <f t="shared" si="0"/>
        <v>1234567.8899999999</v>
      </c>
      <c r="F9" s="125">
        <f t="shared" ref="F9:H12" si="1">E9</f>
        <v>1234567.8899999999</v>
      </c>
      <c r="G9" s="126">
        <f t="shared" si="1"/>
        <v>1234567.8899999999</v>
      </c>
      <c r="H9" s="127">
        <f t="shared" si="1"/>
        <v>1234567.8899999999</v>
      </c>
    </row>
    <row r="10" spans="1:8">
      <c r="B10" s="128">
        <v>12345</v>
      </c>
      <c r="C10" s="122">
        <f t="shared" si="0"/>
        <v>12345</v>
      </c>
      <c r="D10" s="123">
        <f t="shared" si="0"/>
        <v>12345</v>
      </c>
      <c r="E10" s="124">
        <f t="shared" si="0"/>
        <v>12345</v>
      </c>
      <c r="F10" s="125">
        <f t="shared" si="1"/>
        <v>12345</v>
      </c>
      <c r="G10" s="126">
        <f t="shared" si="1"/>
        <v>12345</v>
      </c>
      <c r="H10" s="127">
        <f t="shared" si="1"/>
        <v>12345</v>
      </c>
    </row>
    <row r="11" spans="1:8">
      <c r="B11" s="128">
        <v>-1234567.8</v>
      </c>
      <c r="C11" s="122">
        <f t="shared" si="0"/>
        <v>-1234567.8</v>
      </c>
      <c r="D11" s="129">
        <f t="shared" si="0"/>
        <v>-1234567.8</v>
      </c>
      <c r="E11" s="124">
        <f t="shared" si="0"/>
        <v>-1234567.8</v>
      </c>
      <c r="F11" s="125">
        <f t="shared" si="1"/>
        <v>-1234567.8</v>
      </c>
      <c r="G11" s="126">
        <f t="shared" si="1"/>
        <v>-1234567.8</v>
      </c>
      <c r="H11" s="127">
        <f t="shared" si="1"/>
        <v>-1234567.8</v>
      </c>
    </row>
    <row r="12" spans="1:8">
      <c r="B12" s="128">
        <v>-1234.5678</v>
      </c>
      <c r="C12" s="122">
        <f>B12</f>
        <v>-1234.5678</v>
      </c>
      <c r="D12" s="123">
        <f>C12</f>
        <v>-1234.5678</v>
      </c>
      <c r="E12" s="124">
        <f>D12</f>
        <v>-1234.5678</v>
      </c>
      <c r="F12" s="125">
        <f t="shared" si="1"/>
        <v>-1234.5678</v>
      </c>
      <c r="G12" s="126">
        <f t="shared" si="1"/>
        <v>-1234.5678</v>
      </c>
      <c r="H12" s="127">
        <f t="shared" si="1"/>
        <v>-1234.5678</v>
      </c>
    </row>
    <row r="16" spans="1:8" ht="18">
      <c r="B16" s="136" t="s">
        <v>144</v>
      </c>
    </row>
    <row r="17" spans="1:8" ht="18">
      <c r="B17" s="136" t="s">
        <v>143</v>
      </c>
    </row>
    <row r="18" spans="1:8" ht="18">
      <c r="B18" s="136"/>
    </row>
    <row r="19" spans="1:8" ht="39">
      <c r="B19" s="130" t="s">
        <v>147</v>
      </c>
      <c r="C19" s="133" t="s">
        <v>138</v>
      </c>
      <c r="D19" s="133" t="s">
        <v>139</v>
      </c>
      <c r="E19" s="133" t="s">
        <v>142</v>
      </c>
      <c r="F19" s="134" t="s">
        <v>140</v>
      </c>
      <c r="G19" s="134" t="s">
        <v>141</v>
      </c>
      <c r="H19" s="133" t="s">
        <v>137</v>
      </c>
    </row>
    <row r="20" spans="1:8">
      <c r="B20" s="131">
        <v>1234567.8899999999</v>
      </c>
      <c r="C20" s="135">
        <v>1234567.8899999999</v>
      </c>
      <c r="D20" s="135">
        <v>1234567.8899999999</v>
      </c>
      <c r="E20" s="135">
        <v>1234567.8899999999</v>
      </c>
      <c r="F20" s="135">
        <v>1234567.8899999999</v>
      </c>
      <c r="G20" s="135">
        <v>1234567.8899999999</v>
      </c>
      <c r="H20" s="135">
        <v>1234567.8899999999</v>
      </c>
    </row>
    <row r="21" spans="1:8">
      <c r="B21" s="132">
        <v>12345</v>
      </c>
      <c r="C21" s="135">
        <v>12345</v>
      </c>
      <c r="D21" s="135">
        <v>12345</v>
      </c>
      <c r="E21" s="135">
        <v>12345</v>
      </c>
      <c r="F21" s="135">
        <v>12345</v>
      </c>
      <c r="G21" s="135">
        <v>12345</v>
      </c>
      <c r="H21" s="135">
        <v>12345</v>
      </c>
    </row>
    <row r="22" spans="1:8">
      <c r="B22" s="132">
        <v>-1234567.8</v>
      </c>
      <c r="C22" s="135">
        <v>-1234567.8</v>
      </c>
      <c r="D22" s="135">
        <v>-1234567.8</v>
      </c>
      <c r="E22" s="135">
        <v>-1234567.8</v>
      </c>
      <c r="F22" s="135">
        <v>-1234567.8</v>
      </c>
      <c r="G22" s="135">
        <v>-1234567.8</v>
      </c>
      <c r="H22" s="135">
        <v>-1234567.8</v>
      </c>
    </row>
    <row r="23" spans="1:8">
      <c r="B23" s="132">
        <v>-1234.5678</v>
      </c>
      <c r="C23" s="135">
        <v>-1234.5678</v>
      </c>
      <c r="D23" s="135">
        <v>-1234.5678</v>
      </c>
      <c r="E23" s="135">
        <v>-1234.5678</v>
      </c>
      <c r="F23" s="135">
        <v>-1234.5678</v>
      </c>
      <c r="G23" s="135">
        <v>-1234.5678</v>
      </c>
      <c r="H23" s="135">
        <v>-1234.5678</v>
      </c>
    </row>
    <row r="28" spans="1:8" ht="15.75">
      <c r="A28" s="70" t="s">
        <v>149</v>
      </c>
      <c r="B28" s="16"/>
      <c r="C28" s="16"/>
      <c r="D28" s="16"/>
      <c r="E28" s="16"/>
      <c r="F28" s="16"/>
      <c r="G28" s="16"/>
      <c r="H28" s="17"/>
    </row>
    <row r="29" spans="1:8" ht="192.75" customHeight="1">
      <c r="A29" s="463" t="s">
        <v>164</v>
      </c>
      <c r="B29" s="462"/>
      <c r="C29" s="462"/>
      <c r="D29" s="462"/>
      <c r="E29" s="462"/>
      <c r="F29" s="462"/>
      <c r="G29" s="462"/>
      <c r="H29" s="22"/>
    </row>
    <row r="30" spans="1:8" ht="15">
      <c r="A30" s="4"/>
    </row>
    <row r="31" spans="1:8" s="99" customFormat="1" ht="31.5">
      <c r="A31" s="137"/>
      <c r="B31" s="142" t="s">
        <v>162</v>
      </c>
      <c r="C31" s="141" t="s">
        <v>150</v>
      </c>
      <c r="D31" s="141" t="s">
        <v>151</v>
      </c>
      <c r="E31" s="141" t="s">
        <v>152</v>
      </c>
      <c r="F31" s="118" t="s">
        <v>156</v>
      </c>
      <c r="G31" s="143"/>
    </row>
    <row r="32" spans="1:8" ht="15">
      <c r="A32" s="4"/>
      <c r="B32" s="144" t="s">
        <v>153</v>
      </c>
      <c r="C32" s="138">
        <f ca="1">TODAY()</f>
        <v>40534</v>
      </c>
      <c r="D32" s="138">
        <f ca="1">TODAY()</f>
        <v>40534</v>
      </c>
      <c r="E32" s="139">
        <f ca="1">TODAY()</f>
        <v>40534</v>
      </c>
      <c r="F32" s="140">
        <f ca="1">TODAY()</f>
        <v>40534</v>
      </c>
    </row>
    <row r="33" spans="2:8">
      <c r="B33" s="144" t="s">
        <v>154</v>
      </c>
      <c r="C33" s="138">
        <f ca="1">TODAY()+1</f>
        <v>40535</v>
      </c>
      <c r="D33" s="138">
        <f ca="1">TODAY()+1</f>
        <v>40535</v>
      </c>
      <c r="E33" s="139">
        <f ca="1">TODAY()+1</f>
        <v>40535</v>
      </c>
      <c r="F33" s="140">
        <f ca="1">TODAY()+1</f>
        <v>40535</v>
      </c>
    </row>
    <row r="34" spans="2:8">
      <c r="B34" s="144" t="s">
        <v>155</v>
      </c>
      <c r="C34" s="138">
        <f ca="1">TODAY()+2</f>
        <v>40536</v>
      </c>
      <c r="D34" s="138">
        <f ca="1">TODAY()+2</f>
        <v>40536</v>
      </c>
      <c r="E34" s="139">
        <f ca="1">TODAY()+2</f>
        <v>40536</v>
      </c>
      <c r="F34" s="140">
        <f ca="1">TODAY()+2</f>
        <v>40536</v>
      </c>
    </row>
    <row r="35" spans="2:8">
      <c r="B35" s="147">
        <v>1</v>
      </c>
      <c r="C35" s="138">
        <v>1</v>
      </c>
      <c r="D35" s="138">
        <v>1</v>
      </c>
      <c r="E35" s="139">
        <v>1</v>
      </c>
      <c r="F35" s="140">
        <v>1</v>
      </c>
    </row>
    <row r="36" spans="2:8">
      <c r="B36" s="99"/>
    </row>
    <row r="37" spans="2:8" ht="15">
      <c r="B37" s="145" t="s">
        <v>163</v>
      </c>
    </row>
    <row r="41" spans="2:8" ht="31.5">
      <c r="B41" s="142" t="s">
        <v>161</v>
      </c>
      <c r="C41" s="141" t="s">
        <v>158</v>
      </c>
      <c r="D41" s="464" t="s">
        <v>159</v>
      </c>
      <c r="E41" s="464"/>
      <c r="F41" s="466" t="s">
        <v>160</v>
      </c>
      <c r="G41" s="466"/>
      <c r="H41" s="118" t="s">
        <v>156</v>
      </c>
    </row>
    <row r="42" spans="2:8">
      <c r="B42" s="144" t="s">
        <v>157</v>
      </c>
      <c r="C42" s="148">
        <f ca="1">NOW()</f>
        <v>40534.71583090278</v>
      </c>
      <c r="D42" s="465">
        <f ca="1">NOW()</f>
        <v>40534.71583090278</v>
      </c>
      <c r="E42" s="465"/>
      <c r="F42" s="467">
        <f ca="1">NOW()</f>
        <v>40534.71583090278</v>
      </c>
      <c r="G42" s="467"/>
      <c r="H42" s="140">
        <f ca="1">NOW()</f>
        <v>40534.71583090278</v>
      </c>
    </row>
    <row r="43" spans="2:8">
      <c r="B43" s="146">
        <v>1</v>
      </c>
      <c r="C43" s="148">
        <v>1</v>
      </c>
      <c r="D43" s="465">
        <v>1</v>
      </c>
      <c r="E43" s="465"/>
      <c r="F43" s="467">
        <v>1</v>
      </c>
      <c r="G43" s="467"/>
      <c r="H43" s="140">
        <v>1</v>
      </c>
    </row>
    <row r="44" spans="2:8">
      <c r="B44" s="146">
        <v>1.25</v>
      </c>
      <c r="C44" s="148">
        <v>1.25</v>
      </c>
      <c r="D44" s="465">
        <v>1.25</v>
      </c>
      <c r="E44" s="465"/>
      <c r="F44" s="467">
        <v>1.25</v>
      </c>
      <c r="G44" s="467"/>
      <c r="H44" s="140">
        <v>1.25</v>
      </c>
    </row>
    <row r="45" spans="2:8">
      <c r="B45" s="146">
        <v>1.25</v>
      </c>
      <c r="C45" s="148">
        <v>1.5</v>
      </c>
      <c r="D45" s="465">
        <v>1.5</v>
      </c>
      <c r="E45" s="465"/>
      <c r="F45" s="467">
        <v>1.5</v>
      </c>
      <c r="G45" s="467"/>
      <c r="H45" s="140">
        <v>1.5</v>
      </c>
    </row>
    <row r="46" spans="2:8" ht="15">
      <c r="B46" s="145"/>
    </row>
    <row r="47" spans="2:8" ht="18">
      <c r="B47" s="149" t="s">
        <v>165</v>
      </c>
    </row>
    <row r="51" spans="1:9" ht="15.75">
      <c r="A51" s="70" t="s">
        <v>166</v>
      </c>
      <c r="B51" s="16"/>
      <c r="C51" s="16"/>
      <c r="D51" s="16"/>
      <c r="E51" s="16"/>
      <c r="F51" s="16"/>
      <c r="G51" s="16"/>
      <c r="H51" s="17"/>
    </row>
    <row r="52" spans="1:9" ht="15.75">
      <c r="A52" s="68"/>
      <c r="B52" s="18"/>
      <c r="C52" s="18"/>
      <c r="D52" s="18"/>
      <c r="E52" s="18"/>
      <c r="F52" s="18"/>
      <c r="G52" s="18"/>
      <c r="H52" s="19"/>
    </row>
    <row r="53" spans="1:9" ht="15.75">
      <c r="A53" s="150" t="s">
        <v>188</v>
      </c>
      <c r="B53" s="18"/>
      <c r="C53" s="18"/>
      <c r="D53" s="18"/>
      <c r="E53" s="18"/>
      <c r="F53" s="18"/>
      <c r="G53" s="18"/>
      <c r="H53" s="19"/>
    </row>
    <row r="54" spans="1:9" ht="15.75">
      <c r="A54" s="150"/>
      <c r="B54" s="18"/>
      <c r="C54" s="18"/>
      <c r="D54" s="18"/>
      <c r="E54" s="18"/>
      <c r="F54" s="18"/>
      <c r="G54" s="18"/>
      <c r="H54" s="19"/>
    </row>
    <row r="55" spans="1:9" ht="15.75">
      <c r="A55" s="150" t="s">
        <v>187</v>
      </c>
      <c r="B55" s="18"/>
      <c r="C55" s="18"/>
      <c r="D55" s="18"/>
      <c r="E55" s="18"/>
      <c r="F55" s="18"/>
      <c r="G55" s="18"/>
      <c r="H55" s="19"/>
    </row>
    <row r="56" spans="1:9" ht="15.75">
      <c r="A56" s="150"/>
      <c r="B56" s="18"/>
      <c r="C56" s="18"/>
      <c r="D56" s="18"/>
      <c r="E56" s="18"/>
      <c r="F56" s="18"/>
      <c r="G56" s="18"/>
      <c r="H56" s="19"/>
    </row>
    <row r="57" spans="1:9" ht="15.75">
      <c r="A57" s="150"/>
      <c r="B57" s="18"/>
      <c r="C57" s="18"/>
      <c r="D57" s="18"/>
      <c r="E57" s="18"/>
      <c r="F57" s="18"/>
      <c r="G57" s="18"/>
      <c r="H57" s="19"/>
    </row>
    <row r="58" spans="1:9" ht="15.75">
      <c r="A58" s="150" t="s">
        <v>173</v>
      </c>
      <c r="B58" s="18"/>
      <c r="C58" s="18"/>
      <c r="D58" s="18"/>
      <c r="E58" s="18"/>
      <c r="F58" s="18"/>
      <c r="G58" s="18"/>
      <c r="H58" s="19"/>
    </row>
    <row r="59" spans="1:9" ht="15.75">
      <c r="A59" s="150"/>
      <c r="B59" s="152" t="s">
        <v>167</v>
      </c>
      <c r="C59" s="152"/>
      <c r="D59" s="152"/>
      <c r="E59" s="152"/>
      <c r="F59" s="152"/>
      <c r="G59" s="152"/>
      <c r="H59" s="153"/>
      <c r="I59" s="154"/>
    </row>
    <row r="60" spans="1:9" ht="15.75">
      <c r="A60" s="150"/>
      <c r="B60" s="152" t="s">
        <v>168</v>
      </c>
      <c r="C60" s="152" t="s">
        <v>90</v>
      </c>
      <c r="D60" s="152" t="s">
        <v>91</v>
      </c>
      <c r="E60" s="152" t="s">
        <v>169</v>
      </c>
      <c r="F60" s="152" t="s">
        <v>170</v>
      </c>
      <c r="G60" s="152" t="s">
        <v>171</v>
      </c>
      <c r="H60" s="153" t="s">
        <v>172</v>
      </c>
      <c r="I60" s="154"/>
    </row>
    <row r="61" spans="1:9" ht="15.75">
      <c r="A61" s="181"/>
      <c r="B61" s="182"/>
      <c r="C61" s="182"/>
      <c r="D61" s="182"/>
      <c r="E61" s="182"/>
      <c r="F61" s="182"/>
      <c r="G61" s="182"/>
      <c r="H61" s="183"/>
      <c r="I61" s="1"/>
    </row>
    <row r="62" spans="1:9" ht="15.75">
      <c r="A62" s="184"/>
      <c r="B62" s="185"/>
      <c r="C62" s="185"/>
      <c r="D62" s="185"/>
      <c r="E62" s="185"/>
      <c r="F62" s="185"/>
      <c r="G62" s="185"/>
      <c r="H62" s="185"/>
      <c r="I62" s="1"/>
    </row>
    <row r="63" spans="1:9" ht="15.75">
      <c r="A63" s="184"/>
      <c r="B63" s="185"/>
      <c r="C63" s="185"/>
      <c r="D63" s="185"/>
      <c r="E63" s="185"/>
      <c r="F63" s="185"/>
      <c r="G63" s="185"/>
      <c r="H63" s="185"/>
      <c r="I63" s="1"/>
    </row>
    <row r="64" spans="1:9" ht="15.75">
      <c r="A64" s="186"/>
      <c r="B64" s="187"/>
      <c r="C64" s="187"/>
      <c r="D64" s="187"/>
      <c r="E64" s="187"/>
      <c r="F64" s="187"/>
      <c r="G64" s="187"/>
      <c r="H64" s="187"/>
      <c r="I64" s="1"/>
    </row>
    <row r="65" spans="1:9" ht="15.75">
      <c r="A65" s="68" t="s">
        <v>192</v>
      </c>
      <c r="B65" s="163"/>
      <c r="C65" s="163"/>
      <c r="D65" s="163"/>
      <c r="E65" s="163"/>
      <c r="F65" s="163"/>
      <c r="G65" s="163"/>
      <c r="H65" s="180"/>
      <c r="I65" s="1"/>
    </row>
    <row r="66" spans="1:9" ht="15.75">
      <c r="A66" s="150"/>
      <c r="B66" s="163"/>
      <c r="C66" s="163"/>
      <c r="D66" s="163"/>
      <c r="E66" s="163"/>
      <c r="F66" s="163"/>
      <c r="G66" s="163"/>
      <c r="H66" s="180"/>
      <c r="I66" s="1"/>
    </row>
    <row r="67" spans="1:9" ht="15.75">
      <c r="A67" s="150" t="s">
        <v>188</v>
      </c>
      <c r="B67" s="163"/>
      <c r="C67" s="163"/>
      <c r="D67" s="163"/>
      <c r="E67" s="163"/>
      <c r="F67" s="163"/>
      <c r="G67" s="163"/>
      <c r="H67" s="180"/>
      <c r="I67" s="1"/>
    </row>
    <row r="68" spans="1:9" ht="15.75">
      <c r="A68" s="150"/>
      <c r="B68" s="151"/>
      <c r="C68" s="151"/>
      <c r="D68" s="151"/>
      <c r="E68" s="18"/>
      <c r="F68" s="18"/>
      <c r="G68" s="18"/>
      <c r="H68" s="19"/>
    </row>
    <row r="69" spans="1:9" ht="15.75">
      <c r="A69" s="150" t="s">
        <v>190</v>
      </c>
      <c r="B69" s="18"/>
      <c r="C69" s="18"/>
      <c r="D69" s="18"/>
      <c r="E69" s="18"/>
      <c r="F69" s="18"/>
      <c r="G69" s="18"/>
      <c r="H69" s="19"/>
    </row>
    <row r="70" spans="1:9" ht="15.75">
      <c r="A70" s="150"/>
      <c r="B70" s="164"/>
      <c r="C70" s="164"/>
      <c r="D70" s="164"/>
      <c r="E70" s="18"/>
      <c r="F70" s="18"/>
      <c r="G70" s="18"/>
      <c r="H70" s="19"/>
    </row>
    <row r="71" spans="1:9" ht="15.75">
      <c r="A71" s="150"/>
      <c r="B71" s="164"/>
      <c r="C71" s="164"/>
      <c r="D71" s="164"/>
      <c r="E71" s="18"/>
      <c r="F71" s="18"/>
      <c r="G71" s="18"/>
      <c r="H71" s="19"/>
    </row>
    <row r="72" spans="1:9" ht="15.75">
      <c r="A72" s="150" t="s">
        <v>189</v>
      </c>
      <c r="B72" s="18"/>
      <c r="C72" s="18"/>
      <c r="D72" s="18"/>
      <c r="E72" s="18"/>
      <c r="F72" s="18"/>
      <c r="G72" s="18"/>
      <c r="H72" s="19"/>
    </row>
    <row r="73" spans="1:9" ht="15.75">
      <c r="A73" s="150"/>
      <c r="B73" s="165"/>
      <c r="C73" s="166"/>
      <c r="D73" s="167"/>
      <c r="E73" s="18"/>
      <c r="F73" s="18"/>
      <c r="G73" s="18"/>
      <c r="H73" s="19"/>
    </row>
    <row r="74" spans="1:9" ht="15.75">
      <c r="A74" s="150"/>
      <c r="B74" s="168"/>
      <c r="C74" s="169"/>
      <c r="D74" s="170"/>
      <c r="E74" s="18"/>
      <c r="F74" s="18"/>
      <c r="G74" s="18"/>
      <c r="H74" s="19"/>
    </row>
    <row r="75" spans="1:9" ht="15.75">
      <c r="A75" s="150"/>
      <c r="B75" s="18"/>
      <c r="C75" s="18"/>
      <c r="D75" s="18"/>
      <c r="E75" s="18"/>
      <c r="F75" s="18"/>
      <c r="G75" s="18"/>
      <c r="H75" s="19"/>
    </row>
    <row r="76" spans="1:9" ht="15.75">
      <c r="A76" s="150"/>
      <c r="B76" s="18"/>
      <c r="C76" s="18"/>
      <c r="D76" s="18"/>
      <c r="E76" s="18"/>
      <c r="F76" s="18"/>
      <c r="G76" s="18"/>
      <c r="H76" s="19"/>
    </row>
    <row r="77" spans="1:9" ht="15.75">
      <c r="A77" s="150" t="s">
        <v>191</v>
      </c>
      <c r="B77" s="18"/>
      <c r="C77" s="18"/>
      <c r="D77" s="18"/>
      <c r="E77" s="18"/>
      <c r="F77" s="18"/>
      <c r="G77" s="18"/>
      <c r="H77" s="19"/>
    </row>
    <row r="78" spans="1:9" ht="15.75">
      <c r="A78" s="150"/>
      <c r="B78" s="27"/>
      <c r="C78" s="27"/>
      <c r="D78" s="27"/>
      <c r="E78" s="18"/>
      <c r="F78" s="18"/>
      <c r="G78" s="18"/>
      <c r="H78" s="19"/>
    </row>
    <row r="79" spans="1:9" ht="15.75">
      <c r="A79" s="150"/>
      <c r="B79" s="27"/>
      <c r="C79" s="27"/>
      <c r="D79" s="27"/>
      <c r="E79" s="18"/>
      <c r="F79" s="18"/>
      <c r="G79" s="18"/>
      <c r="H79" s="19"/>
    </row>
    <row r="80" spans="1:9" ht="15.75">
      <c r="A80" s="150"/>
      <c r="B80" s="27"/>
      <c r="C80" s="27"/>
      <c r="D80" s="27"/>
      <c r="E80" s="18"/>
      <c r="F80" s="18"/>
      <c r="G80" s="18"/>
      <c r="H80" s="19"/>
    </row>
    <row r="81" spans="1:8" ht="15.75">
      <c r="A81" s="150" t="s">
        <v>189</v>
      </c>
      <c r="B81" s="18"/>
      <c r="C81" s="18"/>
      <c r="D81" s="18"/>
      <c r="E81" s="18"/>
      <c r="F81" s="18"/>
      <c r="G81" s="18"/>
      <c r="H81" s="19"/>
    </row>
    <row r="82" spans="1:8" ht="16.5" thickBot="1">
      <c r="A82" s="150"/>
      <c r="B82" s="177"/>
      <c r="C82" s="174"/>
      <c r="D82" s="173"/>
      <c r="E82" s="18"/>
      <c r="F82" s="18"/>
      <c r="G82" s="18"/>
      <c r="H82" s="19"/>
    </row>
    <row r="83" spans="1:8" ht="16.5" thickTop="1">
      <c r="A83" s="150"/>
      <c r="B83" s="178"/>
      <c r="C83" s="175"/>
      <c r="D83" s="172"/>
      <c r="E83" s="18"/>
      <c r="F83" s="18"/>
      <c r="G83" s="18"/>
      <c r="H83" s="19"/>
    </row>
    <row r="84" spans="1:8" ht="15.75">
      <c r="A84" s="150"/>
      <c r="B84" s="179"/>
      <c r="C84" s="176"/>
      <c r="D84" s="171"/>
      <c r="E84" s="18"/>
      <c r="F84" s="18"/>
      <c r="G84" s="18"/>
      <c r="H84" s="19"/>
    </row>
    <row r="85" spans="1:8" ht="15">
      <c r="A85" s="462"/>
      <c r="B85" s="462"/>
      <c r="C85" s="462"/>
      <c r="D85" s="462"/>
      <c r="E85" s="462"/>
      <c r="F85" s="462"/>
      <c r="G85" s="462"/>
      <c r="H85" s="22"/>
    </row>
    <row r="89" spans="1:8" ht="15.75">
      <c r="A89" s="70" t="s">
        <v>247</v>
      </c>
      <c r="B89" s="16"/>
      <c r="C89" s="16"/>
      <c r="D89" s="16"/>
      <c r="E89" s="16"/>
      <c r="F89" s="16"/>
      <c r="G89" s="16"/>
      <c r="H89" s="17"/>
    </row>
    <row r="90" spans="1:8" ht="15.75">
      <c r="A90" s="68"/>
      <c r="B90" s="18"/>
      <c r="C90" s="18"/>
      <c r="D90" s="18"/>
      <c r="E90" s="18"/>
      <c r="F90" s="18"/>
      <c r="G90" s="18"/>
      <c r="H90" s="19"/>
    </row>
    <row r="91" spans="1:8" ht="15">
      <c r="A91" s="84" t="s">
        <v>248</v>
      </c>
      <c r="B91" s="18"/>
      <c r="C91" s="18"/>
      <c r="D91" s="18"/>
      <c r="E91" s="18"/>
      <c r="F91" s="18"/>
      <c r="G91" s="18"/>
      <c r="H91" s="19"/>
    </row>
    <row r="92" spans="1:8" ht="15.75">
      <c r="A92" s="150"/>
      <c r="B92" s="18"/>
      <c r="C92" s="18"/>
      <c r="D92" s="18"/>
      <c r="E92" s="18"/>
      <c r="F92" s="18"/>
      <c r="G92" s="18"/>
      <c r="H92" s="19"/>
    </row>
    <row r="93" spans="1:8" ht="15">
      <c r="A93" s="84" t="s">
        <v>255</v>
      </c>
      <c r="B93" s="18"/>
      <c r="C93" s="18"/>
      <c r="D93" s="18"/>
      <c r="E93" s="164" t="s">
        <v>251</v>
      </c>
      <c r="F93" s="164" t="s">
        <v>254</v>
      </c>
      <c r="G93" s="164" t="s">
        <v>252</v>
      </c>
      <c r="H93" s="19"/>
    </row>
    <row r="94" spans="1:8" ht="15.75">
      <c r="A94" s="84" t="s">
        <v>513</v>
      </c>
      <c r="B94" s="18"/>
      <c r="C94" s="18"/>
      <c r="D94" s="18"/>
      <c r="E94" s="164" t="s">
        <v>252</v>
      </c>
      <c r="F94" s="164" t="s">
        <v>253</v>
      </c>
      <c r="G94" s="164" t="s">
        <v>251</v>
      </c>
      <c r="H94" s="19"/>
    </row>
    <row r="95" spans="1:8" ht="15">
      <c r="A95" s="84" t="s">
        <v>257</v>
      </c>
      <c r="B95" s="18"/>
      <c r="C95" s="18"/>
      <c r="D95" s="18"/>
      <c r="E95" s="164"/>
      <c r="F95" s="164" t="s">
        <v>251</v>
      </c>
      <c r="G95" s="164" t="s">
        <v>253</v>
      </c>
      <c r="H95" s="19"/>
    </row>
    <row r="96" spans="1:8" ht="15">
      <c r="A96" s="84"/>
      <c r="B96" s="18"/>
      <c r="C96" s="18"/>
      <c r="D96" s="18"/>
      <c r="E96" s="18"/>
      <c r="F96" s="18"/>
      <c r="G96" s="18"/>
      <c r="H96" s="19"/>
    </row>
    <row r="97" spans="1:9" ht="15">
      <c r="A97" s="84"/>
      <c r="B97" s="18"/>
      <c r="C97" s="18"/>
      <c r="D97" s="18"/>
      <c r="E97" s="18"/>
      <c r="F97" s="18"/>
      <c r="G97" s="18"/>
      <c r="H97" s="19"/>
    </row>
    <row r="98" spans="1:9" ht="15">
      <c r="A98" s="84" t="s">
        <v>256</v>
      </c>
      <c r="B98" s="18"/>
      <c r="C98" s="18"/>
      <c r="D98" s="18"/>
      <c r="E98" s="18"/>
      <c r="F98" s="18"/>
      <c r="G98" s="18"/>
      <c r="H98" s="19"/>
    </row>
    <row r="99" spans="1:9" ht="15">
      <c r="A99" s="84"/>
      <c r="B99" s="18"/>
      <c r="C99" s="18"/>
      <c r="D99" s="18"/>
      <c r="E99" s="18"/>
      <c r="F99" s="18"/>
      <c r="G99" s="18"/>
      <c r="H99" s="19"/>
    </row>
    <row r="100" spans="1:9" ht="15">
      <c r="A100" s="84" t="s">
        <v>258</v>
      </c>
      <c r="B100" s="18"/>
      <c r="C100" s="18"/>
      <c r="D100" s="18"/>
      <c r="E100" s="18"/>
      <c r="F100" s="18"/>
      <c r="G100" s="18"/>
      <c r="H100" s="19"/>
    </row>
    <row r="101" spans="1:9" ht="15">
      <c r="A101" s="84" t="s">
        <v>259</v>
      </c>
      <c r="B101" s="18"/>
      <c r="C101" s="18"/>
      <c r="D101" s="18"/>
      <c r="E101" s="18"/>
      <c r="F101" s="18"/>
      <c r="G101" s="18"/>
      <c r="H101" s="19"/>
    </row>
    <row r="102" spans="1:9" ht="15">
      <c r="A102" s="84"/>
      <c r="B102" s="18"/>
      <c r="C102" s="18"/>
      <c r="D102" s="18"/>
      <c r="E102" s="18"/>
      <c r="F102" s="18"/>
      <c r="G102" s="18"/>
      <c r="H102" s="19"/>
    </row>
    <row r="103" spans="1:9" ht="15">
      <c r="A103" s="84"/>
      <c r="B103" s="18"/>
      <c r="C103" s="18"/>
      <c r="D103" s="18"/>
      <c r="E103" s="18"/>
      <c r="F103" s="18"/>
      <c r="G103" s="18"/>
      <c r="H103" s="19"/>
    </row>
    <row r="104" spans="1:9" ht="15.75">
      <c r="A104" s="150" t="s">
        <v>249</v>
      </c>
      <c r="B104" s="18"/>
      <c r="C104" s="18"/>
      <c r="D104" s="18"/>
      <c r="E104" s="18"/>
      <c r="F104" s="18"/>
      <c r="G104" s="18"/>
      <c r="H104" s="19"/>
    </row>
    <row r="105" spans="1:9" ht="15.75">
      <c r="A105" s="150" t="s">
        <v>250</v>
      </c>
      <c r="B105" s="18"/>
      <c r="C105" s="18"/>
      <c r="D105" s="18"/>
      <c r="E105" s="18"/>
      <c r="F105" s="18"/>
      <c r="G105" s="18"/>
      <c r="H105" s="19"/>
    </row>
    <row r="106" spans="1:9" ht="15">
      <c r="A106" s="84"/>
      <c r="B106" s="18"/>
      <c r="C106" s="18"/>
      <c r="D106" s="18"/>
      <c r="E106" s="18"/>
      <c r="F106" s="18"/>
      <c r="G106" s="18"/>
      <c r="H106" s="19"/>
    </row>
    <row r="107" spans="1:9" ht="39">
      <c r="A107" s="84"/>
      <c r="B107" s="130" t="s">
        <v>147</v>
      </c>
      <c r="C107" s="133" t="s">
        <v>138</v>
      </c>
      <c r="D107" s="133" t="s">
        <v>139</v>
      </c>
      <c r="E107" s="133" t="s">
        <v>142</v>
      </c>
      <c r="F107" s="134" t="s">
        <v>140</v>
      </c>
      <c r="G107" s="134" t="s">
        <v>141</v>
      </c>
      <c r="H107" s="211" t="s">
        <v>137</v>
      </c>
      <c r="I107" s="154"/>
    </row>
    <row r="108" spans="1:9" ht="15">
      <c r="A108" s="84"/>
      <c r="B108" s="131">
        <v>1234567.8899999999</v>
      </c>
      <c r="C108" s="135">
        <v>1234567.8899999999</v>
      </c>
      <c r="D108" s="135">
        <v>1234567.8899999999</v>
      </c>
      <c r="E108" s="135">
        <v>1234567.8899999999</v>
      </c>
      <c r="F108" s="135">
        <v>1234567.8899999999</v>
      </c>
      <c r="G108" s="135">
        <v>1234567.8899999999</v>
      </c>
      <c r="H108" s="212">
        <v>1234567.8899999999</v>
      </c>
      <c r="I108" s="154"/>
    </row>
    <row r="109" spans="1:9" ht="15">
      <c r="A109" s="84"/>
      <c r="B109" s="131">
        <v>12345</v>
      </c>
      <c r="C109" s="135">
        <v>12345</v>
      </c>
      <c r="D109" s="135">
        <v>12345</v>
      </c>
      <c r="E109" s="135">
        <v>12345</v>
      </c>
      <c r="F109" s="135">
        <v>12345</v>
      </c>
      <c r="G109" s="135">
        <v>12345</v>
      </c>
      <c r="H109" s="212">
        <v>12345</v>
      </c>
      <c r="I109" s="154"/>
    </row>
    <row r="110" spans="1:9" ht="15.75">
      <c r="A110" s="150"/>
      <c r="B110" s="131">
        <v>-1234567.8</v>
      </c>
      <c r="C110" s="135">
        <v>-1234567.8</v>
      </c>
      <c r="D110" s="135">
        <v>-1234567.8</v>
      </c>
      <c r="E110" s="135">
        <v>-1234567.8</v>
      </c>
      <c r="F110" s="135">
        <v>-1234567.8</v>
      </c>
      <c r="G110" s="135">
        <v>-1234567.8</v>
      </c>
      <c r="H110" s="212">
        <v>-1234567.8</v>
      </c>
      <c r="I110" s="154"/>
    </row>
    <row r="111" spans="1:9" ht="15.75">
      <c r="A111" s="150"/>
      <c r="B111" s="131">
        <v>-1234.5678</v>
      </c>
      <c r="C111" s="135">
        <v>-1234.5678</v>
      </c>
      <c r="D111" s="135">
        <v>-1234.5678</v>
      </c>
      <c r="E111" s="135">
        <v>-1234.5678</v>
      </c>
      <c r="F111" s="135">
        <v>-1234.5678</v>
      </c>
      <c r="G111" s="135">
        <v>-1234.5678</v>
      </c>
      <c r="H111" s="212">
        <v>-1234.5678</v>
      </c>
      <c r="I111" s="154"/>
    </row>
    <row r="112" spans="1:9" ht="15.75">
      <c r="A112" s="181"/>
      <c r="B112" s="182"/>
      <c r="C112" s="182"/>
      <c r="D112" s="182"/>
      <c r="E112" s="182"/>
      <c r="F112" s="182"/>
      <c r="G112" s="182"/>
      <c r="H112" s="210"/>
    </row>
  </sheetData>
  <mergeCells count="13">
    <mergeCell ref="D45:E45"/>
    <mergeCell ref="F45:G45"/>
    <mergeCell ref="A85:G85"/>
    <mergeCell ref="D43:E43"/>
    <mergeCell ref="F43:G43"/>
    <mergeCell ref="D44:E44"/>
    <mergeCell ref="F44:G44"/>
    <mergeCell ref="A5:G5"/>
    <mergeCell ref="A29:G29"/>
    <mergeCell ref="D41:E41"/>
    <mergeCell ref="D42:E42"/>
    <mergeCell ref="F41:G41"/>
    <mergeCell ref="F42:G42"/>
  </mergeCells>
  <phoneticPr fontId="20" type="noConversion"/>
  <conditionalFormatting sqref="E93:G97">
    <cfRule type="cellIs" dxfId="4" priority="2" stopIfTrue="1" operator="equal">
      <formula>"red"</formula>
    </cfRule>
    <cfRule type="cellIs" dxfId="3" priority="3" stopIfTrue="1" operator="equal">
      <formula>"green"</formula>
    </cfRule>
    <cfRule type="cellIs" dxfId="2" priority="4" stopIfTrue="1" operator="equal">
      <formula>"blue"</formula>
    </cfRule>
  </conditionalFormatting>
  <conditionalFormatting sqref="B108:H111">
    <cfRule type="cellIs" dxfId="1" priority="1" operator="lessThan">
      <formula>0</formula>
    </cfRule>
  </conditionalFormatting>
  <pageMargins left="0.75" right="0.75" top="1" bottom="1" header="0.5" footer="0.5"/>
  <pageSetup orientation="portrait" verticalDpi="0" r:id="rId1"/>
  <headerFooter alignWithMargins="0">
    <oddHeader>&amp;A</oddHeader>
    <oddFooter>Page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K94"/>
  <sheetViews>
    <sheetView showGridLines="0" topLeftCell="A66" workbookViewId="0">
      <selection activeCell="B75" sqref="B75"/>
    </sheetView>
  </sheetViews>
  <sheetFormatPr defaultRowHeight="12.75"/>
  <cols>
    <col min="1" max="1" width="44.7109375" customWidth="1"/>
    <col min="2" max="2" width="11.42578125" bestFit="1" customWidth="1"/>
    <col min="3" max="3" width="11.7109375" customWidth="1"/>
    <col min="11" max="11" width="8.5703125" customWidth="1"/>
  </cols>
  <sheetData>
    <row r="1" spans="1:11" ht="27.75">
      <c r="A1" s="59" t="s">
        <v>193</v>
      </c>
      <c r="B1" s="60"/>
      <c r="C1" s="60"/>
      <c r="D1" s="60"/>
      <c r="E1" s="60"/>
      <c r="F1" s="60"/>
      <c r="G1" s="87"/>
      <c r="H1" s="60"/>
      <c r="I1" s="87"/>
    </row>
    <row r="3" spans="1:11" ht="15">
      <c r="A3" s="191"/>
      <c r="B3" s="3"/>
      <c r="C3" s="3"/>
      <c r="D3" s="3"/>
      <c r="E3" s="3"/>
      <c r="F3" s="3"/>
      <c r="G3" s="3"/>
      <c r="H3" s="3"/>
      <c r="I3" s="3"/>
      <c r="J3" s="3"/>
      <c r="K3" s="3"/>
    </row>
    <row r="4" spans="1:11" ht="15.75">
      <c r="A4" s="188" t="s">
        <v>197</v>
      </c>
      <c r="B4" s="113"/>
      <c r="C4" s="113"/>
      <c r="D4" s="113"/>
      <c r="E4" s="113"/>
      <c r="F4" s="113"/>
      <c r="G4" s="113"/>
      <c r="H4" s="113"/>
      <c r="I4" s="113"/>
      <c r="J4" s="113"/>
      <c r="K4" s="192"/>
    </row>
    <row r="5" spans="1:11" ht="15" customHeight="1">
      <c r="A5" s="23" t="s">
        <v>195</v>
      </c>
      <c r="B5" s="18"/>
      <c r="C5" s="189">
        <v>123</v>
      </c>
      <c r="D5" s="189">
        <v>456</v>
      </c>
      <c r="E5" s="128"/>
      <c r="F5" s="18"/>
      <c r="G5" s="18"/>
      <c r="H5" s="18"/>
      <c r="I5" s="18"/>
      <c r="J5" s="18"/>
      <c r="K5" s="19"/>
    </row>
    <row r="6" spans="1:11" ht="17.25" customHeight="1">
      <c r="A6" s="23" t="s">
        <v>196</v>
      </c>
      <c r="B6" s="18"/>
      <c r="C6" s="18"/>
      <c r="D6" s="18"/>
      <c r="E6" s="18"/>
      <c r="F6" s="18"/>
      <c r="G6" s="18"/>
      <c r="H6" s="18"/>
      <c r="I6" s="18"/>
      <c r="J6" s="18"/>
      <c r="K6" s="19"/>
    </row>
    <row r="7" spans="1:11" ht="17.25" customHeight="1">
      <c r="A7" s="23" t="s">
        <v>198</v>
      </c>
      <c r="B7" s="18"/>
      <c r="C7" s="18"/>
      <c r="D7" s="18"/>
      <c r="E7" s="18"/>
      <c r="F7" s="18"/>
      <c r="G7" s="18"/>
      <c r="H7" s="18"/>
      <c r="I7" s="18"/>
      <c r="J7" s="18"/>
      <c r="K7" s="19"/>
    </row>
    <row r="8" spans="1:11" ht="33.75" customHeight="1">
      <c r="A8" s="23"/>
      <c r="B8" s="18"/>
      <c r="C8" s="18"/>
      <c r="D8" s="18"/>
      <c r="E8" s="18"/>
      <c r="F8" s="18"/>
      <c r="G8" s="18"/>
      <c r="H8" s="18"/>
      <c r="I8" s="18"/>
      <c r="J8" s="18"/>
      <c r="K8" s="19"/>
    </row>
    <row r="9" spans="1:11" ht="17.25" customHeight="1">
      <c r="A9" s="23" t="s">
        <v>199</v>
      </c>
      <c r="B9" s="18"/>
      <c r="C9" s="189">
        <v>1</v>
      </c>
      <c r="D9" s="189">
        <v>2</v>
      </c>
      <c r="E9" s="189">
        <v>3</v>
      </c>
      <c r="F9" s="189">
        <v>4</v>
      </c>
      <c r="G9" s="128"/>
      <c r="H9" s="18"/>
      <c r="I9" s="18"/>
      <c r="J9" s="18"/>
      <c r="K9" s="19"/>
    </row>
    <row r="10" spans="1:11" ht="17.25" customHeight="1">
      <c r="A10" s="23" t="s">
        <v>200</v>
      </c>
      <c r="B10" s="18"/>
      <c r="C10" s="18"/>
      <c r="D10" s="18"/>
      <c r="E10" s="18"/>
      <c r="F10" s="18"/>
      <c r="G10" s="18"/>
      <c r="H10" s="18"/>
      <c r="I10" s="18"/>
      <c r="J10" s="18"/>
      <c r="K10" s="19"/>
    </row>
    <row r="11" spans="1:11" ht="15">
      <c r="A11" s="23" t="s">
        <v>246</v>
      </c>
      <c r="B11" s="18"/>
      <c r="C11" s="18"/>
      <c r="D11" s="18"/>
      <c r="E11" s="18"/>
      <c r="F11" s="18"/>
      <c r="G11" s="18"/>
      <c r="H11" s="18"/>
      <c r="I11" s="18"/>
      <c r="J11" s="18"/>
      <c r="K11" s="19"/>
    </row>
    <row r="12" spans="1:11" ht="33" customHeight="1">
      <c r="A12" s="23"/>
      <c r="B12" s="18"/>
      <c r="C12" s="18"/>
      <c r="D12" s="18"/>
      <c r="E12" s="18"/>
      <c r="F12" s="18"/>
      <c r="G12" s="18"/>
      <c r="H12" s="18"/>
      <c r="I12" s="18"/>
      <c r="J12" s="18"/>
      <c r="K12" s="19"/>
    </row>
    <row r="13" spans="1:11" ht="17.25" customHeight="1">
      <c r="A13" s="23" t="s">
        <v>201</v>
      </c>
      <c r="B13" s="18"/>
      <c r="C13" s="189">
        <v>1</v>
      </c>
      <c r="D13" s="190">
        <v>2</v>
      </c>
      <c r="E13" s="128">
        <f>C13+D13</f>
        <v>3</v>
      </c>
      <c r="F13" s="18"/>
      <c r="G13" s="26"/>
      <c r="H13" s="18"/>
      <c r="I13" s="18"/>
      <c r="J13" s="18"/>
      <c r="K13" s="19"/>
    </row>
    <row r="14" spans="1:11" ht="17.25" customHeight="1">
      <c r="A14" s="23" t="s">
        <v>202</v>
      </c>
      <c r="B14" s="18"/>
      <c r="C14" s="189">
        <v>3</v>
      </c>
      <c r="D14" s="189">
        <v>4</v>
      </c>
      <c r="E14" s="128"/>
      <c r="F14" s="18"/>
      <c r="G14" s="26"/>
      <c r="H14" s="18"/>
      <c r="I14" s="18"/>
      <c r="J14" s="18"/>
      <c r="K14" s="19"/>
    </row>
    <row r="15" spans="1:11" ht="17.25" customHeight="1">
      <c r="A15" s="23" t="s">
        <v>203</v>
      </c>
      <c r="B15" s="18"/>
      <c r="C15" s="189">
        <v>5</v>
      </c>
      <c r="D15" s="189">
        <v>6</v>
      </c>
      <c r="E15" s="128"/>
      <c r="F15" s="18"/>
      <c r="G15" s="26"/>
      <c r="H15" s="18"/>
      <c r="I15" s="18"/>
      <c r="J15" s="18"/>
      <c r="K15" s="19"/>
    </row>
    <row r="16" spans="1:11" ht="17.25" customHeight="1">
      <c r="A16" s="23" t="s">
        <v>204</v>
      </c>
      <c r="B16" s="18"/>
      <c r="C16" s="189">
        <v>7</v>
      </c>
      <c r="D16" s="189">
        <v>8</v>
      </c>
      <c r="E16" s="128"/>
      <c r="F16" s="18"/>
      <c r="G16" s="26"/>
      <c r="H16" s="18"/>
      <c r="I16" s="18"/>
      <c r="J16" s="18"/>
      <c r="K16" s="19"/>
    </row>
    <row r="17" spans="1:11" ht="17.25" customHeight="1">
      <c r="A17" s="23" t="s">
        <v>205</v>
      </c>
      <c r="B17" s="18"/>
      <c r="C17" s="18"/>
      <c r="D17" s="18"/>
      <c r="E17" s="128"/>
      <c r="F17" s="18"/>
      <c r="G17" s="26"/>
      <c r="H17" s="18"/>
      <c r="I17" s="18"/>
      <c r="J17" s="18"/>
      <c r="K17" s="19"/>
    </row>
    <row r="18" spans="1:11" ht="17.25" customHeight="1">
      <c r="A18" s="23"/>
      <c r="B18" s="18"/>
      <c r="C18" s="18"/>
      <c r="D18" s="18"/>
      <c r="E18" s="18"/>
      <c r="F18" s="18"/>
      <c r="G18" s="26"/>
      <c r="H18" s="18"/>
      <c r="I18" s="18"/>
      <c r="J18" s="18"/>
      <c r="K18" s="19"/>
    </row>
    <row r="19" spans="1:11" ht="17.25" customHeight="1">
      <c r="A19" s="23" t="s">
        <v>206</v>
      </c>
      <c r="B19" s="18"/>
      <c r="C19" s="18"/>
      <c r="D19" s="18"/>
      <c r="E19" s="18"/>
      <c r="F19" s="18"/>
      <c r="G19" s="26"/>
      <c r="H19" s="18"/>
      <c r="I19" s="18"/>
      <c r="J19" s="18"/>
      <c r="K19" s="19"/>
    </row>
    <row r="20" spans="1:11" ht="15">
      <c r="A20" s="193"/>
      <c r="B20" s="21"/>
      <c r="C20" s="21"/>
      <c r="D20" s="21"/>
      <c r="E20" s="21"/>
      <c r="F20" s="21"/>
      <c r="G20" s="21"/>
      <c r="H20" s="21"/>
      <c r="I20" s="21"/>
      <c r="J20" s="21"/>
      <c r="K20" s="22"/>
    </row>
    <row r="21" spans="1:11" ht="15">
      <c r="A21" s="7"/>
    </row>
    <row r="23" spans="1:11" ht="15.75">
      <c r="A23" s="70" t="s">
        <v>211</v>
      </c>
      <c r="B23" s="16"/>
      <c r="C23" s="16"/>
      <c r="D23" s="16"/>
      <c r="E23" s="16"/>
      <c r="F23" s="16"/>
      <c r="G23" s="16"/>
      <c r="H23" s="16"/>
      <c r="I23" s="16"/>
      <c r="J23" s="16"/>
      <c r="K23" s="17"/>
    </row>
    <row r="24" spans="1:11" ht="15">
      <c r="A24" s="196" t="s">
        <v>212</v>
      </c>
      <c r="B24" s="18"/>
      <c r="C24" s="18"/>
      <c r="D24" s="18"/>
      <c r="E24" s="18"/>
      <c r="F24" s="18"/>
      <c r="G24" s="18"/>
      <c r="H24" s="18"/>
      <c r="I24" s="18"/>
      <c r="J24" s="18"/>
      <c r="K24" s="19"/>
    </row>
    <row r="25" spans="1:11" ht="15">
      <c r="A25" s="197" t="s">
        <v>207</v>
      </c>
      <c r="B25" s="18"/>
      <c r="C25" s="18"/>
      <c r="D25" s="18"/>
      <c r="E25" s="18"/>
      <c r="F25" s="18"/>
      <c r="G25" s="18"/>
      <c r="H25" s="18"/>
      <c r="I25" s="18"/>
      <c r="J25" s="18"/>
      <c r="K25" s="19"/>
    </row>
    <row r="26" spans="1:11" ht="15">
      <c r="A26" s="23" t="s">
        <v>213</v>
      </c>
      <c r="B26" s="18"/>
      <c r="C26" s="18"/>
      <c r="D26" s="18"/>
      <c r="E26" s="18"/>
      <c r="F26" s="18"/>
      <c r="G26" s="18"/>
      <c r="H26" s="18"/>
      <c r="I26" s="18"/>
      <c r="J26" s="18"/>
      <c r="K26" s="19"/>
    </row>
    <row r="27" spans="1:11" ht="15">
      <c r="A27" s="23"/>
      <c r="B27" s="18"/>
      <c r="C27" s="18"/>
      <c r="D27" s="18"/>
      <c r="E27" s="18"/>
      <c r="F27" s="18"/>
      <c r="G27" s="18"/>
      <c r="H27" s="18"/>
      <c r="I27" s="18"/>
      <c r="J27" s="18"/>
      <c r="K27" s="19"/>
    </row>
    <row r="28" spans="1:11" ht="15">
      <c r="A28" s="113" t="s">
        <v>217</v>
      </c>
      <c r="B28" s="18"/>
      <c r="C28" s="18"/>
      <c r="D28" s="18"/>
      <c r="E28" s="18"/>
      <c r="F28" s="18"/>
      <c r="G28" s="18"/>
      <c r="H28" s="18"/>
      <c r="I28" s="18"/>
      <c r="J28" s="18"/>
      <c r="K28" s="19"/>
    </row>
    <row r="29" spans="1:11" ht="15">
      <c r="A29" s="113"/>
      <c r="B29" s="18"/>
      <c r="C29" s="18"/>
      <c r="D29" s="18"/>
      <c r="E29" s="18"/>
      <c r="F29" s="18"/>
      <c r="G29" s="18"/>
      <c r="H29" s="18"/>
      <c r="I29" s="18"/>
      <c r="J29" s="18"/>
      <c r="K29" s="19"/>
    </row>
    <row r="30" spans="1:11" ht="15">
      <c r="A30" s="113" t="s">
        <v>214</v>
      </c>
      <c r="B30" s="18"/>
      <c r="C30" s="18"/>
      <c r="D30" s="18"/>
      <c r="E30" s="18"/>
      <c r="F30" s="18"/>
      <c r="G30" s="18"/>
      <c r="H30" s="18"/>
      <c r="I30" s="18"/>
      <c r="J30" s="18"/>
      <c r="K30" s="19"/>
    </row>
    <row r="31" spans="1:11" ht="15">
      <c r="A31" s="113" t="s">
        <v>218</v>
      </c>
      <c r="B31" s="18"/>
      <c r="C31" s="18"/>
      <c r="D31" s="18"/>
      <c r="E31" s="18"/>
      <c r="F31" s="18"/>
      <c r="G31" s="18"/>
      <c r="H31" s="18"/>
      <c r="I31" s="18"/>
      <c r="J31" s="18"/>
      <c r="K31" s="19"/>
    </row>
    <row r="32" spans="1:11" ht="15">
      <c r="A32" s="113" t="s">
        <v>219</v>
      </c>
      <c r="B32" s="18"/>
      <c r="C32" s="18"/>
      <c r="D32" s="18"/>
      <c r="E32" s="18"/>
      <c r="F32" s="18"/>
      <c r="G32" s="18"/>
      <c r="H32" s="18"/>
      <c r="I32" s="18"/>
      <c r="J32" s="18"/>
      <c r="K32" s="19"/>
    </row>
    <row r="33" spans="1:11" ht="15">
      <c r="A33" s="113" t="s">
        <v>220</v>
      </c>
      <c r="B33" s="18"/>
      <c r="C33" s="18"/>
      <c r="D33" s="18"/>
      <c r="E33" s="18"/>
      <c r="F33" s="18"/>
      <c r="G33" s="18"/>
      <c r="H33" s="18"/>
      <c r="I33" s="18"/>
      <c r="J33" s="18"/>
      <c r="K33" s="19"/>
    </row>
    <row r="34" spans="1:11" ht="15">
      <c r="A34" s="113" t="s">
        <v>216</v>
      </c>
      <c r="B34" s="18"/>
      <c r="C34" s="18"/>
      <c r="D34" s="18"/>
      <c r="E34" s="18"/>
      <c r="F34" s="18"/>
      <c r="G34" s="18"/>
      <c r="H34" s="18"/>
      <c r="I34" s="18"/>
      <c r="J34" s="18"/>
      <c r="K34" s="19"/>
    </row>
    <row r="35" spans="1:11" ht="15">
      <c r="A35" s="114" t="s">
        <v>215</v>
      </c>
      <c r="B35" s="21"/>
      <c r="C35" s="21"/>
      <c r="D35" s="21"/>
      <c r="E35" s="21"/>
      <c r="F35" s="21"/>
      <c r="G35" s="21"/>
      <c r="H35" s="21"/>
      <c r="I35" s="21"/>
      <c r="J35" s="21"/>
      <c r="K35" s="22"/>
    </row>
    <row r="36" spans="1:11" s="11" customFormat="1" ht="15">
      <c r="A36" s="194"/>
      <c r="B36" s="25"/>
      <c r="C36" s="25"/>
      <c r="D36" s="25"/>
      <c r="E36" s="25"/>
      <c r="F36" s="25"/>
      <c r="G36" s="25"/>
      <c r="H36" s="25"/>
      <c r="I36" s="25"/>
      <c r="J36" s="25"/>
      <c r="K36" s="25"/>
    </row>
    <row r="37" spans="1:11" s="11" customFormat="1" ht="15">
      <c r="A37" s="194"/>
      <c r="B37" s="25"/>
      <c r="C37" s="25"/>
      <c r="D37" s="25"/>
      <c r="E37" s="25"/>
      <c r="F37" s="25"/>
      <c r="G37" s="25"/>
      <c r="H37" s="25"/>
      <c r="I37" s="25"/>
      <c r="J37" s="25"/>
      <c r="K37" s="25"/>
    </row>
    <row r="38" spans="1:11" s="11" customFormat="1" ht="15.75">
      <c r="A38" s="184" t="s">
        <v>260</v>
      </c>
      <c r="B38" s="25"/>
      <c r="C38" s="25"/>
      <c r="D38" s="25"/>
      <c r="E38" s="25"/>
      <c r="F38" s="25"/>
      <c r="G38" s="25"/>
      <c r="H38" s="213"/>
      <c r="I38" s="25"/>
      <c r="J38" s="25"/>
      <c r="K38" s="25"/>
    </row>
    <row r="39" spans="1:11" s="11" customFormat="1" ht="15.75">
      <c r="A39" s="184" t="s">
        <v>261</v>
      </c>
      <c r="B39" s="25"/>
      <c r="C39" s="25"/>
      <c r="D39" s="25"/>
      <c r="E39" s="25"/>
      <c r="F39" s="25"/>
      <c r="G39" s="25"/>
      <c r="H39" s="25"/>
      <c r="I39" s="25"/>
      <c r="J39" s="25"/>
      <c r="K39" s="25"/>
    </row>
    <row r="40" spans="1:11" s="11" customFormat="1" ht="15.75">
      <c r="A40" s="184" t="s">
        <v>263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</row>
    <row r="41" spans="1:11" s="11" customFormat="1" ht="15">
      <c r="A41" s="73"/>
      <c r="B41" s="25"/>
      <c r="C41" s="25"/>
      <c r="D41" s="25"/>
      <c r="E41" s="25"/>
      <c r="F41" s="25"/>
      <c r="G41" s="25"/>
      <c r="H41" s="25"/>
      <c r="I41" s="25"/>
      <c r="J41" s="25"/>
      <c r="K41" s="25"/>
    </row>
    <row r="42" spans="1:11" s="11" customFormat="1" ht="15.75">
      <c r="A42" s="73"/>
      <c r="B42" s="214"/>
      <c r="C42" s="119" t="s">
        <v>262</v>
      </c>
      <c r="D42" s="119"/>
      <c r="E42" s="119"/>
      <c r="F42" s="120"/>
      <c r="G42" s="120"/>
      <c r="H42" s="119"/>
      <c r="I42" s="25"/>
      <c r="J42" s="25"/>
      <c r="K42" s="25"/>
    </row>
    <row r="43" spans="1:11" s="11" customFormat="1" ht="15">
      <c r="A43" s="73"/>
      <c r="B43" s="189"/>
      <c r="C43" s="189">
        <v>-1</v>
      </c>
      <c r="D43" s="189"/>
      <c r="E43" s="189"/>
      <c r="F43" s="189"/>
      <c r="G43" s="189"/>
      <c r="H43" s="189"/>
      <c r="I43" s="25"/>
      <c r="J43" s="25"/>
      <c r="K43" s="25"/>
    </row>
    <row r="44" spans="1:11" s="11" customFormat="1" ht="15">
      <c r="A44" s="73"/>
      <c r="B44" s="189"/>
      <c r="C44" s="189">
        <v>1</v>
      </c>
      <c r="D44" s="189"/>
      <c r="E44" s="189"/>
      <c r="F44" s="189"/>
      <c r="G44" s="189"/>
      <c r="H44" s="189"/>
      <c r="I44" s="25"/>
      <c r="J44" s="25"/>
      <c r="K44" s="25"/>
    </row>
    <row r="45" spans="1:11" s="11" customFormat="1" ht="15.75">
      <c r="A45" s="184"/>
      <c r="B45" s="189"/>
      <c r="C45" s="189">
        <v>-2</v>
      </c>
      <c r="D45" s="189"/>
      <c r="E45" s="189"/>
      <c r="F45" s="189"/>
      <c r="G45" s="189"/>
      <c r="H45" s="189"/>
      <c r="I45" s="25"/>
      <c r="J45" s="25"/>
      <c r="K45" s="25"/>
    </row>
    <row r="46" spans="1:11" s="11" customFormat="1" ht="15.75">
      <c r="A46" s="184"/>
      <c r="B46" s="189"/>
      <c r="C46" s="189">
        <v>1</v>
      </c>
      <c r="D46" s="189"/>
      <c r="E46" s="189"/>
      <c r="F46" s="189"/>
      <c r="G46" s="189"/>
      <c r="H46" s="189"/>
      <c r="I46" s="25"/>
      <c r="J46" s="25"/>
      <c r="K46" s="25"/>
    </row>
    <row r="47" spans="1:11" s="11" customFormat="1" ht="15">
      <c r="A47" s="194"/>
      <c r="B47" s="25"/>
      <c r="C47" s="25"/>
      <c r="D47" s="25"/>
      <c r="E47" s="25"/>
      <c r="F47" s="25"/>
      <c r="G47" s="25"/>
      <c r="H47" s="25"/>
      <c r="I47" s="25"/>
      <c r="J47" s="25"/>
      <c r="K47" s="25"/>
    </row>
    <row r="48" spans="1:11" s="11" customFormat="1" ht="15">
      <c r="A48" s="194"/>
      <c r="B48" s="25"/>
      <c r="C48" s="25"/>
      <c r="D48" s="25"/>
      <c r="E48" s="25"/>
      <c r="F48" s="25"/>
      <c r="G48" s="25"/>
      <c r="H48" s="25"/>
      <c r="I48" s="25"/>
      <c r="J48" s="25"/>
      <c r="K48" s="25"/>
    </row>
    <row r="49" spans="1:11" ht="15">
      <c r="A49" s="195"/>
      <c r="B49" s="3"/>
      <c r="C49" s="3"/>
      <c r="D49" s="3"/>
      <c r="E49" s="3"/>
      <c r="F49" s="3"/>
      <c r="G49" s="3"/>
      <c r="H49" s="3"/>
      <c r="I49" s="3"/>
      <c r="J49" s="3"/>
      <c r="K49" s="3"/>
    </row>
    <row r="50" spans="1:11" ht="15.75">
      <c r="A50" s="188" t="s">
        <v>210</v>
      </c>
      <c r="B50" s="18"/>
      <c r="C50" s="18"/>
      <c r="D50" s="18"/>
      <c r="E50" s="18"/>
      <c r="F50" s="18"/>
      <c r="G50" s="18"/>
      <c r="H50" s="18"/>
      <c r="I50" s="18"/>
      <c r="J50" s="18"/>
      <c r="K50" s="19"/>
    </row>
    <row r="51" spans="1:11" ht="15">
      <c r="A51" s="23" t="s">
        <v>225</v>
      </c>
      <c r="B51" s="18"/>
      <c r="C51" s="18"/>
      <c r="D51" s="18"/>
      <c r="E51" s="18"/>
      <c r="F51" s="18"/>
      <c r="G51" s="18"/>
      <c r="H51" s="18"/>
      <c r="I51" s="18"/>
      <c r="J51" s="18"/>
      <c r="K51" s="19"/>
    </row>
    <row r="52" spans="1:11" ht="15">
      <c r="A52" s="23" t="s">
        <v>226</v>
      </c>
      <c r="B52" s="18"/>
      <c r="C52" s="18"/>
      <c r="D52" s="18"/>
      <c r="E52" s="18"/>
      <c r="F52" s="18"/>
      <c r="G52" s="18"/>
      <c r="H52" s="18"/>
      <c r="I52" s="18"/>
      <c r="J52" s="18"/>
      <c r="K52" s="19"/>
    </row>
    <row r="53" spans="1:11" ht="15">
      <c r="A53" s="23"/>
      <c r="B53" s="18"/>
      <c r="C53" s="189" t="s">
        <v>221</v>
      </c>
      <c r="D53" s="18"/>
      <c r="E53" s="18"/>
      <c r="F53" s="18"/>
      <c r="G53" s="18"/>
      <c r="H53" s="18"/>
      <c r="I53" s="18"/>
      <c r="J53" s="18"/>
      <c r="K53" s="19"/>
    </row>
    <row r="54" spans="1:11" ht="15">
      <c r="A54" s="23"/>
      <c r="B54" s="18"/>
      <c r="C54" s="189" t="s">
        <v>222</v>
      </c>
      <c r="D54" s="18"/>
      <c r="E54" s="18"/>
      <c r="F54" s="18"/>
      <c r="G54" s="18"/>
      <c r="H54" s="18"/>
      <c r="I54" s="18"/>
      <c r="J54" s="18"/>
      <c r="K54" s="19"/>
    </row>
    <row r="55" spans="1:11" ht="15">
      <c r="A55" s="23"/>
      <c r="B55" s="18"/>
      <c r="C55" s="189" t="s">
        <v>223</v>
      </c>
      <c r="D55" s="18"/>
      <c r="E55" s="18"/>
      <c r="F55" s="18"/>
      <c r="G55" s="18"/>
      <c r="H55" s="18"/>
      <c r="I55" s="18"/>
      <c r="J55" s="18"/>
      <c r="K55" s="19"/>
    </row>
    <row r="56" spans="1:11" ht="15.75">
      <c r="A56" s="23" t="s">
        <v>514</v>
      </c>
      <c r="B56" s="18"/>
      <c r="C56" s="18"/>
      <c r="D56" s="18"/>
      <c r="E56" s="18"/>
      <c r="F56" s="18"/>
      <c r="G56" s="18"/>
      <c r="H56" s="18"/>
      <c r="I56" s="18"/>
      <c r="J56" s="18"/>
      <c r="K56" s="19"/>
    </row>
    <row r="57" spans="1:11" ht="15">
      <c r="A57" s="23" t="s">
        <v>224</v>
      </c>
      <c r="B57" s="18"/>
      <c r="C57" s="18"/>
      <c r="D57" s="18"/>
      <c r="E57" s="18"/>
      <c r="F57" s="18"/>
      <c r="G57" s="18"/>
      <c r="H57" s="18"/>
      <c r="I57" s="18"/>
      <c r="J57" s="18"/>
      <c r="K57" s="19"/>
    </row>
    <row r="58" spans="1:11" ht="15">
      <c r="A58" s="23" t="s">
        <v>235</v>
      </c>
      <c r="B58" s="18"/>
      <c r="C58" s="18"/>
      <c r="D58" s="18"/>
      <c r="E58" s="18"/>
      <c r="F58" s="18"/>
      <c r="G58" s="18"/>
      <c r="H58" s="18"/>
      <c r="I58" s="18"/>
      <c r="J58" s="18"/>
      <c r="K58" s="19"/>
    </row>
    <row r="59" spans="1:11" ht="15">
      <c r="A59" s="23" t="s">
        <v>227</v>
      </c>
      <c r="B59" s="18"/>
      <c r="C59" s="18"/>
      <c r="D59" s="18"/>
      <c r="E59" s="18"/>
      <c r="F59" s="18"/>
      <c r="G59" s="18"/>
      <c r="H59" s="18"/>
      <c r="I59" s="18"/>
      <c r="J59" s="18"/>
      <c r="K59" s="19"/>
    </row>
    <row r="60" spans="1:11" ht="15">
      <c r="A60" s="23"/>
      <c r="B60" s="18"/>
      <c r="C60" s="18"/>
      <c r="D60" s="18"/>
      <c r="E60" s="18"/>
      <c r="F60" s="18"/>
      <c r="G60" s="18"/>
      <c r="H60" s="18"/>
      <c r="I60" s="18"/>
      <c r="J60" s="18"/>
      <c r="K60" s="19"/>
    </row>
    <row r="61" spans="1:11" ht="15">
      <c r="A61" s="113"/>
      <c r="B61" s="18"/>
      <c r="C61" s="18"/>
      <c r="D61" s="18"/>
      <c r="E61" s="18"/>
      <c r="F61" s="18"/>
      <c r="G61" s="18"/>
      <c r="H61" s="18"/>
      <c r="I61" s="18"/>
      <c r="J61" s="18"/>
      <c r="K61" s="19"/>
    </row>
    <row r="62" spans="1:11" ht="18">
      <c r="A62" s="206" t="s">
        <v>237</v>
      </c>
      <c r="B62" s="18"/>
      <c r="C62" s="18"/>
      <c r="D62" s="18"/>
      <c r="E62" s="18"/>
      <c r="F62" s="18"/>
      <c r="G62" s="18"/>
      <c r="H62" s="18"/>
      <c r="I62" s="18"/>
      <c r="J62" s="18"/>
      <c r="K62" s="19"/>
    </row>
    <row r="63" spans="1:11" ht="15">
      <c r="A63" s="113" t="s">
        <v>233</v>
      </c>
      <c r="B63" s="18"/>
      <c r="C63" s="18"/>
      <c r="D63" s="18"/>
      <c r="E63" s="18"/>
      <c r="F63" s="18"/>
      <c r="G63" s="18"/>
      <c r="H63" s="18"/>
      <c r="I63" s="18"/>
      <c r="J63" s="18"/>
      <c r="K63" s="19"/>
    </row>
    <row r="64" spans="1:11" ht="15.75">
      <c r="A64" s="196" t="s">
        <v>515</v>
      </c>
      <c r="B64" s="18"/>
      <c r="C64" s="18"/>
      <c r="D64" s="18"/>
      <c r="E64" s="18"/>
      <c r="F64" s="18"/>
      <c r="G64" s="18"/>
      <c r="H64" s="18"/>
      <c r="I64" s="18"/>
      <c r="J64" s="18"/>
      <c r="K64" s="19"/>
    </row>
    <row r="65" spans="1:11" ht="15">
      <c r="A65" s="113" t="s">
        <v>234</v>
      </c>
      <c r="B65" s="18"/>
      <c r="C65" s="18"/>
      <c r="D65" s="18"/>
      <c r="E65" s="18"/>
      <c r="F65" s="18"/>
      <c r="G65" s="18"/>
      <c r="H65" s="18"/>
      <c r="I65" s="18"/>
      <c r="J65" s="18"/>
      <c r="K65" s="19"/>
    </row>
    <row r="66" spans="1:11" ht="15">
      <c r="A66" s="113" t="s">
        <v>238</v>
      </c>
      <c r="B66" s="18"/>
      <c r="C66" s="18"/>
      <c r="D66" s="18"/>
      <c r="E66" s="18"/>
      <c r="F66" s="18"/>
      <c r="G66" s="18"/>
      <c r="H66" s="18"/>
      <c r="I66" s="18"/>
      <c r="J66" s="18"/>
      <c r="K66" s="19"/>
    </row>
    <row r="67" spans="1:11" ht="15">
      <c r="A67" s="113" t="s">
        <v>236</v>
      </c>
      <c r="B67" s="18"/>
      <c r="C67" s="18"/>
      <c r="D67" s="18"/>
      <c r="E67" s="18"/>
      <c r="F67" s="18"/>
      <c r="G67" s="18"/>
      <c r="H67" s="18"/>
      <c r="I67" s="18"/>
      <c r="J67" s="18"/>
      <c r="K67" s="19"/>
    </row>
    <row r="68" spans="1:11">
      <c r="A68" s="205"/>
      <c r="B68" s="205"/>
      <c r="C68" s="18"/>
      <c r="D68" s="18"/>
      <c r="E68" s="18"/>
      <c r="F68" s="18"/>
      <c r="G68" s="18"/>
      <c r="H68" s="18"/>
      <c r="I68" s="18"/>
      <c r="J68" s="18"/>
      <c r="K68" s="19"/>
    </row>
    <row r="69" spans="1:11">
      <c r="A69" s="155" t="s">
        <v>229</v>
      </c>
      <c r="B69" s="198"/>
      <c r="C69" s="18"/>
      <c r="D69" s="18"/>
      <c r="E69" s="18"/>
      <c r="F69" s="18"/>
      <c r="G69" s="18"/>
      <c r="H69" s="18"/>
      <c r="I69" s="18"/>
      <c r="J69" s="18"/>
      <c r="K69" s="19"/>
    </row>
    <row r="70" spans="1:11">
      <c r="A70" s="199" t="s">
        <v>26</v>
      </c>
      <c r="B70" s="200">
        <f ca="1">TODAY()</f>
        <v>40534</v>
      </c>
      <c r="C70" s="18"/>
      <c r="D70" s="18"/>
      <c r="E70" s="18"/>
      <c r="F70" s="18"/>
      <c r="G70" s="18"/>
      <c r="H70" s="18"/>
      <c r="I70" s="18"/>
      <c r="J70" s="18"/>
      <c r="K70" s="19"/>
    </row>
    <row r="71" spans="1:11">
      <c r="A71" s="199" t="s">
        <v>230</v>
      </c>
      <c r="B71" s="200">
        <f ca="1">DATE(YEAR(B70),MONTH(B70)+1,DAY(B70))</f>
        <v>40565</v>
      </c>
      <c r="C71" s="18"/>
      <c r="D71" s="209"/>
      <c r="E71" s="18"/>
      <c r="F71" s="18"/>
      <c r="G71" s="18"/>
      <c r="H71" s="18"/>
      <c r="I71" s="18"/>
      <c r="J71" s="18"/>
      <c r="K71" s="19"/>
    </row>
    <row r="72" spans="1:11">
      <c r="A72" s="199" t="s">
        <v>231</v>
      </c>
      <c r="B72" s="201">
        <v>365</v>
      </c>
      <c r="C72" s="18"/>
      <c r="D72" s="18"/>
      <c r="E72" s="18"/>
      <c r="F72" s="18"/>
      <c r="G72" s="18"/>
      <c r="H72" s="18"/>
      <c r="I72" s="18"/>
      <c r="J72" s="18"/>
      <c r="K72" s="19"/>
    </row>
    <row r="73" spans="1:11">
      <c r="A73" s="199" t="s">
        <v>228</v>
      </c>
      <c r="B73" s="202">
        <v>1.0999999999999999E-2</v>
      </c>
      <c r="C73" s="18"/>
      <c r="D73" s="18"/>
      <c r="E73" s="18"/>
      <c r="F73" s="18"/>
      <c r="G73" s="18"/>
      <c r="H73" s="18"/>
      <c r="I73" s="18"/>
      <c r="J73" s="18"/>
      <c r="K73" s="19"/>
    </row>
    <row r="74" spans="1:11">
      <c r="A74" s="199" t="s">
        <v>209</v>
      </c>
      <c r="B74" s="203">
        <v>1000000</v>
      </c>
      <c r="C74" s="18"/>
      <c r="D74" s="18"/>
      <c r="E74" s="18"/>
      <c r="F74" s="18"/>
      <c r="G74" s="18"/>
      <c r="H74" s="18"/>
      <c r="I74" s="18"/>
      <c r="J74" s="18"/>
      <c r="K74" s="19"/>
    </row>
    <row r="75" spans="1:11">
      <c r="A75" s="199" t="s">
        <v>232</v>
      </c>
      <c r="B75" s="204">
        <v>934.24657534246603</v>
      </c>
      <c r="C75" s="208"/>
      <c r="D75" s="18"/>
      <c r="E75" s="18"/>
      <c r="F75" s="18"/>
      <c r="G75" s="18"/>
      <c r="H75" s="18"/>
      <c r="I75" s="18"/>
      <c r="J75" s="18"/>
      <c r="K75" s="19"/>
    </row>
    <row r="76" spans="1:11" ht="15">
      <c r="A76" s="24"/>
      <c r="B76" s="21"/>
      <c r="C76" s="21"/>
      <c r="D76" s="21"/>
      <c r="E76" s="21"/>
      <c r="F76" s="21"/>
      <c r="G76" s="21"/>
      <c r="H76" s="21"/>
      <c r="I76" s="21"/>
      <c r="J76" s="21"/>
      <c r="K76" s="22"/>
    </row>
    <row r="77" spans="1:11" ht="15">
      <c r="A77" s="7"/>
    </row>
    <row r="78" spans="1:11" ht="15">
      <c r="A78" s="7"/>
    </row>
    <row r="79" spans="1:11" ht="15">
      <c r="A79" s="195"/>
      <c r="B79" s="3"/>
      <c r="C79" s="3"/>
      <c r="D79" s="3"/>
      <c r="E79" s="3"/>
      <c r="F79" s="3"/>
      <c r="G79" s="3"/>
      <c r="H79" s="3"/>
      <c r="I79" s="3"/>
      <c r="J79" s="3"/>
      <c r="K79" s="3"/>
    </row>
    <row r="80" spans="1:11" ht="18">
      <c r="A80" s="207" t="s">
        <v>239</v>
      </c>
      <c r="B80" s="18"/>
      <c r="C80" s="18"/>
      <c r="D80" s="18"/>
      <c r="E80" s="18"/>
      <c r="F80" s="18"/>
      <c r="G80" s="18"/>
      <c r="H80" s="18"/>
      <c r="I80" s="18"/>
      <c r="J80" s="18"/>
      <c r="K80" s="17"/>
    </row>
    <row r="81" spans="1:11" ht="15">
      <c r="A81" s="113" t="s">
        <v>240</v>
      </c>
      <c r="B81" s="18"/>
      <c r="C81" s="18"/>
      <c r="D81" s="18"/>
      <c r="E81" s="18"/>
      <c r="F81" s="18"/>
      <c r="G81" s="18"/>
      <c r="H81" s="18"/>
      <c r="I81" s="18"/>
      <c r="J81" s="18"/>
      <c r="K81" s="19"/>
    </row>
    <row r="82" spans="1:11" ht="15">
      <c r="A82" s="113" t="s">
        <v>241</v>
      </c>
      <c r="B82" s="18"/>
      <c r="C82" s="18"/>
      <c r="D82" s="18"/>
      <c r="E82" s="18"/>
      <c r="F82" s="18"/>
      <c r="G82" s="18"/>
      <c r="H82" s="18"/>
      <c r="I82" s="18"/>
      <c r="J82" s="18"/>
      <c r="K82" s="19"/>
    </row>
    <row r="83" spans="1:11" ht="15.75">
      <c r="A83" s="113" t="s">
        <v>516</v>
      </c>
      <c r="B83" s="18"/>
      <c r="C83" s="18"/>
      <c r="D83" s="18"/>
      <c r="E83" s="18"/>
      <c r="F83" s="18"/>
      <c r="G83" s="18"/>
      <c r="H83" s="18"/>
      <c r="I83" s="18"/>
      <c r="J83" s="18"/>
      <c r="K83" s="19"/>
    </row>
    <row r="84" spans="1:11" ht="15.75">
      <c r="A84" s="113" t="s">
        <v>242</v>
      </c>
      <c r="B84" s="18"/>
      <c r="C84" s="18"/>
      <c r="D84" s="18"/>
      <c r="E84" s="18"/>
      <c r="F84" s="18"/>
      <c r="G84" s="18"/>
      <c r="H84" s="18"/>
      <c r="I84" s="18"/>
      <c r="J84" s="18"/>
      <c r="K84" s="19"/>
    </row>
    <row r="85" spans="1:11" ht="15">
      <c r="A85" s="113"/>
      <c r="B85" s="18"/>
      <c r="C85" s="18"/>
      <c r="D85" s="18"/>
      <c r="E85" s="18"/>
      <c r="F85" s="18"/>
      <c r="G85" s="18"/>
      <c r="H85" s="18"/>
      <c r="I85" s="18"/>
      <c r="J85" s="18"/>
      <c r="K85" s="19"/>
    </row>
    <row r="86" spans="1:11" ht="15">
      <c r="A86" s="113" t="s">
        <v>517</v>
      </c>
      <c r="B86" s="18"/>
      <c r="C86" s="18"/>
      <c r="D86" s="18"/>
      <c r="E86" s="18"/>
      <c r="F86" s="18"/>
      <c r="G86" s="18"/>
      <c r="H86" s="18"/>
      <c r="I86" s="18"/>
      <c r="J86" s="18"/>
      <c r="K86" s="19"/>
    </row>
    <row r="87" spans="1:11" ht="15">
      <c r="A87" s="23" t="s">
        <v>245</v>
      </c>
      <c r="B87" s="18"/>
      <c r="C87" s="18"/>
      <c r="D87" s="18"/>
      <c r="E87" s="18"/>
      <c r="F87" s="18"/>
      <c r="G87" s="18"/>
      <c r="H87" s="18"/>
      <c r="I87" s="18"/>
      <c r="J87" s="18"/>
      <c r="K87" s="19"/>
    </row>
    <row r="88" spans="1:11" ht="15">
      <c r="A88" s="23"/>
      <c r="B88" s="18"/>
      <c r="C88" s="18"/>
      <c r="D88" s="18"/>
      <c r="E88" s="18"/>
      <c r="F88" s="18"/>
      <c r="G88" s="18"/>
      <c r="H88" s="18"/>
      <c r="I88" s="18"/>
      <c r="J88" s="18"/>
      <c r="K88" s="19"/>
    </row>
    <row r="89" spans="1:11" ht="15">
      <c r="A89" s="23" t="s">
        <v>243</v>
      </c>
      <c r="B89" s="18"/>
      <c r="C89" s="18"/>
      <c r="D89" s="18"/>
      <c r="E89" s="18"/>
      <c r="F89" s="18"/>
      <c r="G89" s="18"/>
      <c r="H89" s="18"/>
      <c r="I89" s="18"/>
      <c r="J89" s="18"/>
      <c r="K89" s="19"/>
    </row>
    <row r="90" spans="1:11" ht="15">
      <c r="A90" s="114" t="s">
        <v>244</v>
      </c>
      <c r="B90" s="21"/>
      <c r="C90" s="21"/>
      <c r="D90" s="21"/>
      <c r="E90" s="21"/>
      <c r="F90" s="21"/>
      <c r="G90" s="21"/>
      <c r="H90" s="21"/>
      <c r="I90" s="21"/>
      <c r="J90" s="21"/>
      <c r="K90" s="22"/>
    </row>
    <row r="91" spans="1:11" ht="15">
      <c r="A91" s="7"/>
    </row>
    <row r="94" spans="1:11" ht="18">
      <c r="A94" s="215"/>
    </row>
  </sheetData>
  <phoneticPr fontId="20" type="noConversion"/>
  <conditionalFormatting sqref="B43:H46">
    <cfRule type="expression" dxfId="0" priority="1">
      <formula>$C43&lt;0</formula>
    </cfRule>
  </conditionalFormatting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L188"/>
  <sheetViews>
    <sheetView showGridLines="0" topLeftCell="A135" workbookViewId="0">
      <selection activeCell="C155" sqref="C155"/>
    </sheetView>
  </sheetViews>
  <sheetFormatPr defaultColWidth="9.7109375" defaultRowHeight="12.75"/>
  <cols>
    <col min="1" max="1" width="29.42578125" customWidth="1"/>
    <col min="2" max="2" width="18.42578125" customWidth="1"/>
    <col min="3" max="3" width="15.85546875" bestFit="1" customWidth="1"/>
    <col min="4" max="4" width="13.42578125" customWidth="1"/>
    <col min="5" max="5" width="13.5703125" bestFit="1" customWidth="1"/>
    <col min="6" max="6" width="10.5703125" customWidth="1"/>
    <col min="7" max="7" width="26.42578125" customWidth="1"/>
    <col min="8" max="8" width="11.5703125" customWidth="1"/>
    <col min="9" max="9" width="11.42578125" customWidth="1"/>
    <col min="10" max="10" width="12.5703125" customWidth="1"/>
  </cols>
  <sheetData>
    <row r="1" spans="1:11" ht="27.75">
      <c r="A1" s="59" t="s">
        <v>264</v>
      </c>
      <c r="B1" s="59"/>
      <c r="C1" s="216"/>
      <c r="D1" s="216"/>
      <c r="E1" s="216"/>
      <c r="F1" s="216"/>
      <c r="G1" s="216"/>
      <c r="H1" s="216"/>
      <c r="I1" s="217"/>
      <c r="J1" s="217"/>
      <c r="K1" s="217"/>
    </row>
    <row r="2" spans="1:11" s="4" customFormat="1" ht="15"/>
    <row r="3" spans="1:11" s="6" customFormat="1" ht="18">
      <c r="A3" s="224" t="s">
        <v>274</v>
      </c>
      <c r="B3" s="225"/>
      <c r="C3" s="225"/>
      <c r="D3" s="225"/>
      <c r="E3" s="225"/>
      <c r="F3" s="225"/>
      <c r="G3" s="225"/>
      <c r="H3" s="225"/>
    </row>
    <row r="4" spans="1:11" s="6" customFormat="1" ht="15.75">
      <c r="A4" s="219" t="s">
        <v>275</v>
      </c>
      <c r="B4" s="220"/>
      <c r="C4" s="248" t="str">
        <f t="shared" ref="C4:C20" si="0">cellformula(G4)</f>
        <v>=POWER(2,3)</v>
      </c>
      <c r="D4" s="249"/>
      <c r="E4" s="249"/>
      <c r="F4" s="252"/>
      <c r="G4" s="218">
        <f>POWER(2,3)</f>
        <v>8</v>
      </c>
      <c r="H4" s="227"/>
    </row>
    <row r="5" spans="1:11" s="6" customFormat="1" ht="15.75">
      <c r="A5" s="219" t="s">
        <v>313</v>
      </c>
      <c r="B5" s="220"/>
      <c r="C5" s="248" t="str">
        <f t="shared" si="0"/>
        <v>=SQRT(196)</v>
      </c>
      <c r="D5" s="249"/>
      <c r="E5" s="249"/>
      <c r="F5" s="252"/>
      <c r="G5" s="218">
        <f>SQRT(196)</f>
        <v>14</v>
      </c>
      <c r="H5" s="227"/>
    </row>
    <row r="6" spans="1:11" s="6" customFormat="1" ht="15.75">
      <c r="A6" s="219" t="s">
        <v>312</v>
      </c>
      <c r="B6" s="220"/>
      <c r="C6" s="248" t="str">
        <f t="shared" si="0"/>
        <v>=EXP(1)</v>
      </c>
      <c r="D6" s="249"/>
      <c r="E6" s="249"/>
      <c r="F6" s="252"/>
      <c r="G6" s="218">
        <f>EXP(1)</f>
        <v>2.7182818284590451</v>
      </c>
      <c r="H6" s="227"/>
    </row>
    <row r="7" spans="1:11" s="6" customFormat="1" ht="15.75">
      <c r="A7" s="219" t="s">
        <v>315</v>
      </c>
      <c r="B7" s="220"/>
      <c r="C7" s="248" t="str">
        <f t="shared" si="0"/>
        <v>=LN(2.7182818)</v>
      </c>
      <c r="D7" s="249"/>
      <c r="E7" s="249"/>
      <c r="F7" s="252"/>
      <c r="G7" s="218">
        <f>LN(2.7182818)</f>
        <v>0.9999999895305024</v>
      </c>
      <c r="H7" s="227"/>
    </row>
    <row r="8" spans="1:11" s="6" customFormat="1" ht="15.75">
      <c r="A8" s="219" t="s">
        <v>316</v>
      </c>
      <c r="B8" s="220"/>
      <c r="C8" s="248" t="str">
        <f t="shared" si="0"/>
        <v>=LOG10(1000)</v>
      </c>
      <c r="D8" s="249"/>
      <c r="E8" s="249"/>
      <c r="F8" s="252"/>
      <c r="G8" s="218">
        <f>LOG10(1000)</f>
        <v>3</v>
      </c>
      <c r="H8" s="227"/>
    </row>
    <row r="9" spans="1:11" s="6" customFormat="1" ht="15.75">
      <c r="A9" s="219" t="s">
        <v>323</v>
      </c>
      <c r="B9" s="220"/>
      <c r="C9" s="248" t="str">
        <f t="shared" si="0"/>
        <v>=LOG(8,2)</v>
      </c>
      <c r="D9" s="249"/>
      <c r="E9" s="249"/>
      <c r="F9" s="252"/>
      <c r="G9" s="218">
        <f>LOG(8,2)</f>
        <v>3</v>
      </c>
      <c r="H9" s="227"/>
    </row>
    <row r="10" spans="1:11" s="6" customFormat="1" ht="15.75">
      <c r="A10" s="219" t="s">
        <v>311</v>
      </c>
      <c r="B10" s="220"/>
      <c r="C10" s="248" t="str">
        <f t="shared" si="0"/>
        <v>=ABS(-1.23)</v>
      </c>
      <c r="D10" s="249"/>
      <c r="E10" s="249"/>
      <c r="F10" s="252"/>
      <c r="G10" s="218">
        <f>ABS(-1.23)</f>
        <v>1.23</v>
      </c>
      <c r="H10" s="227"/>
    </row>
    <row r="11" spans="1:11" s="6" customFormat="1" ht="15.75">
      <c r="A11" s="219" t="s">
        <v>317</v>
      </c>
      <c r="B11" s="220"/>
      <c r="C11" s="248" t="str">
        <f t="shared" si="0"/>
        <v>=PI()</v>
      </c>
      <c r="D11" s="249"/>
      <c r="E11" s="249"/>
      <c r="F11" s="252"/>
      <c r="G11" s="218">
        <f>PI()</f>
        <v>3.1415926535897931</v>
      </c>
      <c r="H11" s="227"/>
    </row>
    <row r="12" spans="1:11" s="6" customFormat="1" ht="15.75">
      <c r="A12" s="219" t="s">
        <v>314</v>
      </c>
      <c r="B12" s="220"/>
      <c r="C12" s="248" t="str">
        <f t="shared" si="0"/>
        <v>=ROUND(10.5678, 2)</v>
      </c>
      <c r="D12" s="249"/>
      <c r="E12" s="249"/>
      <c r="F12" s="249"/>
      <c r="G12" s="218">
        <f>ROUND(10.5678, 2)</f>
        <v>10.57</v>
      </c>
      <c r="H12" s="220"/>
    </row>
    <row r="13" spans="1:11" s="6" customFormat="1" ht="15.75">
      <c r="A13" s="219" t="s">
        <v>309</v>
      </c>
      <c r="B13" s="220"/>
      <c r="C13" s="248" t="str">
        <f t="shared" si="0"/>
        <v>=TRUNC(-12.34567,3)</v>
      </c>
      <c r="D13" s="249"/>
      <c r="E13" s="249"/>
      <c r="F13" s="249"/>
      <c r="G13" s="218">
        <f>TRUNC(-12.34567,3)</f>
        <v>-12.345000000000001</v>
      </c>
      <c r="H13" s="220"/>
    </row>
    <row r="14" spans="1:11" s="6" customFormat="1" ht="15.75">
      <c r="A14" s="219" t="s">
        <v>310</v>
      </c>
      <c r="B14" s="220"/>
      <c r="C14" s="248" t="str">
        <f t="shared" si="0"/>
        <v>=INT(3.89)</v>
      </c>
      <c r="D14" s="249"/>
      <c r="E14" s="249"/>
      <c r="F14" s="249"/>
      <c r="G14" s="218">
        <f>INT(3.89)</f>
        <v>3</v>
      </c>
      <c r="H14" s="220"/>
    </row>
    <row r="15" spans="1:11" s="6" customFormat="1" ht="15.75">
      <c r="A15" s="219" t="s">
        <v>318</v>
      </c>
      <c r="B15" s="220"/>
      <c r="C15" s="248" t="str">
        <f t="shared" si="0"/>
        <v>=MOD(18,4)</v>
      </c>
      <c r="D15" s="249"/>
      <c r="E15" s="249"/>
      <c r="F15" s="249"/>
      <c r="G15" s="218">
        <f>MOD(18,4)</f>
        <v>2</v>
      </c>
      <c r="H15" s="220"/>
    </row>
    <row r="16" spans="1:11" s="6" customFormat="1" ht="15.75">
      <c r="A16" s="219" t="s">
        <v>319</v>
      </c>
      <c r="B16" s="220"/>
      <c r="C16" s="248" t="str">
        <f t="shared" si="0"/>
        <v>=SIN(30*PI()/180)</v>
      </c>
      <c r="D16" s="249"/>
      <c r="E16" s="249"/>
      <c r="F16" s="249"/>
      <c r="G16" s="218">
        <f>SIN(30*PI()/180)</f>
        <v>0.49999999999999994</v>
      </c>
      <c r="H16" s="220"/>
    </row>
    <row r="17" spans="1:8" s="6" customFormat="1" ht="15.75">
      <c r="A17" s="219" t="s">
        <v>320</v>
      </c>
      <c r="B17" s="220"/>
      <c r="C17" s="248" t="str">
        <f t="shared" si="0"/>
        <v>=COS(30*PI()/180)</v>
      </c>
      <c r="D17" s="249"/>
      <c r="E17" s="249"/>
      <c r="F17" s="249"/>
      <c r="G17" s="218">
        <f>COS(30*PI()/180)</f>
        <v>0.86602540378443871</v>
      </c>
      <c r="H17" s="220"/>
    </row>
    <row r="18" spans="1:8" s="6" customFormat="1" ht="15.75">
      <c r="A18" s="219" t="s">
        <v>321</v>
      </c>
      <c r="B18" s="220"/>
      <c r="C18" s="248" t="str">
        <f t="shared" si="0"/>
        <v>=MAX(1,2,3,4,5)</v>
      </c>
      <c r="D18" s="249"/>
      <c r="E18" s="249"/>
      <c r="F18" s="249"/>
      <c r="G18" s="218">
        <f>MAX(1,2,3,4,5)</f>
        <v>5</v>
      </c>
      <c r="H18" s="220"/>
    </row>
    <row r="19" spans="1:8" s="6" customFormat="1" ht="15.75">
      <c r="A19" s="219" t="s">
        <v>322</v>
      </c>
      <c r="B19" s="220"/>
      <c r="C19" s="248" t="str">
        <f t="shared" si="0"/>
        <v>=MIN(1,2,3,4,5)</v>
      </c>
      <c r="D19" s="249"/>
      <c r="E19" s="249"/>
      <c r="F19" s="249"/>
      <c r="G19" s="218">
        <f>MIN(1,2,3,4,5)</f>
        <v>1</v>
      </c>
      <c r="H19" s="220"/>
    </row>
    <row r="20" spans="1:8" s="6" customFormat="1" ht="15.75">
      <c r="A20" s="219" t="s">
        <v>324</v>
      </c>
      <c r="B20" s="220"/>
      <c r="C20" s="248" t="str">
        <f t="shared" si="0"/>
        <v>=COMBIN(5,3)</v>
      </c>
      <c r="D20" s="249"/>
      <c r="E20" s="249"/>
      <c r="F20" s="249"/>
      <c r="G20" s="218">
        <f>COMBIN(5,3)</f>
        <v>10</v>
      </c>
      <c r="H20" s="220"/>
    </row>
    <row r="21" spans="1:8" s="6" customFormat="1" ht="15"/>
    <row r="22" spans="1:8" s="6" customFormat="1" ht="15"/>
    <row r="23" spans="1:8" s="6" customFormat="1" ht="18">
      <c r="A23" s="224" t="s">
        <v>166</v>
      </c>
      <c r="B23" s="225"/>
      <c r="C23" s="225"/>
      <c r="D23" s="225"/>
      <c r="E23" s="225"/>
      <c r="F23" s="225"/>
      <c r="G23" s="225"/>
      <c r="H23" s="225"/>
    </row>
    <row r="24" spans="1:8" s="6" customFormat="1" ht="15.75">
      <c r="A24" s="219" t="s">
        <v>325</v>
      </c>
      <c r="B24" s="220"/>
      <c r="C24" s="248" t="str">
        <f t="shared" ref="C24:C37" si="1">cellformula(G24)</f>
        <v>=CONCATENATE("Joins ", "several ", "text strings.")</v>
      </c>
      <c r="D24" s="249"/>
      <c r="E24" s="249"/>
      <c r="F24" s="252"/>
      <c r="G24" s="218" t="str">
        <f>CONCATENATE("Joins ", "several ", "text strings.")</f>
        <v>Joins several text strings.</v>
      </c>
      <c r="H24" s="218"/>
    </row>
    <row r="25" spans="1:8" s="6" customFormat="1" ht="15.75">
      <c r="A25" s="219" t="s">
        <v>326</v>
      </c>
      <c r="B25" s="220"/>
      <c r="C25" s="248" t="str">
        <f t="shared" si="1"/>
        <v>=FIND("Case", "Find is Case Sensitive", 6)</v>
      </c>
      <c r="D25" s="249"/>
      <c r="E25" s="249"/>
      <c r="F25" s="252"/>
      <c r="G25" s="218">
        <f>FIND("Case", "Find is Case Sensitive", 6)</f>
        <v>9</v>
      </c>
      <c r="H25" s="218"/>
    </row>
    <row r="26" spans="1:8" s="6" customFormat="1" ht="15.75">
      <c r="A26" s="219" t="s">
        <v>327</v>
      </c>
      <c r="B26" s="220"/>
      <c r="C26" s="248" t="str">
        <f t="shared" si="1"/>
        <v>=SEARCH("case", "Search is Case Insensitive", 6)</v>
      </c>
      <c r="D26" s="249"/>
      <c r="E26" s="249"/>
      <c r="F26" s="252"/>
      <c r="G26" s="218">
        <f>SEARCH("case", "Search is Case Insensitive", 6)</f>
        <v>11</v>
      </c>
      <c r="H26" s="218"/>
    </row>
    <row r="27" spans="1:8" s="6" customFormat="1" ht="31.5" customHeight="1">
      <c r="A27" s="468" t="s">
        <v>328</v>
      </c>
      <c r="B27" s="468"/>
      <c r="C27" s="248" t="str">
        <f t="shared" si="1"/>
        <v>=REPLACE("replace this with", 9, 4, "that")</v>
      </c>
      <c r="D27" s="249"/>
      <c r="E27" s="249"/>
      <c r="F27" s="252"/>
      <c r="G27" s="218" t="str">
        <f>REPLACE("replace this with", 9, 4, "that")</f>
        <v>replace that with</v>
      </c>
      <c r="H27" s="218"/>
    </row>
    <row r="28" spans="1:8" s="6" customFormat="1" ht="15.75">
      <c r="A28" s="219" t="s">
        <v>329</v>
      </c>
      <c r="B28" s="220"/>
      <c r="C28" s="248" t="str">
        <f t="shared" si="1"/>
        <v>=SUBSTITUTE("substitute this with","this","that")</v>
      </c>
      <c r="D28" s="249"/>
      <c r="E28" s="249"/>
      <c r="F28" s="252"/>
      <c r="G28" s="218" t="str">
        <f>SUBSTITUTE("substitute this with","this","that")</f>
        <v>substitute that with</v>
      </c>
      <c r="H28" s="218"/>
    </row>
    <row r="29" spans="1:8" s="6" customFormat="1" ht="15.75">
      <c r="A29" s="219" t="s">
        <v>330</v>
      </c>
      <c r="B29" s="220"/>
      <c r="C29" s="248" t="str">
        <f t="shared" si="1"/>
        <v>=TRIM("  trim leading and trailing spaces.   ")</v>
      </c>
      <c r="D29" s="249"/>
      <c r="E29" s="249"/>
      <c r="F29" s="252"/>
      <c r="G29" s="218" t="str">
        <f>TRIM("  trim leading and trailing spaces.   ")</f>
        <v>trim leading and trailing spaces.</v>
      </c>
      <c r="H29" s="218"/>
    </row>
    <row r="30" spans="1:8" s="6" customFormat="1" ht="15.75">
      <c r="A30" s="219" t="s">
        <v>333</v>
      </c>
      <c r="B30" s="220"/>
      <c r="C30" s="248" t="str">
        <f t="shared" si="1"/>
        <v>=LEFT("return the 5 chars from the left", 5)</v>
      </c>
      <c r="D30" s="249"/>
      <c r="E30" s="249"/>
      <c r="F30" s="252"/>
      <c r="G30" s="218" t="str">
        <f>LEFT("return the 5 chars from the left", 5)</f>
        <v>retur</v>
      </c>
      <c r="H30" s="218"/>
    </row>
    <row r="31" spans="1:8" s="6" customFormat="1" ht="15.75">
      <c r="A31" s="219" t="s">
        <v>332</v>
      </c>
      <c r="B31" s="220"/>
      <c r="C31" s="248" t="str">
        <f t="shared" si="1"/>
        <v>=RIGHT("returns 5 chars from the right", 5)</v>
      </c>
      <c r="D31" s="249"/>
      <c r="E31" s="249"/>
      <c r="F31" s="252"/>
      <c r="G31" s="218" t="str">
        <f>RIGHT("returns 5 chars from the right", 5)</f>
        <v>right</v>
      </c>
      <c r="H31" s="218"/>
    </row>
    <row r="32" spans="1:8" s="6" customFormat="1" ht="15.75">
      <c r="A32" s="219" t="s">
        <v>336</v>
      </c>
      <c r="B32" s="220"/>
      <c r="C32" s="248" t="str">
        <f t="shared" si="1"/>
        <v>=MID("return 5 chars starting from the 3rd", 3, 5)</v>
      </c>
      <c r="D32" s="249"/>
      <c r="E32" s="249"/>
      <c r="F32" s="252"/>
      <c r="G32" s="218" t="str">
        <f>MID("return 5 chars starting from the 3rd", 3, 5)</f>
        <v xml:space="preserve">turn </v>
      </c>
      <c r="H32" s="218"/>
    </row>
    <row r="33" spans="1:8" s="6" customFormat="1" ht="15.75">
      <c r="A33" s="219" t="s">
        <v>331</v>
      </c>
      <c r="B33" s="220"/>
      <c r="C33" s="248" t="str">
        <f t="shared" si="1"/>
        <v>=LEN("size of string")</v>
      </c>
      <c r="D33" s="249"/>
      <c r="E33" s="249"/>
      <c r="F33" s="252"/>
      <c r="G33" s="218">
        <f>LEN("size of string")</f>
        <v>14</v>
      </c>
      <c r="H33" s="218"/>
    </row>
    <row r="34" spans="1:8" s="6" customFormat="1" ht="15.75">
      <c r="A34" s="219" t="s">
        <v>334</v>
      </c>
      <c r="B34" s="220"/>
      <c r="C34" s="248" t="str">
        <f t="shared" si="1"/>
        <v>=LOWER("UPPER TO lower")</v>
      </c>
      <c r="D34" s="249"/>
      <c r="E34" s="249"/>
      <c r="F34" s="252"/>
      <c r="G34" s="218" t="str">
        <f>LOWER("UPPER TO lower")</f>
        <v>upper to lower</v>
      </c>
      <c r="H34" s="218"/>
    </row>
    <row r="35" spans="1:8" s="6" customFormat="1" ht="15.75">
      <c r="A35" s="219" t="s">
        <v>335</v>
      </c>
      <c r="B35" s="220"/>
      <c r="C35" s="248" t="str">
        <f t="shared" si="1"/>
        <v>=UPPER("lower to UPPER")</v>
      </c>
      <c r="D35" s="249"/>
      <c r="E35" s="249"/>
      <c r="F35" s="252"/>
      <c r="G35" s="218" t="str">
        <f>UPPER("lower to UPPER")</f>
        <v>LOWER TO UPPER</v>
      </c>
      <c r="H35" s="218"/>
    </row>
    <row r="36" spans="1:8" s="6" customFormat="1" ht="15.75">
      <c r="A36" s="219" t="s">
        <v>337</v>
      </c>
      <c r="B36" s="220"/>
      <c r="C36" s="248" t="str">
        <f t="shared" si="1"/>
        <v>=VALUE("-1234.56")</v>
      </c>
      <c r="D36" s="249"/>
      <c r="E36" s="249"/>
      <c r="F36" s="252"/>
      <c r="G36" s="267">
        <f>VALUE("-1234.56")</f>
        <v>-1234.56</v>
      </c>
      <c r="H36" s="218"/>
    </row>
    <row r="37" spans="1:8" s="6" customFormat="1" ht="15.75">
      <c r="A37" s="219" t="s">
        <v>338</v>
      </c>
      <c r="B37" s="220"/>
      <c r="C37" s="248" t="str">
        <f t="shared" si="1"/>
        <v>=TEXT(G36,"$#,##0.00_);($#,##0.00)")</v>
      </c>
      <c r="D37" s="249"/>
      <c r="E37" s="249"/>
      <c r="F37" s="252"/>
      <c r="G37" s="250" t="str">
        <f>TEXT(G36,"$#,##0.00_);($#,##0.00)")</f>
        <v>($1,234.56)</v>
      </c>
      <c r="H37" s="218"/>
    </row>
    <row r="38" spans="1:8" s="6" customFormat="1" ht="15"/>
    <row r="39" spans="1:8" s="6" customFormat="1" ht="15"/>
    <row r="40" spans="1:8" s="6" customFormat="1" ht="18">
      <c r="A40" s="224" t="s">
        <v>339</v>
      </c>
      <c r="B40" s="225"/>
      <c r="C40" s="225"/>
      <c r="D40" s="225"/>
      <c r="E40" s="225"/>
      <c r="F40" s="225"/>
      <c r="G40" s="225"/>
      <c r="H40" s="225"/>
    </row>
    <row r="41" spans="1:8" s="6" customFormat="1" ht="15.75">
      <c r="A41" s="219" t="s">
        <v>340</v>
      </c>
      <c r="B41" s="220"/>
      <c r="C41" s="248" t="str">
        <f t="shared" ref="C41:C53" si="2">cellformula(G41)</f>
        <v>=DATE(2008,8,2)</v>
      </c>
      <c r="D41" s="249"/>
      <c r="E41" s="249"/>
      <c r="F41" s="252"/>
      <c r="G41" s="265">
        <f>DATE(2008,8,2)</f>
        <v>39662</v>
      </c>
      <c r="H41" s="267">
        <f>G41</f>
        <v>39662</v>
      </c>
    </row>
    <row r="42" spans="1:8" s="6" customFormat="1" ht="15.75">
      <c r="A42" s="219" t="s">
        <v>341</v>
      </c>
      <c r="B42" s="220"/>
      <c r="C42" s="248" t="str">
        <f t="shared" si="2"/>
        <v>=TIME(9, 30, 15)</v>
      </c>
      <c r="D42" s="249"/>
      <c r="E42" s="249"/>
      <c r="F42" s="252"/>
      <c r="G42" s="266">
        <f>TIME(9, 30, 15)</f>
        <v>0.39600694444444445</v>
      </c>
      <c r="H42" s="267">
        <f>G42</f>
        <v>0.39600694444444445</v>
      </c>
    </row>
    <row r="43" spans="1:8" s="6" customFormat="1" ht="15.75">
      <c r="A43" s="219" t="s">
        <v>342</v>
      </c>
      <c r="B43" s="220"/>
      <c r="C43" s="248" t="str">
        <f t="shared" si="2"/>
        <v>=DATEVALUE("2/8/2008")</v>
      </c>
      <c r="D43" s="249"/>
      <c r="E43" s="249"/>
      <c r="F43" s="252"/>
      <c r="G43" s="218">
        <f>DATEVALUE("2/8/2008")</f>
        <v>39486</v>
      </c>
      <c r="H43" s="218"/>
    </row>
    <row r="44" spans="1:8" s="6" customFormat="1" ht="15.75">
      <c r="A44" s="219" t="s">
        <v>343</v>
      </c>
      <c r="B44" s="220"/>
      <c r="C44" s="248" t="str">
        <f t="shared" si="2"/>
        <v>=TIMEVALUE("9:30:15")</v>
      </c>
      <c r="D44" s="249"/>
      <c r="E44" s="249"/>
      <c r="F44" s="252"/>
      <c r="G44" s="218">
        <f>TIMEVALUE("9:30:15")</f>
        <v>0.39600694444444445</v>
      </c>
      <c r="H44" s="218"/>
    </row>
    <row r="45" spans="1:8" s="6" customFormat="1" ht="15.75">
      <c r="A45" s="219" t="s">
        <v>348</v>
      </c>
      <c r="B45" s="220"/>
      <c r="C45" s="248" t="str">
        <f t="shared" si="2"/>
        <v>=TODAY()</v>
      </c>
      <c r="D45" s="249"/>
      <c r="E45" s="249"/>
      <c r="F45" s="252"/>
      <c r="G45" s="265">
        <f ca="1">TODAY()</f>
        <v>40534</v>
      </c>
      <c r="H45" s="218"/>
    </row>
    <row r="46" spans="1:8" s="6" customFormat="1" ht="15.75">
      <c r="A46" s="219" t="s">
        <v>349</v>
      </c>
      <c r="B46" s="220"/>
      <c r="C46" s="248" t="str">
        <f t="shared" si="2"/>
        <v>=NOW()</v>
      </c>
      <c r="D46" s="249"/>
      <c r="E46" s="249"/>
      <c r="F46" s="252"/>
      <c r="G46" s="268">
        <f ca="1">NOW()</f>
        <v>40534.71583090278</v>
      </c>
      <c r="H46" s="218"/>
    </row>
    <row r="47" spans="1:8" s="6" customFormat="1" ht="15.75">
      <c r="A47" s="219" t="s">
        <v>344</v>
      </c>
      <c r="B47" s="220"/>
      <c r="C47" s="248" t="str">
        <f t="shared" si="2"/>
        <v>=YEAR(TODAY())</v>
      </c>
      <c r="D47" s="249"/>
      <c r="E47" s="249"/>
      <c r="F47" s="252"/>
      <c r="G47" s="218">
        <f ca="1">YEAR(TODAY())</f>
        <v>2010</v>
      </c>
      <c r="H47" s="218"/>
    </row>
    <row r="48" spans="1:8" s="6" customFormat="1" ht="15.75">
      <c r="A48" s="219" t="s">
        <v>345</v>
      </c>
      <c r="B48" s="220"/>
      <c r="C48" s="248" t="str">
        <f t="shared" si="2"/>
        <v>=MONTH(TODAY())</v>
      </c>
      <c r="D48" s="249"/>
      <c r="E48" s="249"/>
      <c r="F48" s="252"/>
      <c r="G48" s="218">
        <f ca="1">MONTH(TODAY())</f>
        <v>12</v>
      </c>
      <c r="H48" s="218"/>
    </row>
    <row r="49" spans="1:8" s="6" customFormat="1" ht="15.75">
      <c r="A49" s="219" t="s">
        <v>346</v>
      </c>
      <c r="B49" s="220"/>
      <c r="C49" s="248" t="str">
        <f t="shared" si="2"/>
        <v>=DAY(TODAY())</v>
      </c>
      <c r="D49" s="249"/>
      <c r="E49" s="249"/>
      <c r="F49" s="252"/>
      <c r="G49" s="218">
        <f ca="1">DAY(TODAY())</f>
        <v>22</v>
      </c>
      <c r="H49" s="218"/>
    </row>
    <row r="50" spans="1:8" s="6" customFormat="1" ht="15.75">
      <c r="A50" s="219" t="s">
        <v>347</v>
      </c>
      <c r="B50" s="220"/>
      <c r="C50" s="248" t="str">
        <f t="shared" si="2"/>
        <v>=HOUR(NOW())</v>
      </c>
      <c r="D50" s="249"/>
      <c r="E50" s="249"/>
      <c r="F50" s="252"/>
      <c r="G50" s="218">
        <f ca="1">HOUR(NOW())</f>
        <v>17</v>
      </c>
      <c r="H50" s="218"/>
    </row>
    <row r="51" spans="1:8" s="6" customFormat="1" ht="15.75">
      <c r="A51" s="219" t="s">
        <v>350</v>
      </c>
      <c r="B51" s="220"/>
      <c r="C51" s="248" t="str">
        <f t="shared" si="2"/>
        <v>=MINUTE(NOW())</v>
      </c>
      <c r="D51" s="249"/>
      <c r="E51" s="249"/>
      <c r="F51" s="252"/>
      <c r="G51" s="218">
        <f ca="1">MINUTE(NOW())</f>
        <v>10</v>
      </c>
      <c r="H51" s="218"/>
    </row>
    <row r="52" spans="1:8" s="6" customFormat="1" ht="15.75">
      <c r="A52" s="219" t="s">
        <v>351</v>
      </c>
      <c r="B52" s="220"/>
      <c r="C52" s="248" t="str">
        <f t="shared" si="2"/>
        <v>=SECOND(NOW())</v>
      </c>
      <c r="D52" s="249"/>
      <c r="E52" s="249"/>
      <c r="F52" s="252"/>
      <c r="G52" s="218">
        <f ca="1">SECOND(NOW())</f>
        <v>48</v>
      </c>
      <c r="H52" s="218"/>
    </row>
    <row r="53" spans="1:8" s="6" customFormat="1" ht="15.75">
      <c r="A53" s="219" t="s">
        <v>352</v>
      </c>
      <c r="B53" s="220"/>
      <c r="C53" s="248" t="str">
        <f t="shared" si="2"/>
        <v>=WEEKDAY(TODAY())</v>
      </c>
      <c r="D53" s="249"/>
      <c r="E53" s="249"/>
      <c r="F53" s="252"/>
      <c r="G53" s="218">
        <f ca="1">WEEKDAY(TODAY())</f>
        <v>4</v>
      </c>
      <c r="H53" s="218"/>
    </row>
    <row r="54" spans="1:8" s="6" customFormat="1" ht="15">
      <c r="A54" s="220"/>
      <c r="B54" s="220"/>
      <c r="C54" s="220"/>
      <c r="D54" s="220"/>
      <c r="E54" s="220"/>
      <c r="F54" s="220"/>
      <c r="G54" s="220"/>
      <c r="H54" s="220"/>
    </row>
    <row r="55" spans="1:8" s="6" customFormat="1" ht="18">
      <c r="A55" s="206" t="s">
        <v>356</v>
      </c>
      <c r="B55" s="220"/>
      <c r="C55" s="220"/>
      <c r="D55" s="220"/>
      <c r="E55" s="220"/>
      <c r="F55" s="220"/>
      <c r="G55" s="220"/>
      <c r="H55" s="220"/>
    </row>
    <row r="56" spans="1:8" s="6" customFormat="1" ht="15">
      <c r="A56" s="220"/>
      <c r="B56" s="220"/>
      <c r="C56" s="220"/>
      <c r="D56" s="220"/>
      <c r="E56" s="220"/>
      <c r="F56" s="220"/>
      <c r="G56" s="220"/>
      <c r="H56" s="220"/>
    </row>
    <row r="57" spans="1:8" s="6" customFormat="1" ht="15">
      <c r="A57" s="269" t="s">
        <v>353</v>
      </c>
      <c r="B57" s="270">
        <f ca="1">TODAY()</f>
        <v>40534</v>
      </c>
      <c r="C57" s="220"/>
      <c r="D57" s="220"/>
      <c r="E57" s="220"/>
      <c r="F57" s="220"/>
      <c r="G57" s="220"/>
      <c r="H57" s="220"/>
    </row>
    <row r="58" spans="1:8" s="6" customFormat="1" ht="15">
      <c r="A58" s="269" t="s">
        <v>354</v>
      </c>
      <c r="B58" s="270">
        <f ca="1">DATE(YEAR($B$57)+3,MONTH($B$57),DAY($B$57))</f>
        <v>41630</v>
      </c>
      <c r="C58" s="220"/>
      <c r="D58" s="220"/>
      <c r="E58" s="220"/>
      <c r="F58" s="220"/>
      <c r="G58" s="220"/>
      <c r="H58" s="220"/>
    </row>
    <row r="59" spans="1:8" s="6" customFormat="1" ht="15">
      <c r="A59" s="269" t="s">
        <v>355</v>
      </c>
      <c r="B59" s="270">
        <f ca="1">DATE(YEAR($B$57),MONTH($B$57)+6,DAY($B$57))</f>
        <v>40716</v>
      </c>
      <c r="C59" s="220"/>
      <c r="D59" s="220"/>
      <c r="E59" s="220"/>
      <c r="F59" s="220"/>
      <c r="G59" s="220"/>
      <c r="H59" s="220"/>
    </row>
    <row r="60" spans="1:8" s="6" customFormat="1" ht="15">
      <c r="A60" s="220"/>
      <c r="B60" s="220"/>
      <c r="C60" s="220"/>
      <c r="D60" s="220"/>
      <c r="E60" s="220"/>
      <c r="F60" s="220"/>
      <c r="G60" s="220"/>
      <c r="H60" s="220"/>
    </row>
    <row r="61" spans="1:8" s="6" customFormat="1" ht="15"/>
    <row r="62" spans="1:8" s="6" customFormat="1" ht="15"/>
    <row r="63" spans="1:8" s="6" customFormat="1" ht="18">
      <c r="A63" s="224" t="s">
        <v>288</v>
      </c>
      <c r="B63" s="225"/>
      <c r="C63" s="225"/>
      <c r="D63" s="225"/>
      <c r="E63" s="225"/>
      <c r="F63" s="225"/>
      <c r="G63" s="225"/>
      <c r="H63" s="225"/>
    </row>
    <row r="64" spans="1:8" s="6" customFormat="1" ht="15">
      <c r="A64" s="220"/>
      <c r="B64" s="220"/>
      <c r="C64" s="220"/>
      <c r="D64" s="220"/>
      <c r="E64" s="220"/>
      <c r="F64" s="220"/>
      <c r="G64" s="220"/>
      <c r="H64" s="220"/>
    </row>
    <row r="65" spans="1:8" s="6" customFormat="1" ht="15.75">
      <c r="A65" s="219" t="s">
        <v>289</v>
      </c>
      <c r="B65" s="220"/>
      <c r="C65" s="220"/>
      <c r="D65" s="220"/>
      <c r="E65" s="220"/>
      <c r="F65" s="220"/>
      <c r="G65" s="250">
        <v>-10</v>
      </c>
      <c r="H65" s="220"/>
    </row>
    <row r="66" spans="1:8" s="6" customFormat="1" ht="15.75">
      <c r="A66" s="219"/>
      <c r="B66" s="220"/>
      <c r="C66" s="249" t="str">
        <f>cellformula(G66)</f>
        <v>=IF(G65&lt;0, "-ve", "+ve")</v>
      </c>
      <c r="D66" s="249"/>
      <c r="E66" s="249"/>
      <c r="F66" s="249"/>
      <c r="G66" s="218" t="str">
        <f>IF(G65&lt;0, "-ve", "+ve")</f>
        <v>-ve</v>
      </c>
      <c r="H66" s="220"/>
    </row>
    <row r="67" spans="1:8" s="6" customFormat="1" ht="18">
      <c r="A67" s="206"/>
      <c r="B67" s="220"/>
      <c r="C67" s="220"/>
      <c r="D67" s="220"/>
      <c r="E67" s="220"/>
      <c r="F67" s="220"/>
      <c r="G67" s="220"/>
      <c r="H67" s="220"/>
    </row>
    <row r="68" spans="1:8" s="6" customFormat="1" ht="18">
      <c r="A68" s="206" t="s">
        <v>297</v>
      </c>
      <c r="B68" s="220"/>
      <c r="C68" s="220"/>
      <c r="D68" s="220"/>
      <c r="E68" s="220"/>
      <c r="F68" s="220"/>
      <c r="G68" s="220"/>
      <c r="H68" s="220"/>
    </row>
    <row r="69" spans="1:8" s="6" customFormat="1" ht="15.75">
      <c r="A69" s="219"/>
      <c r="B69" s="220"/>
      <c r="C69" s="220"/>
      <c r="D69" s="220"/>
      <c r="E69" s="220"/>
      <c r="F69" s="220"/>
      <c r="G69" s="220"/>
      <c r="H69" s="220"/>
    </row>
    <row r="70" spans="1:8" s="6" customFormat="1" ht="15.75">
      <c r="A70" s="219"/>
      <c r="B70" s="229" t="s">
        <v>293</v>
      </c>
      <c r="C70" s="230">
        <v>5300000</v>
      </c>
      <c r="D70" s="220"/>
      <c r="E70" s="220"/>
      <c r="F70" s="220"/>
      <c r="G70" s="220"/>
      <c r="H70" s="220"/>
    </row>
    <row r="71" spans="1:8" s="6" customFormat="1" ht="15.75">
      <c r="A71" s="219"/>
      <c r="B71" s="232" t="s">
        <v>294</v>
      </c>
      <c r="C71" s="233"/>
      <c r="D71" s="220"/>
      <c r="E71" s="220"/>
      <c r="F71" s="220"/>
      <c r="G71" s="220"/>
      <c r="H71" s="220"/>
    </row>
    <row r="72" spans="1:8" s="6" customFormat="1" ht="15.75">
      <c r="A72" s="219"/>
      <c r="B72" s="236" t="s">
        <v>298</v>
      </c>
      <c r="C72" s="238">
        <v>200000</v>
      </c>
      <c r="D72" s="220"/>
      <c r="E72" s="220"/>
      <c r="F72" s="220"/>
      <c r="G72" s="220"/>
      <c r="H72" s="220"/>
    </row>
    <row r="73" spans="1:8" s="6" customFormat="1" ht="15.75">
      <c r="A73" s="219"/>
      <c r="B73" s="237" t="s">
        <v>295</v>
      </c>
      <c r="C73" s="239">
        <v>50000</v>
      </c>
      <c r="D73" s="220"/>
      <c r="E73" s="220"/>
      <c r="F73" s="220"/>
      <c r="G73" s="220"/>
      <c r="H73" s="220"/>
    </row>
    <row r="74" spans="1:8" s="6" customFormat="1" ht="15.75">
      <c r="A74" s="219"/>
      <c r="B74" s="231" t="s">
        <v>292</v>
      </c>
      <c r="C74" s="230">
        <f>MAX(C70-C72-C73,0)</f>
        <v>5050000</v>
      </c>
      <c r="D74" s="220"/>
      <c r="E74" s="220"/>
      <c r="F74" s="220"/>
      <c r="G74" s="220"/>
      <c r="H74" s="220"/>
    </row>
    <row r="75" spans="1:8" s="6" customFormat="1" ht="15">
      <c r="A75" s="228"/>
      <c r="B75" s="220"/>
      <c r="C75" s="220"/>
      <c r="D75" s="220"/>
      <c r="E75" s="220"/>
      <c r="F75" s="220"/>
      <c r="G75" s="220"/>
      <c r="H75" s="220"/>
    </row>
    <row r="76" spans="1:8" s="6" customFormat="1" ht="45">
      <c r="A76" s="228"/>
      <c r="B76" s="469" t="s">
        <v>301</v>
      </c>
      <c r="C76" s="470"/>
      <c r="D76" s="247" t="s">
        <v>290</v>
      </c>
      <c r="E76" s="246" t="s">
        <v>303</v>
      </c>
      <c r="F76" s="246" t="s">
        <v>304</v>
      </c>
      <c r="G76" s="220"/>
      <c r="H76" s="220"/>
    </row>
    <row r="77" spans="1:8" s="6" customFormat="1" ht="15">
      <c r="A77" s="228"/>
      <c r="B77" s="244" t="s">
        <v>299</v>
      </c>
      <c r="C77" s="230">
        <v>35000</v>
      </c>
      <c r="D77" s="240">
        <v>0.02</v>
      </c>
      <c r="E77" s="242">
        <f>IF(C74&gt;=C77,C77,C74)</f>
        <v>35000</v>
      </c>
      <c r="F77" s="242">
        <f>E77*D77</f>
        <v>700</v>
      </c>
      <c r="G77" s="220"/>
      <c r="H77" s="220"/>
    </row>
    <row r="78" spans="1:8" s="6" customFormat="1" ht="15">
      <c r="A78" s="228"/>
      <c r="B78" s="244" t="s">
        <v>300</v>
      </c>
      <c r="C78" s="230">
        <v>35000</v>
      </c>
      <c r="D78" s="240">
        <v>7.0000000000000007E-2</v>
      </c>
      <c r="E78" s="242">
        <f>IF(C74-E77&gt;=C78,C78,C74-E77)</f>
        <v>35000</v>
      </c>
      <c r="F78" s="242">
        <f t="shared" ref="F78:F80" si="3">E78*D78</f>
        <v>2450.0000000000005</v>
      </c>
      <c r="G78" s="220"/>
      <c r="H78" s="220"/>
    </row>
    <row r="79" spans="1:8" s="6" customFormat="1" ht="15">
      <c r="A79" s="228"/>
      <c r="B79" s="244" t="s">
        <v>300</v>
      </c>
      <c r="C79" s="230">
        <v>35000</v>
      </c>
      <c r="D79" s="240">
        <v>0.12</v>
      </c>
      <c r="E79" s="242">
        <f>IF(C74-E77-E78&gt;=C79,C79,C74-E77-E78)</f>
        <v>35000</v>
      </c>
      <c r="F79" s="242">
        <f t="shared" si="3"/>
        <v>4200</v>
      </c>
      <c r="G79" s="220"/>
      <c r="H79" s="220"/>
    </row>
    <row r="80" spans="1:8" s="6" customFormat="1" ht="15">
      <c r="A80" s="228"/>
      <c r="B80" s="245" t="s">
        <v>302</v>
      </c>
      <c r="C80" s="230"/>
      <c r="D80" s="240">
        <v>0.17</v>
      </c>
      <c r="E80" s="242">
        <f>C74-E77-E78-E79</f>
        <v>4945000</v>
      </c>
      <c r="F80" s="242">
        <f t="shared" si="3"/>
        <v>840650.00000000012</v>
      </c>
      <c r="G80" s="220"/>
      <c r="H80" s="220"/>
    </row>
    <row r="81" spans="1:8" s="6" customFormat="1" ht="15">
      <c r="A81" s="228"/>
      <c r="B81" s="220"/>
      <c r="C81" s="228"/>
      <c r="D81" s="220"/>
      <c r="E81" s="241" t="s">
        <v>296</v>
      </c>
      <c r="F81" s="243">
        <f>SUM(F77:F80)</f>
        <v>848000.00000000012</v>
      </c>
      <c r="G81" s="220"/>
      <c r="H81" s="220"/>
    </row>
    <row r="82" spans="1:8" s="6" customFormat="1" ht="15">
      <c r="A82" s="228"/>
      <c r="B82" s="220"/>
      <c r="C82" s="220"/>
      <c r="D82" s="220"/>
      <c r="E82" s="220"/>
      <c r="F82" s="220"/>
      <c r="G82" s="220"/>
      <c r="H82" s="220"/>
    </row>
    <row r="83" spans="1:8" s="6" customFormat="1" ht="15">
      <c r="A83" s="228"/>
      <c r="B83" s="220"/>
      <c r="C83" s="220"/>
      <c r="D83" s="220"/>
      <c r="E83" s="220"/>
      <c r="F83" s="220"/>
      <c r="G83" s="220"/>
      <c r="H83" s="220"/>
    </row>
    <row r="84" spans="1:8" s="6" customFormat="1" ht="15">
      <c r="A84" s="220"/>
      <c r="B84" s="234" t="s">
        <v>291</v>
      </c>
      <c r="C84" s="235">
        <v>0.16</v>
      </c>
      <c r="D84" s="242">
        <f>C70*C84</f>
        <v>848000</v>
      </c>
      <c r="E84" s="220"/>
      <c r="F84" s="220"/>
      <c r="G84" s="220"/>
      <c r="H84" s="220"/>
    </row>
    <row r="85" spans="1:8" s="6" customFormat="1" ht="15">
      <c r="A85" s="220"/>
      <c r="B85" s="220"/>
      <c r="C85" s="220"/>
      <c r="D85" s="220"/>
      <c r="E85" s="220"/>
      <c r="F85" s="220"/>
      <c r="G85" s="220"/>
      <c r="H85" s="220"/>
    </row>
    <row r="86" spans="1:8" s="6" customFormat="1" ht="15">
      <c r="A86" s="220"/>
      <c r="B86" s="220"/>
      <c r="C86" s="220"/>
      <c r="D86" s="220"/>
      <c r="E86" s="220"/>
      <c r="F86" s="220"/>
      <c r="G86" s="220"/>
      <c r="H86" s="220"/>
    </row>
    <row r="87" spans="1:8" s="6" customFormat="1" ht="15.75">
      <c r="A87" s="219" t="s">
        <v>305</v>
      </c>
      <c r="B87" s="220"/>
      <c r="C87" s="220"/>
      <c r="D87" s="220"/>
      <c r="E87" s="220"/>
      <c r="F87" s="251" t="s">
        <v>307</v>
      </c>
      <c r="G87" s="250">
        <v>3</v>
      </c>
      <c r="H87" s="220"/>
    </row>
    <row r="88" spans="1:8" s="6" customFormat="1" ht="15">
      <c r="A88" s="220"/>
      <c r="B88" s="220"/>
      <c r="C88" s="249" t="str">
        <f>cellformula(G88)</f>
        <v>=IF(AND(G87&gt;0, G87&lt;=5), "0 &lt; x &lt;= 5")</v>
      </c>
      <c r="D88" s="249"/>
      <c r="E88" s="249"/>
      <c r="F88" s="249"/>
      <c r="G88" s="218" t="str">
        <f>IF(AND(G87&gt;0, G87&lt;=5), "0 &lt; x &lt;= 5")</f>
        <v>0 &lt; x &lt;= 5</v>
      </c>
      <c r="H88" s="220"/>
    </row>
    <row r="89" spans="1:8" s="6" customFormat="1" ht="15">
      <c r="A89" s="220"/>
      <c r="B89" s="220"/>
      <c r="C89" s="220"/>
      <c r="D89" s="220"/>
      <c r="E89" s="220"/>
      <c r="F89" s="220"/>
      <c r="G89" s="220"/>
      <c r="H89" s="220"/>
    </row>
    <row r="90" spans="1:8" s="6" customFormat="1" ht="15.75">
      <c r="A90" s="219" t="s">
        <v>308</v>
      </c>
      <c r="B90" s="220"/>
      <c r="C90" s="220"/>
      <c r="D90" s="220"/>
      <c r="E90" s="220"/>
      <c r="F90" s="220"/>
      <c r="G90" s="220"/>
      <c r="H90" s="220"/>
    </row>
    <row r="91" spans="1:8" s="6" customFormat="1" ht="15.75">
      <c r="A91" s="219" t="s">
        <v>306</v>
      </c>
      <c r="B91" s="220"/>
      <c r="C91" s="220"/>
      <c r="D91" s="220"/>
      <c r="E91" s="220"/>
      <c r="F91" s="220"/>
      <c r="G91" s="220"/>
      <c r="H91" s="220"/>
    </row>
    <row r="92" spans="1:8" s="6" customFormat="1" ht="15">
      <c r="A92" s="220"/>
      <c r="B92" s="220"/>
      <c r="C92" s="249" t="str">
        <f>cellformula(G92)</f>
        <v>=IF(NOT(OR(G87&lt;=0, G87&gt;5)), "0 &lt; x &lt;= 5")</v>
      </c>
      <c r="D92" s="249"/>
      <c r="E92" s="249"/>
      <c r="F92" s="249"/>
      <c r="G92" s="218" t="str">
        <f>IF(NOT(OR(G87&lt;=0, G87&gt;5)), "0 &lt; x &lt;= 5")</f>
        <v>0 &lt; x &lt;= 5</v>
      </c>
      <c r="H92" s="220"/>
    </row>
    <row r="93" spans="1:8" s="6" customFormat="1" ht="15">
      <c r="A93" s="220"/>
      <c r="B93" s="220"/>
      <c r="C93" s="220"/>
      <c r="D93" s="220"/>
      <c r="E93" s="220"/>
      <c r="F93" s="220"/>
      <c r="G93" s="220"/>
      <c r="H93" s="220"/>
    </row>
    <row r="94" spans="1:8" s="6" customFormat="1" ht="15"/>
    <row r="95" spans="1:8" s="6" customFormat="1" ht="15"/>
    <row r="96" spans="1:8" s="6" customFormat="1" ht="18">
      <c r="A96" s="224" t="s">
        <v>359</v>
      </c>
      <c r="B96" s="225"/>
      <c r="C96" s="225"/>
      <c r="D96" s="225"/>
      <c r="E96" s="225"/>
      <c r="F96" s="225"/>
      <c r="G96" s="225"/>
      <c r="H96" s="225"/>
    </row>
    <row r="97" spans="1:8" s="285" customFormat="1" ht="15.75">
      <c r="A97" s="219"/>
      <c r="B97" s="220"/>
      <c r="C97" s="220"/>
      <c r="D97" s="220"/>
      <c r="E97" s="220"/>
      <c r="F97" s="220"/>
      <c r="G97" s="220"/>
      <c r="H97" s="220"/>
    </row>
    <row r="98" spans="1:8" s="285" customFormat="1" ht="15.75">
      <c r="A98" s="219" t="s">
        <v>387</v>
      </c>
      <c r="B98" s="220"/>
      <c r="C98" s="220"/>
      <c r="D98" s="220"/>
      <c r="E98" s="220"/>
      <c r="F98" s="220"/>
      <c r="G98" s="220"/>
      <c r="H98" s="220"/>
    </row>
    <row r="99" spans="1:8" s="285" customFormat="1" ht="15">
      <c r="A99" s="222" t="s">
        <v>391</v>
      </c>
      <c r="B99" s="220"/>
      <c r="C99" s="220"/>
      <c r="D99" s="220"/>
      <c r="E99" s="220"/>
      <c r="F99" s="220"/>
      <c r="G99" s="220"/>
      <c r="H99" s="220"/>
    </row>
    <row r="100" spans="1:8" s="285" customFormat="1" ht="15">
      <c r="A100" s="222" t="s">
        <v>385</v>
      </c>
      <c r="B100" s="220"/>
      <c r="C100" s="220"/>
      <c r="D100" s="220"/>
      <c r="E100" s="220"/>
      <c r="F100" s="220"/>
      <c r="G100" s="220"/>
      <c r="H100" s="220"/>
    </row>
    <row r="101" spans="1:8" s="285" customFormat="1" ht="15">
      <c r="A101" s="222"/>
      <c r="B101" s="220"/>
      <c r="C101" s="220"/>
      <c r="D101" s="220"/>
      <c r="E101" s="220"/>
      <c r="F101" s="220"/>
      <c r="G101" s="220"/>
      <c r="H101" s="220"/>
    </row>
    <row r="102" spans="1:8" s="285" customFormat="1" ht="15.75">
      <c r="A102" s="220"/>
      <c r="B102" s="220"/>
      <c r="C102" s="271" t="s">
        <v>360</v>
      </c>
      <c r="D102" s="288" t="s">
        <v>17</v>
      </c>
      <c r="E102" s="289"/>
      <c r="F102" s="220"/>
      <c r="G102" s="220"/>
      <c r="H102" s="220"/>
    </row>
    <row r="103" spans="1:8" s="285" customFormat="1" ht="15">
      <c r="A103" s="222" t="str">
        <f>cellformula(D103)</f>
        <v>=VLOOKUP(C103,B117:G136,2,FALSE)</v>
      </c>
      <c r="B103" s="220"/>
      <c r="C103" s="286">
        <v>5</v>
      </c>
      <c r="D103" s="287" t="str">
        <f>VLOOKUP(C103,B117:G136,2,FALSE)</f>
        <v>HSBC HOLDINGS</v>
      </c>
      <c r="E103" s="287"/>
      <c r="F103" s="220"/>
      <c r="G103" s="220"/>
      <c r="H103" s="220"/>
    </row>
    <row r="104" spans="1:8" s="285" customFormat="1" ht="15">
      <c r="A104" s="220"/>
      <c r="B104" s="220"/>
      <c r="C104" s="220"/>
      <c r="D104" s="220"/>
      <c r="E104" s="220"/>
      <c r="F104" s="220"/>
      <c r="G104" s="220"/>
      <c r="H104" s="220"/>
    </row>
    <row r="105" spans="1:8" s="285" customFormat="1" ht="15">
      <c r="A105" s="220"/>
      <c r="B105" s="220"/>
      <c r="C105" s="220"/>
      <c r="D105" s="220"/>
      <c r="E105" s="220"/>
      <c r="F105" s="220"/>
      <c r="G105" s="220"/>
      <c r="H105" s="220"/>
    </row>
    <row r="106" spans="1:8" s="285" customFormat="1" ht="15.75">
      <c r="A106" s="219" t="s">
        <v>386</v>
      </c>
      <c r="B106" s="220"/>
      <c r="C106" s="220"/>
      <c r="D106" s="220"/>
      <c r="E106" s="220"/>
      <c r="F106" s="220"/>
      <c r="G106" s="220"/>
      <c r="H106" s="220"/>
    </row>
    <row r="107" spans="1:8" s="285" customFormat="1" ht="15">
      <c r="A107" s="222" t="s">
        <v>390</v>
      </c>
      <c r="B107" s="220"/>
      <c r="C107" s="220"/>
      <c r="D107" s="220"/>
      <c r="E107" s="220"/>
      <c r="F107" s="220"/>
      <c r="G107" s="220"/>
      <c r="H107" s="220"/>
    </row>
    <row r="108" spans="1:8" s="285" customFormat="1" ht="15">
      <c r="A108" s="222" t="s">
        <v>388</v>
      </c>
      <c r="B108" s="220"/>
      <c r="C108" s="220"/>
      <c r="D108" s="220"/>
      <c r="E108" s="220"/>
      <c r="F108" s="220"/>
      <c r="G108" s="220"/>
      <c r="H108" s="220"/>
    </row>
    <row r="109" spans="1:8" s="285" customFormat="1" ht="15">
      <c r="A109" s="222" t="s">
        <v>389</v>
      </c>
      <c r="B109" s="220"/>
      <c r="C109" s="220"/>
      <c r="D109" s="220"/>
      <c r="E109" s="220"/>
      <c r="F109" s="220"/>
      <c r="G109" s="220"/>
      <c r="H109" s="220"/>
    </row>
    <row r="110" spans="1:8" s="285" customFormat="1" ht="15">
      <c r="A110" s="222"/>
      <c r="B110" s="220"/>
      <c r="C110" s="220"/>
      <c r="D110" s="220"/>
      <c r="E110" s="220"/>
      <c r="F110" s="220"/>
      <c r="G110" s="220"/>
      <c r="H110" s="220"/>
    </row>
    <row r="111" spans="1:8" s="285" customFormat="1" ht="15.75">
      <c r="A111" s="219" t="s">
        <v>392</v>
      </c>
      <c r="B111" s="220"/>
      <c r="C111" s="220"/>
      <c r="D111" s="220"/>
      <c r="E111" s="220"/>
      <c r="F111" s="220"/>
      <c r="G111" s="220"/>
      <c r="H111" s="220"/>
    </row>
    <row r="112" spans="1:8" s="285" customFormat="1" ht="15">
      <c r="A112" s="222"/>
      <c r="B112" s="220"/>
      <c r="C112" s="220"/>
      <c r="D112" s="220"/>
      <c r="E112" s="220"/>
      <c r="F112" s="220"/>
      <c r="G112" s="220"/>
      <c r="H112" s="220"/>
    </row>
    <row r="113" spans="1:12" s="285" customFormat="1" ht="15.75">
      <c r="A113" s="222"/>
      <c r="B113" s="220"/>
      <c r="C113" s="220"/>
      <c r="D113" s="271" t="s">
        <v>360</v>
      </c>
      <c r="E113" s="214" t="s">
        <v>361</v>
      </c>
      <c r="F113" s="220"/>
      <c r="G113" s="220"/>
      <c r="H113" s="220"/>
    </row>
    <row r="114" spans="1:12" s="285" customFormat="1" ht="15">
      <c r="A114" s="222" t="str">
        <f>cellformula(E114)</f>
        <v>=INDEX(C117:F136, MATCH(D114,B117:B136,0),2)</v>
      </c>
      <c r="B114" s="220"/>
      <c r="C114" s="220"/>
      <c r="D114" s="290">
        <v>14</v>
      </c>
      <c r="E114" s="287">
        <f>INDEX(C117:F136, MATCH(D114,B117:B136,0),2)</f>
        <v>22.3</v>
      </c>
      <c r="F114" s="220"/>
      <c r="G114" s="220"/>
      <c r="H114" s="220"/>
    </row>
    <row r="115" spans="1:12" s="285" customFormat="1" ht="15">
      <c r="A115" s="220"/>
      <c r="B115" s="220"/>
      <c r="C115" s="220"/>
      <c r="D115" s="220"/>
      <c r="E115" s="220"/>
      <c r="F115" s="220"/>
      <c r="G115" s="220"/>
      <c r="H115" s="220"/>
    </row>
    <row r="116" spans="1:12" s="11" customFormat="1">
      <c r="A116" s="26"/>
      <c r="B116" s="272" t="s">
        <v>360</v>
      </c>
      <c r="C116" s="272" t="s">
        <v>17</v>
      </c>
      <c r="D116" s="272" t="s">
        <v>361</v>
      </c>
      <c r="E116" s="272" t="s">
        <v>362</v>
      </c>
      <c r="F116" s="272" t="s">
        <v>363</v>
      </c>
      <c r="G116" s="272" t="s">
        <v>364</v>
      </c>
      <c r="H116" s="26"/>
      <c r="J116" s="277"/>
      <c r="K116" s="277"/>
      <c r="L116" s="277"/>
    </row>
    <row r="117" spans="1:12" s="11" customFormat="1">
      <c r="A117" s="26"/>
      <c r="B117" s="283">
        <v>1</v>
      </c>
      <c r="C117" s="284" t="s">
        <v>365</v>
      </c>
      <c r="D117" s="273">
        <v>107.9</v>
      </c>
      <c r="E117" s="274">
        <v>10000</v>
      </c>
      <c r="F117" s="273">
        <v>107.8</v>
      </c>
      <c r="G117" s="273">
        <v>108</v>
      </c>
      <c r="H117" s="26"/>
      <c r="J117" s="279"/>
      <c r="K117" s="278"/>
      <c r="L117" s="280"/>
    </row>
    <row r="118" spans="1:12" s="11" customFormat="1">
      <c r="A118" s="26"/>
      <c r="B118" s="281">
        <v>2</v>
      </c>
      <c r="C118" s="282" t="s">
        <v>366</v>
      </c>
      <c r="D118" s="275">
        <v>64.8</v>
      </c>
      <c r="E118" s="276">
        <v>8500</v>
      </c>
      <c r="F118" s="275">
        <v>64.75</v>
      </c>
      <c r="G118" s="275">
        <v>64.8</v>
      </c>
      <c r="H118" s="26"/>
      <c r="J118" s="279"/>
      <c r="K118" s="278"/>
      <c r="L118" s="280"/>
    </row>
    <row r="119" spans="1:12" s="11" customFormat="1">
      <c r="A119" s="26"/>
      <c r="B119" s="281">
        <v>10</v>
      </c>
      <c r="C119" s="282" t="s">
        <v>374</v>
      </c>
      <c r="D119" s="275">
        <v>34.549999999999997</v>
      </c>
      <c r="E119" s="276">
        <v>7000</v>
      </c>
      <c r="F119" s="275">
        <v>34.5</v>
      </c>
      <c r="G119" s="275">
        <v>34.549999999999997</v>
      </c>
      <c r="H119" s="26"/>
      <c r="J119" s="279"/>
      <c r="K119" s="278"/>
      <c r="L119" s="280"/>
    </row>
    <row r="120" spans="1:12" s="11" customFormat="1">
      <c r="A120" s="26"/>
      <c r="B120" s="283">
        <v>11</v>
      </c>
      <c r="C120" s="284" t="s">
        <v>375</v>
      </c>
      <c r="D120" s="273">
        <v>147.4</v>
      </c>
      <c r="E120" s="274">
        <v>4500</v>
      </c>
      <c r="F120" s="273">
        <v>147.4</v>
      </c>
      <c r="G120" s="273">
        <v>147.5</v>
      </c>
      <c r="H120" s="26"/>
      <c r="J120" s="279"/>
      <c r="K120" s="278"/>
      <c r="L120" s="280"/>
    </row>
    <row r="121" spans="1:12" s="11" customFormat="1">
      <c r="A121" s="26"/>
      <c r="B121" s="281">
        <v>12</v>
      </c>
      <c r="C121" s="282" t="s">
        <v>376</v>
      </c>
      <c r="D121" s="275">
        <v>46.35</v>
      </c>
      <c r="E121" s="276">
        <v>3000</v>
      </c>
      <c r="F121" s="275">
        <v>46.2</v>
      </c>
      <c r="G121" s="275">
        <v>46.35</v>
      </c>
      <c r="H121" s="26"/>
      <c r="J121" s="279"/>
      <c r="K121" s="278"/>
      <c r="L121" s="280"/>
    </row>
    <row r="122" spans="1:12" s="11" customFormat="1">
      <c r="A122" s="26"/>
      <c r="B122" s="283">
        <v>3</v>
      </c>
      <c r="C122" s="284" t="s">
        <v>367</v>
      </c>
      <c r="D122" s="273">
        <v>17.88</v>
      </c>
      <c r="E122" s="274">
        <v>8000</v>
      </c>
      <c r="F122" s="273">
        <v>17.86</v>
      </c>
      <c r="G122" s="273">
        <v>17.88</v>
      </c>
      <c r="H122" s="26"/>
      <c r="J122" s="279"/>
      <c r="K122" s="278"/>
      <c r="L122" s="280"/>
    </row>
    <row r="123" spans="1:12" s="11" customFormat="1">
      <c r="A123" s="26"/>
      <c r="B123" s="281">
        <v>6</v>
      </c>
      <c r="C123" s="282" t="s">
        <v>370</v>
      </c>
      <c r="D123" s="275">
        <v>46.35</v>
      </c>
      <c r="E123" s="276">
        <v>10000</v>
      </c>
      <c r="F123" s="275">
        <v>46.2</v>
      </c>
      <c r="G123" s="275">
        <v>46.35</v>
      </c>
      <c r="H123" s="26"/>
      <c r="J123" s="279"/>
      <c r="K123" s="278"/>
      <c r="L123" s="280"/>
    </row>
    <row r="124" spans="1:12" s="11" customFormat="1">
      <c r="A124" s="26"/>
      <c r="B124" s="283">
        <v>5</v>
      </c>
      <c r="C124" s="284" t="s">
        <v>369</v>
      </c>
      <c r="D124" s="273">
        <v>117.8</v>
      </c>
      <c r="E124" s="274">
        <v>62400</v>
      </c>
      <c r="F124" s="273">
        <v>117.7</v>
      </c>
      <c r="G124" s="273">
        <v>117.8</v>
      </c>
      <c r="H124" s="26"/>
      <c r="J124" s="279"/>
      <c r="K124" s="278"/>
      <c r="L124" s="280"/>
    </row>
    <row r="125" spans="1:12" s="11" customFormat="1">
      <c r="A125" s="26"/>
      <c r="B125" s="283">
        <v>13</v>
      </c>
      <c r="C125" s="284" t="s">
        <v>377</v>
      </c>
      <c r="D125" s="273">
        <v>80.900000000000006</v>
      </c>
      <c r="E125" s="274">
        <v>28000</v>
      </c>
      <c r="F125" s="273">
        <v>80.849999999999994</v>
      </c>
      <c r="G125" s="273">
        <v>80.95</v>
      </c>
      <c r="H125" s="26"/>
      <c r="J125" s="279"/>
      <c r="K125" s="278"/>
      <c r="L125" s="280"/>
    </row>
    <row r="126" spans="1:12">
      <c r="A126" s="26"/>
      <c r="B126" s="281">
        <v>14</v>
      </c>
      <c r="C126" s="282" t="s">
        <v>378</v>
      </c>
      <c r="D126" s="275">
        <v>22.3</v>
      </c>
      <c r="E126" s="276">
        <v>17000</v>
      </c>
      <c r="F126" s="275">
        <v>22.25</v>
      </c>
      <c r="G126" s="275">
        <v>22.35</v>
      </c>
      <c r="H126" s="26"/>
      <c r="J126" s="279"/>
      <c r="K126" s="278"/>
      <c r="L126" s="280"/>
    </row>
    <row r="127" spans="1:12">
      <c r="A127" s="26"/>
      <c r="B127" s="283">
        <v>7</v>
      </c>
      <c r="C127" s="284" t="s">
        <v>371</v>
      </c>
      <c r="D127" s="273">
        <v>1.34</v>
      </c>
      <c r="E127" s="274">
        <v>20000</v>
      </c>
      <c r="F127" s="273">
        <v>1.29</v>
      </c>
      <c r="G127" s="273">
        <v>1.37</v>
      </c>
      <c r="H127" s="26"/>
      <c r="J127" s="279"/>
      <c r="K127" s="278"/>
      <c r="L127" s="280"/>
    </row>
    <row r="128" spans="1:12">
      <c r="A128" s="26"/>
      <c r="B128" s="283">
        <v>9</v>
      </c>
      <c r="C128" s="284" t="s">
        <v>373</v>
      </c>
      <c r="D128" s="273">
        <v>0.26500000000000001</v>
      </c>
      <c r="E128" s="274">
        <v>2000</v>
      </c>
      <c r="F128" s="273">
        <v>0.26500000000000001</v>
      </c>
      <c r="G128" s="273">
        <v>0.29499999999999998</v>
      </c>
      <c r="H128" s="26"/>
      <c r="J128" s="279"/>
      <c r="K128" s="278"/>
      <c r="L128" s="280"/>
    </row>
    <row r="129" spans="1:12">
      <c r="A129" s="26"/>
      <c r="B129" s="283">
        <v>17</v>
      </c>
      <c r="C129" s="284" t="s">
        <v>381</v>
      </c>
      <c r="D129" s="273">
        <v>15.24</v>
      </c>
      <c r="E129" s="274">
        <v>13000</v>
      </c>
      <c r="F129" s="273">
        <v>15.22</v>
      </c>
      <c r="G129" s="273">
        <v>15.24</v>
      </c>
      <c r="H129" s="26"/>
      <c r="J129" s="279"/>
      <c r="K129" s="278"/>
      <c r="L129" s="280"/>
    </row>
    <row r="130" spans="1:12">
      <c r="A130" s="26"/>
      <c r="B130" s="281">
        <v>18</v>
      </c>
      <c r="C130" s="282" t="s">
        <v>382</v>
      </c>
      <c r="D130" s="275">
        <v>1.2</v>
      </c>
      <c r="E130" s="276">
        <v>40000</v>
      </c>
      <c r="F130" s="275">
        <v>1.2</v>
      </c>
      <c r="G130" s="275">
        <v>1.21</v>
      </c>
      <c r="H130" s="26"/>
      <c r="J130" s="279"/>
      <c r="K130" s="278"/>
      <c r="L130" s="280"/>
    </row>
    <row r="131" spans="1:12">
      <c r="A131" s="26"/>
      <c r="B131" s="281">
        <v>8</v>
      </c>
      <c r="C131" s="282" t="s">
        <v>372</v>
      </c>
      <c r="D131" s="275">
        <v>4.8899999999999997</v>
      </c>
      <c r="E131" s="276">
        <v>7000</v>
      </c>
      <c r="F131" s="275">
        <v>4.8899999999999997</v>
      </c>
      <c r="G131" s="275">
        <v>4.9000000000000004</v>
      </c>
      <c r="H131" s="26"/>
      <c r="J131" s="279"/>
      <c r="K131" s="278"/>
      <c r="L131" s="280"/>
    </row>
    <row r="132" spans="1:12">
      <c r="A132" s="26"/>
      <c r="B132" s="281">
        <v>16</v>
      </c>
      <c r="C132" s="282" t="s">
        <v>380</v>
      </c>
      <c r="D132" s="275">
        <v>113.6</v>
      </c>
      <c r="E132" s="276">
        <v>2000</v>
      </c>
      <c r="F132" s="275">
        <v>113.6</v>
      </c>
      <c r="G132" s="275">
        <v>113.7</v>
      </c>
      <c r="H132" s="26"/>
      <c r="J132" s="279"/>
      <c r="K132" s="278"/>
      <c r="L132" s="280"/>
    </row>
    <row r="133" spans="1:12">
      <c r="A133" s="26"/>
      <c r="B133" s="283">
        <v>19</v>
      </c>
      <c r="C133" s="284" t="s">
        <v>383</v>
      </c>
      <c r="D133" s="273">
        <v>79.5</v>
      </c>
      <c r="E133" s="274">
        <v>6500</v>
      </c>
      <c r="F133" s="273">
        <v>79.45</v>
      </c>
      <c r="G133" s="273">
        <v>79.599999999999994</v>
      </c>
      <c r="H133" s="26"/>
      <c r="J133" s="279"/>
      <c r="K133" s="278"/>
      <c r="L133" s="280"/>
    </row>
    <row r="134" spans="1:12">
      <c r="A134" s="26"/>
      <c r="B134" s="283">
        <v>15</v>
      </c>
      <c r="C134" s="284" t="s">
        <v>379</v>
      </c>
      <c r="D134" s="273">
        <v>0.74</v>
      </c>
      <c r="E134" s="274">
        <v>36000</v>
      </c>
      <c r="F134" s="273">
        <v>0.7</v>
      </c>
      <c r="G134" s="273">
        <v>0.74</v>
      </c>
      <c r="H134" s="26"/>
      <c r="J134" s="279"/>
      <c r="K134" s="278"/>
      <c r="L134" s="280"/>
    </row>
    <row r="135" spans="1:12">
      <c r="A135" s="26"/>
      <c r="B135" s="281">
        <v>4</v>
      </c>
      <c r="C135" s="282" t="s">
        <v>368</v>
      </c>
      <c r="D135" s="275">
        <v>32.85</v>
      </c>
      <c r="E135" s="276">
        <v>3000</v>
      </c>
      <c r="F135" s="275">
        <v>32.75</v>
      </c>
      <c r="G135" s="275">
        <v>32.9</v>
      </c>
      <c r="H135" s="26"/>
      <c r="J135" s="279"/>
      <c r="K135" s="278"/>
      <c r="L135" s="280"/>
    </row>
    <row r="136" spans="1:12">
      <c r="A136" s="26"/>
      <c r="B136" s="281">
        <v>20</v>
      </c>
      <c r="C136" s="282" t="s">
        <v>384</v>
      </c>
      <c r="D136" s="275">
        <v>20.05</v>
      </c>
      <c r="E136" s="276">
        <v>2000</v>
      </c>
      <c r="F136" s="275">
        <v>19.920000000000002</v>
      </c>
      <c r="G136" s="275">
        <v>20.05</v>
      </c>
      <c r="H136" s="26"/>
      <c r="J136" s="279"/>
      <c r="K136" s="278"/>
      <c r="L136" s="280"/>
    </row>
    <row r="137" spans="1:12">
      <c r="A137" s="26"/>
      <c r="B137" s="26"/>
      <c r="C137" s="26"/>
      <c r="D137" s="26"/>
      <c r="E137" s="26"/>
      <c r="F137" s="26"/>
      <c r="G137" s="26"/>
      <c r="H137" s="26"/>
    </row>
    <row r="140" spans="1:12" ht="18">
      <c r="A140" s="224" t="s">
        <v>487</v>
      </c>
      <c r="B140" s="225"/>
      <c r="C140" s="225"/>
      <c r="D140" s="225"/>
      <c r="E140" s="225"/>
      <c r="F140" s="225"/>
      <c r="G140" s="225"/>
      <c r="H140" s="225"/>
    </row>
    <row r="141" spans="1:12">
      <c r="A141" s="26"/>
      <c r="B141" s="26"/>
      <c r="C141" s="26"/>
      <c r="D141" s="26"/>
      <c r="E141" s="26"/>
      <c r="F141" s="26"/>
      <c r="G141" s="26"/>
      <c r="H141" s="26"/>
    </row>
    <row r="142" spans="1:12" ht="15.75">
      <c r="A142" s="219" t="s">
        <v>488</v>
      </c>
      <c r="B142" s="26"/>
      <c r="C142" s="26"/>
      <c r="D142" s="26"/>
      <c r="E142" s="26"/>
      <c r="F142" s="26"/>
      <c r="G142" s="26"/>
      <c r="H142" s="26"/>
    </row>
    <row r="143" spans="1:12">
      <c r="A143" s="26"/>
      <c r="B143" s="26"/>
      <c r="C143" s="26"/>
      <c r="D143" s="26"/>
      <c r="E143" s="26"/>
      <c r="F143" s="26"/>
      <c r="G143" s="26"/>
      <c r="H143" s="26"/>
    </row>
    <row r="144" spans="1:12">
      <c r="A144" s="88">
        <f t="array" ref="A144:B144">MMULT(D144:E144,G144:H145)</f>
        <v>5</v>
      </c>
      <c r="B144" s="88">
        <v>11</v>
      </c>
      <c r="C144" s="447" t="s">
        <v>490</v>
      </c>
      <c r="D144" s="116">
        <v>1</v>
      </c>
      <c r="E144" s="116">
        <v>2</v>
      </c>
      <c r="F144" s="447" t="s">
        <v>489</v>
      </c>
      <c r="G144" s="116">
        <v>1</v>
      </c>
      <c r="H144" s="116">
        <v>3</v>
      </c>
    </row>
    <row r="145" spans="1:8">
      <c r="A145" s="26"/>
      <c r="B145" s="26"/>
      <c r="C145" s="447"/>
      <c r="D145" s="26"/>
      <c r="E145" s="26"/>
      <c r="F145" s="26"/>
      <c r="G145" s="116">
        <v>2</v>
      </c>
      <c r="H145" s="116">
        <v>4</v>
      </c>
    </row>
    <row r="146" spans="1:8">
      <c r="A146" s="26"/>
      <c r="B146" s="26"/>
      <c r="C146" s="26"/>
      <c r="D146" s="26"/>
      <c r="E146" s="26"/>
      <c r="F146" s="26"/>
      <c r="G146" s="26"/>
      <c r="H146" s="26"/>
    </row>
    <row r="147" spans="1:8" ht="15.75">
      <c r="A147" s="219" t="s">
        <v>491</v>
      </c>
      <c r="B147" s="26"/>
      <c r="C147" s="26"/>
      <c r="D147" s="26"/>
      <c r="E147" s="26"/>
      <c r="F147" s="26"/>
      <c r="G147" s="26"/>
      <c r="H147" s="26"/>
    </row>
    <row r="148" spans="1:8">
      <c r="A148" s="26"/>
      <c r="B148" s="26"/>
      <c r="C148" s="26"/>
      <c r="D148" s="26"/>
      <c r="E148" s="26"/>
      <c r="F148" s="26"/>
      <c r="G148" s="26"/>
      <c r="H148" s="26"/>
    </row>
    <row r="149" spans="1:8">
      <c r="A149" s="88">
        <f t="array" ref="A149:B150">MINVERSE(D149:E150)</f>
        <v>-1.9999999999999998</v>
      </c>
      <c r="B149" s="88">
        <v>0.99999999999999989</v>
      </c>
      <c r="C149" s="447" t="s">
        <v>490</v>
      </c>
      <c r="D149" s="116">
        <v>1</v>
      </c>
      <c r="E149" s="116">
        <v>2</v>
      </c>
      <c r="F149" s="447">
        <v>-1</v>
      </c>
      <c r="G149" s="26"/>
      <c r="H149" s="26"/>
    </row>
    <row r="150" spans="1:8">
      <c r="A150" s="88">
        <v>1.4999999999999998</v>
      </c>
      <c r="B150" s="88">
        <v>-0.49999999999999989</v>
      </c>
      <c r="C150" s="26"/>
      <c r="D150" s="116">
        <v>3</v>
      </c>
      <c r="E150" s="116">
        <v>4</v>
      </c>
      <c r="F150" s="448"/>
      <c r="G150" s="26"/>
      <c r="H150" s="26"/>
    </row>
    <row r="151" spans="1:8">
      <c r="A151" s="26"/>
      <c r="B151" s="26"/>
      <c r="C151" s="26"/>
      <c r="D151" s="26"/>
      <c r="E151" s="26"/>
      <c r="F151" s="26"/>
      <c r="G151" s="26"/>
      <c r="H151" s="26"/>
    </row>
    <row r="152" spans="1:8">
      <c r="A152" s="26"/>
      <c r="B152" s="26"/>
      <c r="C152" s="26"/>
      <c r="D152" s="26"/>
      <c r="E152" s="26"/>
      <c r="F152" s="26"/>
      <c r="G152" s="26"/>
      <c r="H152" s="26"/>
    </row>
    <row r="153" spans="1:8" ht="15.75">
      <c r="A153" s="219" t="s">
        <v>492</v>
      </c>
      <c r="B153" s="26"/>
      <c r="C153" s="26"/>
      <c r="D153" s="26"/>
      <c r="E153" s="26"/>
      <c r="F153" s="26"/>
      <c r="G153" s="26"/>
      <c r="H153" s="26"/>
    </row>
    <row r="154" spans="1:8">
      <c r="A154" s="26"/>
      <c r="B154" s="26"/>
      <c r="C154" s="26"/>
      <c r="D154" s="26"/>
      <c r="E154" s="26"/>
      <c r="F154" s="26"/>
      <c r="G154" s="26"/>
      <c r="H154" s="26"/>
    </row>
    <row r="155" spans="1:8">
      <c r="A155" s="88">
        <f t="array" ref="A155:B156">TRANSPOSE(D155:E156)</f>
        <v>1</v>
      </c>
      <c r="B155" s="88">
        <v>3</v>
      </c>
      <c r="C155" s="447" t="s">
        <v>490</v>
      </c>
      <c r="D155" s="116">
        <v>1</v>
      </c>
      <c r="E155" s="116">
        <v>2</v>
      </c>
      <c r="F155" s="447" t="s">
        <v>493</v>
      </c>
      <c r="G155" s="26"/>
      <c r="H155" s="26"/>
    </row>
    <row r="156" spans="1:8">
      <c r="A156" s="88">
        <v>2</v>
      </c>
      <c r="B156" s="88">
        <v>4</v>
      </c>
      <c r="C156" s="26"/>
      <c r="D156" s="116">
        <v>3</v>
      </c>
      <c r="E156" s="116">
        <v>4</v>
      </c>
      <c r="F156" s="448"/>
      <c r="G156" s="26"/>
      <c r="H156" s="26"/>
    </row>
    <row r="157" spans="1:8">
      <c r="A157" s="26"/>
      <c r="B157" s="26"/>
      <c r="C157" s="26"/>
      <c r="D157" s="26"/>
      <c r="E157" s="26"/>
      <c r="F157" s="26"/>
      <c r="G157" s="26"/>
      <c r="H157" s="26"/>
    </row>
    <row r="158" spans="1:8">
      <c r="A158" s="11"/>
      <c r="B158" s="11"/>
      <c r="C158" s="11"/>
      <c r="D158" s="11"/>
      <c r="E158" s="11"/>
      <c r="F158" s="11"/>
      <c r="G158" s="11"/>
      <c r="H158" s="11"/>
    </row>
    <row r="159" spans="1:8">
      <c r="A159" s="11"/>
      <c r="B159" s="11"/>
      <c r="C159" s="11"/>
      <c r="D159" s="11"/>
      <c r="E159" s="11"/>
      <c r="F159" s="11"/>
      <c r="G159" s="11"/>
      <c r="H159" s="11"/>
    </row>
    <row r="160" spans="1:8">
      <c r="A160" s="11"/>
      <c r="B160" s="11"/>
      <c r="C160" s="11"/>
      <c r="D160" s="11"/>
      <c r="E160" s="11"/>
      <c r="F160" s="11"/>
      <c r="G160" s="11"/>
      <c r="H160" s="11"/>
    </row>
    <row r="161" spans="1:8">
      <c r="A161" s="11"/>
      <c r="B161" s="11"/>
      <c r="C161" s="11"/>
      <c r="D161" s="11"/>
      <c r="E161" s="11"/>
      <c r="F161" s="11"/>
      <c r="G161" s="11"/>
      <c r="H161" s="11"/>
    </row>
    <row r="162" spans="1:8">
      <c r="A162" s="11"/>
      <c r="B162" s="11"/>
      <c r="C162" s="11"/>
      <c r="D162" s="11"/>
      <c r="E162" s="11"/>
      <c r="F162" s="11"/>
      <c r="G162" s="11"/>
      <c r="H162" s="11"/>
    </row>
    <row r="163" spans="1:8">
      <c r="A163" s="11"/>
      <c r="B163" s="11"/>
      <c r="C163" s="11"/>
      <c r="D163" s="11"/>
      <c r="E163" s="11"/>
      <c r="F163" s="11"/>
      <c r="G163" s="11"/>
      <c r="H163" s="11"/>
    </row>
    <row r="164" spans="1:8">
      <c r="A164" s="11"/>
      <c r="B164" s="11"/>
      <c r="C164" s="11"/>
      <c r="D164" s="11"/>
      <c r="E164" s="11"/>
      <c r="F164" s="11"/>
      <c r="G164" s="11"/>
      <c r="H164" s="11"/>
    </row>
    <row r="165" spans="1:8">
      <c r="A165" s="11"/>
      <c r="B165" s="11"/>
      <c r="C165" s="11"/>
      <c r="D165" s="11"/>
      <c r="E165" s="11"/>
      <c r="F165" s="11"/>
      <c r="G165" s="11"/>
      <c r="H165" s="11"/>
    </row>
    <row r="166" spans="1:8">
      <c r="A166" s="11"/>
      <c r="B166" s="11"/>
      <c r="C166" s="11"/>
      <c r="D166" s="11"/>
      <c r="E166" s="11"/>
      <c r="F166" s="11"/>
      <c r="G166" s="11"/>
      <c r="H166" s="11"/>
    </row>
    <row r="167" spans="1:8">
      <c r="A167" s="11"/>
      <c r="B167" s="11"/>
      <c r="C167" s="11"/>
      <c r="D167" s="11"/>
      <c r="E167" s="11"/>
      <c r="F167" s="11"/>
      <c r="G167" s="11"/>
      <c r="H167" s="11"/>
    </row>
    <row r="168" spans="1:8">
      <c r="A168" s="11"/>
      <c r="B168" s="11"/>
      <c r="C168" s="11"/>
      <c r="D168" s="11"/>
      <c r="E168" s="11"/>
      <c r="F168" s="11"/>
      <c r="G168" s="11"/>
      <c r="H168" s="11"/>
    </row>
    <row r="169" spans="1:8">
      <c r="A169" s="11"/>
      <c r="B169" s="11"/>
      <c r="C169" s="11"/>
      <c r="D169" s="11"/>
      <c r="E169" s="11"/>
      <c r="F169" s="11"/>
      <c r="G169" s="11"/>
      <c r="H169" s="11"/>
    </row>
    <row r="170" spans="1:8">
      <c r="A170" s="11"/>
      <c r="B170" s="11"/>
      <c r="C170" s="11"/>
      <c r="D170" s="11"/>
      <c r="E170" s="11"/>
      <c r="F170" s="11"/>
      <c r="G170" s="11"/>
      <c r="H170" s="11"/>
    </row>
    <row r="171" spans="1:8">
      <c r="A171" s="11"/>
      <c r="B171" s="11"/>
      <c r="C171" s="11"/>
      <c r="D171" s="11"/>
      <c r="E171" s="11"/>
      <c r="F171" s="11"/>
      <c r="G171" s="11"/>
      <c r="H171" s="11"/>
    </row>
    <row r="172" spans="1:8">
      <c r="A172" s="11"/>
      <c r="B172" s="11"/>
      <c r="C172" s="11"/>
      <c r="D172" s="11"/>
      <c r="E172" s="11"/>
      <c r="F172" s="11"/>
      <c r="G172" s="11"/>
      <c r="H172" s="11"/>
    </row>
    <row r="173" spans="1:8">
      <c r="A173" s="11"/>
      <c r="B173" s="11"/>
      <c r="C173" s="11"/>
      <c r="D173" s="11"/>
      <c r="E173" s="11"/>
      <c r="F173" s="11"/>
      <c r="G173" s="11"/>
      <c r="H173" s="11"/>
    </row>
    <row r="174" spans="1:8">
      <c r="A174" s="11"/>
      <c r="B174" s="11"/>
      <c r="C174" s="11"/>
      <c r="D174" s="11"/>
      <c r="E174" s="11"/>
      <c r="F174" s="11"/>
      <c r="G174" s="11"/>
      <c r="H174" s="11"/>
    </row>
    <row r="175" spans="1:8">
      <c r="A175" s="11"/>
      <c r="B175" s="11"/>
      <c r="C175" s="11"/>
      <c r="D175" s="11"/>
      <c r="E175" s="11"/>
      <c r="F175" s="11"/>
      <c r="G175" s="11"/>
      <c r="H175" s="11"/>
    </row>
    <row r="176" spans="1:8">
      <c r="A176" s="11"/>
      <c r="B176" s="11"/>
      <c r="C176" s="11"/>
      <c r="D176" s="11"/>
      <c r="E176" s="11"/>
      <c r="F176" s="11"/>
      <c r="G176" s="11"/>
      <c r="H176" s="11"/>
    </row>
    <row r="177" spans="1:8">
      <c r="A177" s="11"/>
      <c r="B177" s="11"/>
      <c r="C177" s="11"/>
      <c r="D177" s="11"/>
      <c r="E177" s="11"/>
      <c r="F177" s="11"/>
      <c r="G177" s="11"/>
      <c r="H177" s="11"/>
    </row>
    <row r="178" spans="1:8">
      <c r="A178" s="11"/>
      <c r="B178" s="11"/>
      <c r="C178" s="11"/>
      <c r="D178" s="11"/>
      <c r="E178" s="11"/>
      <c r="F178" s="11"/>
      <c r="G178" s="11"/>
      <c r="H178" s="11"/>
    </row>
    <row r="179" spans="1:8">
      <c r="A179" s="11"/>
      <c r="B179" s="11"/>
      <c r="C179" s="11"/>
      <c r="D179" s="11"/>
      <c r="E179" s="11"/>
      <c r="F179" s="11"/>
      <c r="G179" s="11"/>
      <c r="H179" s="11"/>
    </row>
    <row r="180" spans="1:8">
      <c r="A180" s="11"/>
      <c r="B180" s="11"/>
      <c r="C180" s="11"/>
      <c r="D180" s="11"/>
      <c r="E180" s="11"/>
      <c r="F180" s="11"/>
      <c r="G180" s="11"/>
      <c r="H180" s="11"/>
    </row>
    <row r="181" spans="1:8">
      <c r="A181" s="11"/>
      <c r="B181" s="11"/>
      <c r="C181" s="11"/>
      <c r="D181" s="11"/>
      <c r="E181" s="11"/>
      <c r="F181" s="11"/>
      <c r="G181" s="11"/>
      <c r="H181" s="11"/>
    </row>
    <row r="182" spans="1:8">
      <c r="A182" s="11"/>
      <c r="B182" s="11"/>
      <c r="C182" s="11"/>
      <c r="D182" s="11"/>
      <c r="E182" s="11"/>
      <c r="F182" s="11"/>
      <c r="G182" s="11"/>
      <c r="H182" s="11"/>
    </row>
    <row r="183" spans="1:8">
      <c r="A183" s="11"/>
      <c r="B183" s="11"/>
      <c r="C183" s="11"/>
      <c r="D183" s="11"/>
      <c r="E183" s="11"/>
      <c r="F183" s="11"/>
      <c r="G183" s="11"/>
      <c r="H183" s="11"/>
    </row>
    <row r="184" spans="1:8">
      <c r="A184" s="11"/>
      <c r="B184" s="11"/>
      <c r="C184" s="11"/>
      <c r="D184" s="11"/>
      <c r="E184" s="11"/>
      <c r="F184" s="11"/>
      <c r="G184" s="11"/>
      <c r="H184" s="11"/>
    </row>
    <row r="185" spans="1:8">
      <c r="A185" s="11"/>
      <c r="B185" s="11"/>
      <c r="C185" s="11"/>
      <c r="D185" s="11"/>
      <c r="E185" s="11"/>
      <c r="F185" s="11"/>
      <c r="G185" s="11"/>
      <c r="H185" s="11"/>
    </row>
    <row r="186" spans="1:8">
      <c r="A186" s="11"/>
      <c r="B186" s="11"/>
      <c r="C186" s="11"/>
      <c r="D186" s="11"/>
      <c r="E186" s="11"/>
      <c r="F186" s="11"/>
      <c r="G186" s="11"/>
      <c r="H186" s="11"/>
    </row>
    <row r="187" spans="1:8">
      <c r="A187" s="11"/>
      <c r="B187" s="11"/>
      <c r="C187" s="11"/>
      <c r="D187" s="11"/>
      <c r="E187" s="11"/>
      <c r="F187" s="11"/>
      <c r="G187" s="11"/>
      <c r="H187" s="11"/>
    </row>
    <row r="188" spans="1:8">
      <c r="A188" s="11"/>
      <c r="B188" s="11"/>
      <c r="C188" s="11"/>
      <c r="D188" s="11"/>
      <c r="E188" s="11"/>
      <c r="F188" s="11"/>
      <c r="G188" s="11"/>
      <c r="H188" s="11"/>
    </row>
  </sheetData>
  <mergeCells count="2">
    <mergeCell ref="A27:B27"/>
    <mergeCell ref="B76:C76"/>
  </mergeCells>
  <phoneticPr fontId="20" type="noConversion"/>
  <pageMargins left="0.75" right="0.75" top="1" bottom="1" header="0.5" footer="0.5"/>
  <pageSetup orientation="portrait" verticalDpi="0" r:id="rId1"/>
  <headerFooter alignWithMargins="0">
    <oddHeader>&amp;A</oddHeader>
    <oddFooter>Page &amp;P</oddFooter>
  </headerFooter>
  <ignoredErrors>
    <ignoredError sqref="G19" formula="1"/>
  </ignoredErrors>
  <legacyDrawing r:id="rId2"/>
  <controls>
    <control shapeId="5129" r:id="rId3" name="Control 9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/>
  <dimension ref="A1:L73"/>
  <sheetViews>
    <sheetView showGridLines="0" topLeftCell="A44" workbookViewId="0">
      <selection activeCell="A66" sqref="A66"/>
    </sheetView>
  </sheetViews>
  <sheetFormatPr defaultColWidth="9.7109375" defaultRowHeight="12.75"/>
  <cols>
    <col min="1" max="1" width="29.42578125" customWidth="1"/>
    <col min="2" max="2" width="18.42578125" customWidth="1"/>
    <col min="3" max="3" width="15.85546875" bestFit="1" customWidth="1"/>
    <col min="4" max="4" width="13.42578125" customWidth="1"/>
    <col min="5" max="5" width="13.5703125" bestFit="1" customWidth="1"/>
    <col min="6" max="8" width="12.85546875" bestFit="1" customWidth="1"/>
    <col min="9" max="9" width="10.7109375" customWidth="1"/>
    <col min="10" max="10" width="11.42578125" customWidth="1"/>
    <col min="11" max="11" width="12.5703125" customWidth="1"/>
  </cols>
  <sheetData>
    <row r="1" spans="1:12" ht="27.75">
      <c r="A1" s="59" t="s">
        <v>357</v>
      </c>
      <c r="B1" s="59"/>
      <c r="C1" s="216"/>
      <c r="D1" s="216"/>
      <c r="E1" s="216"/>
      <c r="F1" s="216"/>
      <c r="G1" s="216"/>
      <c r="H1" s="216"/>
      <c r="I1" s="216"/>
      <c r="J1" s="217"/>
      <c r="K1" s="217"/>
      <c r="L1" s="217"/>
    </row>
    <row r="2" spans="1:12" s="4" customFormat="1" ht="15"/>
    <row r="3" spans="1:12" s="4" customFormat="1" ht="18">
      <c r="A3" s="224" t="s">
        <v>265</v>
      </c>
      <c r="B3" s="253"/>
      <c r="C3" s="253"/>
      <c r="D3" s="253"/>
      <c r="E3" s="253"/>
      <c r="F3" s="253"/>
      <c r="G3" s="253"/>
      <c r="H3" s="253"/>
      <c r="I3" s="253"/>
    </row>
    <row r="4" spans="1:12" s="4" customFormat="1" ht="15">
      <c r="A4" s="228"/>
      <c r="B4" s="228"/>
      <c r="C4" s="228"/>
      <c r="D4" s="228"/>
      <c r="E4" s="228"/>
      <c r="F4" s="228"/>
      <c r="G4" s="228"/>
      <c r="H4" s="228"/>
      <c r="I4" s="228"/>
    </row>
    <row r="5" spans="1:12" s="4" customFormat="1" ht="15">
      <c r="A5" s="228" t="s">
        <v>267</v>
      </c>
      <c r="B5" s="228" t="s">
        <v>269</v>
      </c>
      <c r="C5" s="228"/>
      <c r="D5" s="228"/>
      <c r="E5" s="228"/>
      <c r="F5" s="228"/>
      <c r="G5" s="228"/>
      <c r="H5" s="228"/>
      <c r="I5" s="228"/>
    </row>
    <row r="6" spans="1:12" s="4" customFormat="1" ht="15">
      <c r="A6" s="228" t="s">
        <v>268</v>
      </c>
      <c r="B6" s="228" t="s">
        <v>270</v>
      </c>
      <c r="C6" s="228"/>
      <c r="D6" s="228"/>
      <c r="E6" s="228"/>
      <c r="F6" s="228"/>
      <c r="G6" s="228"/>
      <c r="H6" s="228"/>
      <c r="I6" s="228"/>
    </row>
    <row r="7" spans="1:12" s="4" customFormat="1" ht="15">
      <c r="A7" s="228" t="s">
        <v>271</v>
      </c>
      <c r="B7" s="228" t="s">
        <v>272</v>
      </c>
      <c r="C7" s="228"/>
      <c r="D7" s="228"/>
      <c r="E7" s="228"/>
      <c r="F7" s="228"/>
      <c r="G7" s="228"/>
      <c r="H7" s="228"/>
      <c r="I7" s="228"/>
    </row>
    <row r="8" spans="1:12" s="4" customFormat="1" ht="15">
      <c r="A8" s="228" t="s">
        <v>194</v>
      </c>
      <c r="B8" s="228" t="s">
        <v>273</v>
      </c>
      <c r="C8" s="228"/>
      <c r="D8" s="228"/>
      <c r="E8" s="228"/>
      <c r="F8" s="228"/>
      <c r="G8" s="228"/>
      <c r="H8" s="228"/>
      <c r="I8" s="228"/>
    </row>
    <row r="9" spans="1:12" s="4" customFormat="1" ht="15"/>
    <row r="10" spans="1:12" s="4" customFormat="1" ht="15">
      <c r="A10" s="254"/>
      <c r="B10" s="254"/>
      <c r="C10" s="254"/>
      <c r="D10" s="254"/>
      <c r="E10" s="254"/>
      <c r="F10" s="254"/>
      <c r="G10" s="254"/>
      <c r="H10" s="254"/>
      <c r="I10" s="254"/>
    </row>
    <row r="11" spans="1:12" s="4" customFormat="1" ht="15.75">
      <c r="A11" s="219" t="s">
        <v>266</v>
      </c>
      <c r="B11" s="228"/>
      <c r="C11" s="228"/>
      <c r="D11" s="228"/>
      <c r="E11" s="228"/>
      <c r="F11" s="228"/>
      <c r="G11" s="228"/>
      <c r="H11" s="228"/>
      <c r="I11" s="255"/>
    </row>
    <row r="12" spans="1:12" s="4" customFormat="1" ht="15.75">
      <c r="A12" s="228"/>
      <c r="B12" s="228"/>
      <c r="C12" s="471" t="s">
        <v>208</v>
      </c>
      <c r="D12" s="471"/>
      <c r="E12" s="471"/>
      <c r="F12" s="471"/>
      <c r="G12" s="471"/>
      <c r="H12" s="471"/>
      <c r="I12" s="85"/>
    </row>
    <row r="13" spans="1:12" s="4" customFormat="1" ht="15">
      <c r="A13" s="222" t="str">
        <f>cellformula(B13)</f>
        <v>=PV(3%,5,5000,,0)</v>
      </c>
      <c r="B13" s="256">
        <f>PV(3%,5,5000,,0)</f>
        <v>-22898.535935972654</v>
      </c>
      <c r="C13" s="257">
        <f ca="1">TODAY()</f>
        <v>40534</v>
      </c>
      <c r="D13" s="257">
        <f ca="1">DATE(YEAR(C13)+1,MONTH(C13),DAY(C13))</f>
        <v>40899</v>
      </c>
      <c r="E13" s="257">
        <f ca="1">DATE(YEAR(D13)+1,MONTH(D13),DAY(D13))</f>
        <v>41265</v>
      </c>
      <c r="F13" s="257">
        <f ca="1">DATE(YEAR(E13)+1,MONTH(E13),DAY(E13))</f>
        <v>41630</v>
      </c>
      <c r="G13" s="257">
        <f ca="1">DATE(YEAR(F13)+1,MONTH(F13),DAY(F13))</f>
        <v>41995</v>
      </c>
      <c r="H13" s="257">
        <f ca="1">DATE(YEAR(G13)+1,MONTH(G13),DAY(G13))</f>
        <v>42360</v>
      </c>
      <c r="I13" s="85"/>
    </row>
    <row r="14" spans="1:12" s="4" customFormat="1" ht="15">
      <c r="A14" s="228"/>
      <c r="B14" s="258">
        <f>D14/(1+3%)+E14/(1+3%)^2+F14/(1+3%)^3+G14/(1+3%)^4+H14/(1+3%)^5</f>
        <v>-22898.535935972668</v>
      </c>
      <c r="C14" s="259"/>
      <c r="D14" s="260">
        <v>-5000</v>
      </c>
      <c r="E14" s="260">
        <v>-5000</v>
      </c>
      <c r="F14" s="260">
        <v>-5000</v>
      </c>
      <c r="G14" s="260">
        <v>-5000</v>
      </c>
      <c r="H14" s="260">
        <v>-5000</v>
      </c>
      <c r="I14" s="85"/>
    </row>
    <row r="15" spans="1:12" s="4" customFormat="1" ht="15">
      <c r="A15" s="228"/>
      <c r="B15" s="228"/>
      <c r="C15" s="228"/>
      <c r="D15" s="228"/>
      <c r="E15" s="228"/>
      <c r="F15" s="228"/>
      <c r="G15" s="228"/>
      <c r="H15" s="228"/>
      <c r="I15" s="85"/>
    </row>
    <row r="16" spans="1:12" s="4" customFormat="1" ht="15.75">
      <c r="A16" s="221" t="s">
        <v>277</v>
      </c>
      <c r="B16" s="228"/>
      <c r="C16" s="228"/>
      <c r="D16" s="228"/>
      <c r="E16" s="228"/>
      <c r="F16" s="228"/>
      <c r="G16" s="228"/>
      <c r="H16" s="228"/>
      <c r="I16" s="85"/>
    </row>
    <row r="17" spans="1:9" s="4" customFormat="1" ht="15">
      <c r="A17" s="78"/>
      <c r="B17" s="78"/>
      <c r="C17" s="78"/>
      <c r="D17" s="78"/>
      <c r="E17" s="78"/>
      <c r="F17" s="78"/>
      <c r="G17" s="78"/>
      <c r="H17" s="78"/>
      <c r="I17" s="86"/>
    </row>
    <row r="18" spans="1:9" s="4" customFormat="1" ht="15">
      <c r="A18" s="261"/>
      <c r="B18" s="261"/>
      <c r="C18" s="261"/>
      <c r="D18" s="261"/>
      <c r="E18" s="261"/>
      <c r="F18" s="261"/>
      <c r="G18" s="261"/>
      <c r="H18" s="261"/>
      <c r="I18" s="261"/>
    </row>
    <row r="19" spans="1:9" s="4" customFormat="1" ht="15.75">
      <c r="A19" s="219" t="s">
        <v>278</v>
      </c>
      <c r="B19" s="228"/>
      <c r="C19" s="228"/>
      <c r="D19" s="228"/>
      <c r="E19" s="228"/>
      <c r="F19" s="228"/>
      <c r="G19" s="228"/>
      <c r="H19" s="228"/>
      <c r="I19" s="255"/>
    </row>
    <row r="20" spans="1:9" s="4" customFormat="1" ht="15.75">
      <c r="A20" s="228"/>
      <c r="B20" s="228"/>
      <c r="C20" s="471" t="s">
        <v>208</v>
      </c>
      <c r="D20" s="471"/>
      <c r="E20" s="471"/>
      <c r="F20" s="471"/>
      <c r="G20" s="471"/>
      <c r="H20" s="471"/>
      <c r="I20" s="85"/>
    </row>
    <row r="21" spans="1:9" ht="15">
      <c r="A21" s="222" t="str">
        <f>cellformula(B21)</f>
        <v>=FV(3%,5,5000,,0)</v>
      </c>
      <c r="B21" s="256">
        <f>FV(3%,5,5000,,0)</f>
        <v>-26545.679049999977</v>
      </c>
      <c r="C21" s="257">
        <f ca="1">TODAY()</f>
        <v>40534</v>
      </c>
      <c r="D21" s="257">
        <f ca="1">DATE(YEAR(C21)+1,MONTH(C21),DAY(C21))</f>
        <v>40899</v>
      </c>
      <c r="E21" s="257">
        <f ca="1">DATE(YEAR(D21)+1,MONTH(D21),DAY(D21))</f>
        <v>41265</v>
      </c>
      <c r="F21" s="257">
        <f ca="1">DATE(YEAR(E21)+1,MONTH(E21),DAY(E21))</f>
        <v>41630</v>
      </c>
      <c r="G21" s="257">
        <f ca="1">DATE(YEAR(F21)+1,MONTH(F21),DAY(F21))</f>
        <v>41995</v>
      </c>
      <c r="H21" s="257">
        <f ca="1">DATE(YEAR(G21)+1,MONTH(G21),DAY(G21))</f>
        <v>42360</v>
      </c>
      <c r="I21" s="19"/>
    </row>
    <row r="22" spans="1:9" ht="15">
      <c r="A22" s="228"/>
      <c r="B22" s="258">
        <f>D22*(1+3%)^4+E22*(1+3%)^3+F22*(1+3%)^2+G22*(1+3%)+H22</f>
        <v>-26545.679049999999</v>
      </c>
      <c r="C22" s="259"/>
      <c r="D22" s="260">
        <v>-5000</v>
      </c>
      <c r="E22" s="260">
        <v>-5000</v>
      </c>
      <c r="F22" s="260">
        <v>-5000</v>
      </c>
      <c r="G22" s="260">
        <v>-5000</v>
      </c>
      <c r="H22" s="260">
        <v>-5000</v>
      </c>
      <c r="I22" s="19"/>
    </row>
    <row r="23" spans="1:9" ht="15">
      <c r="A23" s="228"/>
      <c r="B23" s="228"/>
      <c r="C23" s="228"/>
      <c r="D23" s="228"/>
      <c r="E23" s="228"/>
      <c r="F23" s="228"/>
      <c r="G23" s="228"/>
      <c r="H23" s="228"/>
      <c r="I23" s="19"/>
    </row>
    <row r="24" spans="1:9" ht="15.75">
      <c r="A24" s="221" t="s">
        <v>276</v>
      </c>
      <c r="B24" s="228"/>
      <c r="C24" s="228"/>
      <c r="D24" s="228"/>
      <c r="E24" s="228"/>
      <c r="F24" s="228"/>
      <c r="G24" s="228"/>
      <c r="H24" s="228"/>
      <c r="I24" s="19"/>
    </row>
    <row r="25" spans="1:9">
      <c r="A25" s="21"/>
      <c r="B25" s="21"/>
      <c r="C25" s="21"/>
      <c r="D25" s="21"/>
      <c r="E25" s="21"/>
      <c r="F25" s="21"/>
      <c r="G25" s="21"/>
      <c r="H25" s="21"/>
      <c r="I25" s="22"/>
    </row>
    <row r="26" spans="1:9">
      <c r="A26" s="223"/>
      <c r="B26" s="223"/>
      <c r="C26" s="223"/>
      <c r="D26" s="223"/>
      <c r="E26" s="223"/>
      <c r="F26" s="223"/>
      <c r="G26" s="223"/>
      <c r="H26" s="223"/>
    </row>
    <row r="27" spans="1:9" ht="15.75">
      <c r="A27" s="219" t="s">
        <v>279</v>
      </c>
      <c r="B27" s="228"/>
      <c r="C27" s="228"/>
      <c r="D27" s="228"/>
      <c r="E27" s="228"/>
      <c r="F27" s="228"/>
      <c r="G27" s="228"/>
      <c r="H27" s="228"/>
      <c r="I27" s="255"/>
    </row>
    <row r="28" spans="1:9" ht="15.75">
      <c r="A28" s="228"/>
      <c r="B28" s="228"/>
      <c r="C28" s="471" t="s">
        <v>208</v>
      </c>
      <c r="D28" s="471"/>
      <c r="E28" s="471"/>
      <c r="F28" s="471"/>
      <c r="G28" s="471"/>
      <c r="H28" s="471"/>
      <c r="I28" s="85"/>
    </row>
    <row r="29" spans="1:9" ht="15">
      <c r="A29" s="222" t="str">
        <f>cellformula(B29)</f>
        <v>=PMT(3%,5,10000,,0)</v>
      </c>
      <c r="B29" s="256">
        <f>PMT(3%,5,10000,,0)</f>
        <v>-2183.545714005762</v>
      </c>
      <c r="C29" s="257">
        <f ca="1">TODAY()</f>
        <v>40534</v>
      </c>
      <c r="D29" s="257">
        <f ca="1">DATE(YEAR(C29)+1,MONTH(C29),DAY(C29))</f>
        <v>40899</v>
      </c>
      <c r="E29" s="257">
        <f ca="1">DATE(YEAR(D29)+1,MONTH(D29),DAY(D29))</f>
        <v>41265</v>
      </c>
      <c r="F29" s="257">
        <f ca="1">DATE(YEAR(E29)+1,MONTH(E29),DAY(E29))</f>
        <v>41630</v>
      </c>
      <c r="G29" s="257">
        <f ca="1">DATE(YEAR(F29)+1,MONTH(F29),DAY(F29))</f>
        <v>41995</v>
      </c>
      <c r="H29" s="257">
        <f ca="1">DATE(YEAR(G29)+1,MONTH(G29),DAY(G29))</f>
        <v>42360</v>
      </c>
      <c r="I29" s="19"/>
    </row>
    <row r="30" spans="1:9" ht="15">
      <c r="A30" s="228"/>
      <c r="B30" s="258">
        <f>PV(3%,5,B29)</f>
        <v>10000.000000000002</v>
      </c>
      <c r="C30" s="259"/>
      <c r="D30" s="260">
        <f>B29</f>
        <v>-2183.545714005762</v>
      </c>
      <c r="E30" s="260">
        <v>-2183.545714005762</v>
      </c>
      <c r="F30" s="260">
        <v>-2183.545714005762</v>
      </c>
      <c r="G30" s="260">
        <v>-2183.545714005762</v>
      </c>
      <c r="H30" s="260">
        <v>-2183.545714005762</v>
      </c>
      <c r="I30" s="19"/>
    </row>
    <row r="31" spans="1:9" ht="15">
      <c r="A31" s="228"/>
      <c r="B31" s="228"/>
      <c r="C31" s="228"/>
      <c r="D31" s="228"/>
      <c r="E31" s="228"/>
      <c r="F31" s="228"/>
      <c r="G31" s="228"/>
      <c r="H31" s="228"/>
      <c r="I31" s="19"/>
    </row>
    <row r="32" spans="1:9" ht="15.75">
      <c r="A32" s="221" t="s">
        <v>282</v>
      </c>
      <c r="B32" s="228"/>
      <c r="C32" s="228"/>
      <c r="D32" s="228"/>
      <c r="E32" s="228"/>
      <c r="F32" s="228"/>
      <c r="G32" s="228"/>
      <c r="H32" s="228"/>
      <c r="I32" s="19"/>
    </row>
    <row r="33" spans="1:9">
      <c r="A33" s="21"/>
      <c r="B33" s="21"/>
      <c r="C33" s="21"/>
      <c r="D33" s="21"/>
      <c r="E33" s="21"/>
      <c r="F33" s="21"/>
      <c r="G33" s="21"/>
      <c r="H33" s="21"/>
      <c r="I33" s="22"/>
    </row>
    <row r="34" spans="1:9">
      <c r="A34" s="223"/>
      <c r="B34" s="223"/>
      <c r="C34" s="223"/>
      <c r="D34" s="223"/>
      <c r="E34" s="223"/>
      <c r="F34" s="223"/>
      <c r="G34" s="223"/>
      <c r="H34" s="223"/>
    </row>
    <row r="35" spans="1:9" ht="15.75">
      <c r="A35" s="219" t="s">
        <v>280</v>
      </c>
      <c r="B35" s="228"/>
      <c r="C35" s="228"/>
      <c r="D35" s="228"/>
      <c r="E35" s="228"/>
      <c r="F35" s="228"/>
      <c r="G35" s="228"/>
      <c r="H35" s="228"/>
      <c r="I35" s="255"/>
    </row>
    <row r="36" spans="1:9" ht="15.75">
      <c r="A36" s="228"/>
      <c r="B36" s="228"/>
      <c r="C36" s="472" t="s">
        <v>208</v>
      </c>
      <c r="D36" s="473"/>
      <c r="E36" s="473"/>
      <c r="F36" s="473"/>
      <c r="G36" s="473"/>
      <c r="H36" s="474"/>
      <c r="I36" s="85"/>
    </row>
    <row r="37" spans="1:9" ht="15">
      <c r="A37" s="222" t="str">
        <f>cellformula(B37)</f>
        <v>=RATE(5, B29, 10000)</v>
      </c>
      <c r="B37" s="262">
        <f>RATE(5, B29, 10000)</f>
        <v>3.0000000000000117E-2</v>
      </c>
      <c r="C37" s="257">
        <f ca="1">TODAY()</f>
        <v>40534</v>
      </c>
      <c r="D37" s="257">
        <f ca="1">DATE(YEAR(C37)+1,MONTH(C37),DAY(C37))</f>
        <v>40899</v>
      </c>
      <c r="E37" s="257">
        <f ca="1">DATE(YEAR(D37)+1,MONTH(D37),DAY(D37))</f>
        <v>41265</v>
      </c>
      <c r="F37" s="257">
        <f ca="1">DATE(YEAR(E37)+1,MONTH(E37),DAY(E37))</f>
        <v>41630</v>
      </c>
      <c r="G37" s="257">
        <f ca="1">DATE(YEAR(F37)+1,MONTH(F37),DAY(F37))</f>
        <v>41995</v>
      </c>
      <c r="H37" s="257">
        <f ca="1">DATE(YEAR(G37)+1,MONTH(G37),DAY(G37))</f>
        <v>42360</v>
      </c>
      <c r="I37" s="19"/>
    </row>
    <row r="38" spans="1:9" ht="15">
      <c r="A38" s="228"/>
      <c r="B38" s="258">
        <f>PV(B37,5,D38,,0)</f>
        <v>9999.99999999996</v>
      </c>
      <c r="C38" s="259"/>
      <c r="D38" s="260">
        <v>-2183.545714005762</v>
      </c>
      <c r="E38" s="260">
        <v>-2183.545714005762</v>
      </c>
      <c r="F38" s="260">
        <v>-2183.545714005762</v>
      </c>
      <c r="G38" s="260">
        <v>-2183.545714005762</v>
      </c>
      <c r="H38" s="260">
        <v>-2183.545714005762</v>
      </c>
      <c r="I38" s="19"/>
    </row>
    <row r="39" spans="1:9" ht="15">
      <c r="A39" s="228"/>
      <c r="B39" s="228"/>
      <c r="C39" s="228"/>
      <c r="D39" s="228"/>
      <c r="E39" s="228"/>
      <c r="F39" s="228"/>
      <c r="G39" s="228"/>
      <c r="H39" s="228"/>
      <c r="I39" s="19"/>
    </row>
    <row r="40" spans="1:9" ht="15.75">
      <c r="A40" s="221" t="s">
        <v>283</v>
      </c>
      <c r="B40" s="228"/>
      <c r="C40" s="228"/>
      <c r="D40" s="228"/>
      <c r="E40" s="228"/>
      <c r="F40" s="228"/>
      <c r="G40" s="228"/>
      <c r="H40" s="228"/>
      <c r="I40" s="19"/>
    </row>
    <row r="41" spans="1:9">
      <c r="A41" s="21"/>
      <c r="B41" s="21"/>
      <c r="C41" s="21"/>
      <c r="D41" s="21"/>
      <c r="E41" s="21"/>
      <c r="F41" s="21"/>
      <c r="G41" s="21"/>
      <c r="H41" s="21"/>
      <c r="I41" s="22"/>
    </row>
    <row r="42" spans="1:9">
      <c r="A42" s="223"/>
      <c r="B42" s="223"/>
      <c r="C42" s="223"/>
      <c r="D42" s="223"/>
      <c r="E42" s="223"/>
      <c r="F42" s="223"/>
      <c r="G42" s="223"/>
      <c r="H42" s="223"/>
    </row>
    <row r="43" spans="1:9" ht="15.75">
      <c r="A43" s="219" t="s">
        <v>281</v>
      </c>
      <c r="B43" s="228"/>
      <c r="C43" s="228"/>
      <c r="D43" s="228"/>
      <c r="E43" s="228"/>
      <c r="F43" s="228"/>
      <c r="G43" s="228"/>
      <c r="H43" s="228"/>
      <c r="I43" s="255"/>
    </row>
    <row r="44" spans="1:9" ht="15.75">
      <c r="A44" s="228"/>
      <c r="B44" s="228"/>
      <c r="C44" s="472" t="s">
        <v>208</v>
      </c>
      <c r="D44" s="473"/>
      <c r="E44" s="473"/>
      <c r="F44" s="473"/>
      <c r="G44" s="473"/>
      <c r="H44" s="474"/>
      <c r="I44" s="85"/>
    </row>
    <row r="45" spans="1:9" ht="15">
      <c r="A45" s="222" t="str">
        <f>cellformula(B45)</f>
        <v>=NPER(3%, -5000,, -B21,0)</v>
      </c>
      <c r="B45" s="263">
        <f>NPER(3%, -5000,, -B21,0)</f>
        <v>4.9999999999999911</v>
      </c>
      <c r="C45" s="257">
        <f ca="1">TODAY()</f>
        <v>40534</v>
      </c>
      <c r="D45" s="257">
        <f ca="1">DATE(YEAR(C45)+1,MONTH(C45),DAY(C45))</f>
        <v>40899</v>
      </c>
      <c r="E45" s="257">
        <f ca="1">DATE(YEAR(D45)+1,MONTH(D45),DAY(D45))</f>
        <v>41265</v>
      </c>
      <c r="F45" s="257">
        <f ca="1">DATE(YEAR(E45)+1,MONTH(E45),DAY(E45))</f>
        <v>41630</v>
      </c>
      <c r="G45" s="257">
        <f ca="1">DATE(YEAR(F45)+1,MONTH(F45),DAY(F45))</f>
        <v>41995</v>
      </c>
      <c r="H45" s="257">
        <f ca="1">DATE(YEAR(G45)+1,MONTH(G45),DAY(G45))</f>
        <v>42360</v>
      </c>
      <c r="I45" s="19"/>
    </row>
    <row r="46" spans="1:9" ht="15">
      <c r="A46" s="228"/>
      <c r="B46" s="258">
        <f>PV(3%,B45,D46,,0)</f>
        <v>22898.535935972654</v>
      </c>
      <c r="C46" s="259"/>
      <c r="D46" s="260">
        <v>-5000</v>
      </c>
      <c r="E46" s="260">
        <v>-5000</v>
      </c>
      <c r="F46" s="260">
        <v>-5000</v>
      </c>
      <c r="G46" s="260">
        <v>-5000</v>
      </c>
      <c r="H46" s="260">
        <v>-5000</v>
      </c>
      <c r="I46" s="19"/>
    </row>
    <row r="47" spans="1:9" ht="15">
      <c r="A47" s="228"/>
      <c r="B47" s="228"/>
      <c r="C47" s="228"/>
      <c r="D47" s="228"/>
      <c r="E47" s="228"/>
      <c r="F47" s="228"/>
      <c r="G47" s="228"/>
      <c r="H47" s="228"/>
      <c r="I47" s="19"/>
    </row>
    <row r="48" spans="1:9" ht="15.75">
      <c r="A48" s="221" t="s">
        <v>284</v>
      </c>
      <c r="B48" s="228"/>
      <c r="C48" s="228"/>
      <c r="D48" s="228"/>
      <c r="E48" s="228"/>
      <c r="F48" s="228"/>
      <c r="G48" s="228"/>
      <c r="H48" s="228"/>
      <c r="I48" s="19"/>
    </row>
    <row r="49" spans="1:9">
      <c r="A49" s="21"/>
      <c r="B49" s="21"/>
      <c r="C49" s="21"/>
      <c r="D49" s="21"/>
      <c r="E49" s="21"/>
      <c r="F49" s="21"/>
      <c r="G49" s="21"/>
      <c r="H49" s="21"/>
      <c r="I49" s="22"/>
    </row>
    <row r="53" spans="1:9" ht="18">
      <c r="A53" s="224" t="s">
        <v>358</v>
      </c>
      <c r="B53" s="226"/>
      <c r="C53" s="226"/>
      <c r="D53" s="226"/>
      <c r="E53" s="226"/>
      <c r="F53" s="226"/>
      <c r="G53" s="226"/>
      <c r="H53" s="226"/>
      <c r="I53" s="226"/>
    </row>
    <row r="55" spans="1:9" ht="15">
      <c r="A55" s="254"/>
      <c r="B55" s="254"/>
      <c r="C55" s="254"/>
      <c r="D55" s="254"/>
      <c r="E55" s="254"/>
      <c r="F55" s="254"/>
      <c r="G55" s="254"/>
      <c r="H55" s="254"/>
      <c r="I55" s="254"/>
    </row>
    <row r="56" spans="1:9" ht="15.75">
      <c r="A56" s="219" t="s">
        <v>285</v>
      </c>
      <c r="B56" s="228"/>
      <c r="C56" s="228"/>
      <c r="D56" s="228"/>
      <c r="E56" s="228"/>
      <c r="F56" s="228"/>
      <c r="G56" s="228"/>
      <c r="H56" s="228"/>
      <c r="I56" s="255"/>
    </row>
    <row r="57" spans="1:9" ht="15.75">
      <c r="A57" s="228"/>
      <c r="B57" s="228"/>
      <c r="C57" s="471" t="s">
        <v>208</v>
      </c>
      <c r="D57" s="471"/>
      <c r="E57" s="471"/>
      <c r="F57" s="471"/>
      <c r="G57" s="471"/>
      <c r="H57" s="471"/>
      <c r="I57" s="85"/>
    </row>
    <row r="58" spans="1:9" ht="15">
      <c r="A58" s="222" t="str">
        <f>cellformula(B58)</f>
        <v>=NPV(3%, D59:H59)</v>
      </c>
      <c r="B58" s="256">
        <f>NPV(3%, D59:H59)</f>
        <v>31787.311445096464</v>
      </c>
      <c r="C58" s="257">
        <f ca="1">TODAY()</f>
        <v>40534</v>
      </c>
      <c r="D58" s="257">
        <f ca="1">DATE(YEAR(C58)+1,MONTH(C58),DAY(C58))</f>
        <v>40899</v>
      </c>
      <c r="E58" s="257">
        <f ca="1">DATE(YEAR(D58)+1,MONTH(D58),DAY(D58))</f>
        <v>41265</v>
      </c>
      <c r="F58" s="257">
        <f ca="1">DATE(YEAR(E58)+1,MONTH(E58),DAY(E58))</f>
        <v>41630</v>
      </c>
      <c r="G58" s="257">
        <f ca="1">DATE(YEAR(F58)+1,MONTH(F58),DAY(F58))</f>
        <v>41995</v>
      </c>
      <c r="H58" s="257">
        <f ca="1">DATE(YEAR(G58)+1,MONTH(G58),DAY(G58))</f>
        <v>42360</v>
      </c>
      <c r="I58" s="85"/>
    </row>
    <row r="59" spans="1:9" ht="15">
      <c r="A59" s="228"/>
      <c r="B59" s="258">
        <f>D59/(1+3%)+E59/(1+3%)^2+F59/(1+3%)^3+G59/(1+3%)^4+H59/(1+3%)^5</f>
        <v>31787.311445096468</v>
      </c>
      <c r="C59" s="259"/>
      <c r="D59" s="260">
        <v>5000</v>
      </c>
      <c r="E59" s="260">
        <v>6000</v>
      </c>
      <c r="F59" s="260">
        <v>7000</v>
      </c>
      <c r="G59" s="260">
        <v>8000</v>
      </c>
      <c r="H59" s="260">
        <v>9000</v>
      </c>
      <c r="I59" s="85"/>
    </row>
    <row r="60" spans="1:9" ht="15">
      <c r="A60" s="228"/>
      <c r="B60" s="228"/>
      <c r="C60" s="228"/>
      <c r="D60" s="228"/>
      <c r="E60" s="228"/>
      <c r="F60" s="228"/>
      <c r="G60" s="228"/>
      <c r="H60" s="228"/>
      <c r="I60" s="85"/>
    </row>
    <row r="61" spans="1:9" ht="15.75">
      <c r="A61" s="221" t="s">
        <v>277</v>
      </c>
      <c r="B61" s="228"/>
      <c r="C61" s="228"/>
      <c r="D61" s="228"/>
      <c r="E61" s="228"/>
      <c r="F61" s="228"/>
      <c r="G61" s="228"/>
      <c r="H61" s="228"/>
      <c r="I61" s="85"/>
    </row>
    <row r="62" spans="1:9" ht="15">
      <c r="A62" s="84"/>
      <c r="B62" s="84"/>
      <c r="C62" s="84"/>
      <c r="D62" s="84"/>
      <c r="E62" s="84"/>
      <c r="F62" s="84"/>
      <c r="G62" s="84"/>
      <c r="H62" s="84"/>
      <c r="I62" s="86"/>
    </row>
    <row r="63" spans="1:9">
      <c r="A63" s="223"/>
      <c r="B63" s="223"/>
      <c r="C63" s="223"/>
      <c r="D63" s="223"/>
      <c r="E63" s="223"/>
      <c r="F63" s="223"/>
      <c r="G63" s="223"/>
      <c r="H63" s="223"/>
    </row>
    <row r="64" spans="1:9" ht="15.75">
      <c r="A64" s="219" t="s">
        <v>286</v>
      </c>
      <c r="B64" s="228"/>
      <c r="C64" s="228"/>
      <c r="D64" s="228"/>
      <c r="E64" s="228"/>
      <c r="F64" s="228"/>
      <c r="G64" s="228"/>
      <c r="H64" s="228"/>
      <c r="I64" s="255"/>
    </row>
    <row r="65" spans="1:9" ht="15.75">
      <c r="A65" s="228"/>
      <c r="B65" s="228"/>
      <c r="C65" s="471" t="s">
        <v>208</v>
      </c>
      <c r="D65" s="471"/>
      <c r="E65" s="471"/>
      <c r="F65" s="471"/>
      <c r="G65" s="471"/>
      <c r="H65" s="471"/>
      <c r="I65" s="85"/>
    </row>
    <row r="66" spans="1:9" ht="15">
      <c r="A66" s="222" t="str">
        <f>cellformula(B66)</f>
        <v>=IRR(C67:H67)</v>
      </c>
      <c r="B66" s="262">
        <f>IRR(C67:H67)</f>
        <v>0.19711108390008206</v>
      </c>
      <c r="C66" s="257">
        <f ca="1">TODAY()</f>
        <v>40534</v>
      </c>
      <c r="D66" s="257">
        <f ca="1">DATE(YEAR(C66)+1,MONTH(C66),DAY(C66))</f>
        <v>40899</v>
      </c>
      <c r="E66" s="257">
        <f ca="1">DATE(YEAR(D66)+1,MONTH(D66),DAY(D66))</f>
        <v>41265</v>
      </c>
      <c r="F66" s="257">
        <f ca="1">DATE(YEAR(E66)+1,MONTH(E66),DAY(E66))</f>
        <v>41630</v>
      </c>
      <c r="G66" s="257">
        <f ca="1">DATE(YEAR(F66)+1,MONTH(F66),DAY(F66))</f>
        <v>41995</v>
      </c>
      <c r="H66" s="257">
        <f ca="1">DATE(YEAR(G66)+1,MONTH(G66),DAY(G66))</f>
        <v>42360</v>
      </c>
      <c r="I66" s="85"/>
    </row>
    <row r="67" spans="1:9" ht="15">
      <c r="A67" s="228"/>
      <c r="B67" s="258">
        <f>NPV(B66,C67:H67)</f>
        <v>9.116895305754333E-12</v>
      </c>
      <c r="C67" s="260">
        <v>-20000</v>
      </c>
      <c r="D67" s="260">
        <v>5000</v>
      </c>
      <c r="E67" s="260">
        <v>6000</v>
      </c>
      <c r="F67" s="260">
        <v>7000</v>
      </c>
      <c r="G67" s="260">
        <v>8000</v>
      </c>
      <c r="H67" s="260">
        <v>9000</v>
      </c>
      <c r="I67" s="85"/>
    </row>
    <row r="68" spans="1:9" ht="15">
      <c r="A68" s="228"/>
      <c r="B68" s="228"/>
      <c r="C68" s="228"/>
      <c r="D68" s="228"/>
      <c r="E68" s="228"/>
      <c r="F68" s="228"/>
      <c r="G68" s="228"/>
      <c r="H68" s="228"/>
      <c r="I68" s="85"/>
    </row>
    <row r="69" spans="1:9" ht="15.75">
      <c r="A69" s="221" t="s">
        <v>287</v>
      </c>
      <c r="B69" s="228"/>
      <c r="C69" s="228"/>
      <c r="D69" s="228"/>
      <c r="E69" s="228"/>
      <c r="F69" s="228"/>
      <c r="G69" s="228"/>
      <c r="H69" s="228"/>
      <c r="I69" s="85"/>
    </row>
    <row r="70" spans="1:9" ht="15">
      <c r="A70" s="78"/>
      <c r="B70" s="78"/>
      <c r="C70" s="78"/>
      <c r="D70" s="78"/>
      <c r="E70" s="78"/>
      <c r="F70" s="78"/>
      <c r="G70" s="78"/>
      <c r="H70" s="78"/>
      <c r="I70" s="86"/>
    </row>
    <row r="73" spans="1:9" ht="18">
      <c r="A73" s="264" t="s">
        <v>486</v>
      </c>
    </row>
  </sheetData>
  <mergeCells count="7">
    <mergeCell ref="C65:H65"/>
    <mergeCell ref="C12:H12"/>
    <mergeCell ref="C20:H20"/>
    <mergeCell ref="C28:H28"/>
    <mergeCell ref="C36:H36"/>
    <mergeCell ref="C44:H44"/>
    <mergeCell ref="C57:H57"/>
  </mergeCells>
  <phoneticPr fontId="20" type="noConversion"/>
  <pageMargins left="0.75" right="0.75" top="1" bottom="1" header="0.5" footer="0.5"/>
  <pageSetup orientation="portrait" verticalDpi="0" r:id="rId1"/>
  <headerFooter alignWithMargins="0">
    <oddHeader>&amp;A</oddHeader>
    <oddFooter>Page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L68"/>
  <sheetViews>
    <sheetView topLeftCell="A33" workbookViewId="0">
      <selection activeCell="C45" sqref="C45"/>
    </sheetView>
  </sheetViews>
  <sheetFormatPr defaultColWidth="9.7109375" defaultRowHeight="12.75"/>
  <cols>
    <col min="1" max="1" width="29.42578125" customWidth="1"/>
    <col min="2" max="2" width="18.42578125" customWidth="1"/>
    <col min="3" max="3" width="16.42578125" customWidth="1"/>
    <col min="4" max="4" width="13.42578125" customWidth="1"/>
    <col min="5" max="5" width="13.5703125" bestFit="1" customWidth="1"/>
    <col min="6" max="8" width="12.85546875" bestFit="1" customWidth="1"/>
    <col min="9" max="9" width="10.7109375" customWidth="1"/>
    <col min="10" max="10" width="11.42578125" customWidth="1"/>
    <col min="11" max="11" width="12.5703125" customWidth="1"/>
  </cols>
  <sheetData>
    <row r="1" spans="1:12" ht="27.75">
      <c r="A1" s="59" t="s">
        <v>394</v>
      </c>
      <c r="B1" s="59"/>
      <c r="C1" s="216"/>
      <c r="D1" s="216"/>
      <c r="E1" s="216"/>
      <c r="F1" s="216"/>
      <c r="G1" s="216"/>
      <c r="H1" s="216"/>
      <c r="I1" s="216"/>
      <c r="J1" s="217"/>
      <c r="K1" s="217"/>
      <c r="L1" s="217"/>
    </row>
    <row r="3" spans="1:12" s="4" customFormat="1" ht="18">
      <c r="A3" s="224" t="s">
        <v>393</v>
      </c>
      <c r="B3" s="253"/>
      <c r="C3" s="253"/>
      <c r="D3" s="253"/>
      <c r="E3" s="253"/>
      <c r="F3" s="253"/>
      <c r="G3" s="253"/>
      <c r="H3" s="253"/>
      <c r="I3" s="253"/>
    </row>
    <row r="4" spans="1:12">
      <c r="A4" s="292" t="s">
        <v>395</v>
      </c>
      <c r="B4" s="26"/>
      <c r="C4" s="296" t="str">
        <f>cellformula(F4)</f>
        <v>=RAND()</v>
      </c>
      <c r="D4" s="88"/>
      <c r="E4" s="88"/>
      <c r="F4" s="116">
        <f ca="1">RAND()</f>
        <v>0.27922539114286238</v>
      </c>
      <c r="G4" s="26"/>
      <c r="H4" s="26"/>
      <c r="I4" s="26"/>
    </row>
    <row r="5" spans="1:12">
      <c r="A5" s="291" t="s">
        <v>396</v>
      </c>
      <c r="B5" s="26"/>
      <c r="C5" s="26"/>
      <c r="D5" s="26"/>
      <c r="E5" s="26"/>
      <c r="F5" s="26"/>
      <c r="G5" s="26"/>
      <c r="H5" s="26"/>
      <c r="I5" s="26"/>
    </row>
    <row r="6" spans="1:12">
      <c r="A6" s="291" t="s">
        <v>397</v>
      </c>
      <c r="B6" s="26"/>
      <c r="C6" s="26"/>
      <c r="D6" s="26"/>
      <c r="E6" s="26"/>
      <c r="F6" s="26"/>
      <c r="G6" s="26"/>
      <c r="H6" s="26"/>
      <c r="I6" s="26"/>
    </row>
    <row r="7" spans="1:12">
      <c r="A7" s="26"/>
      <c r="B7" s="26"/>
      <c r="C7" s="26"/>
      <c r="D7" s="26"/>
      <c r="E7" s="26"/>
      <c r="F7" s="26"/>
      <c r="G7" s="26"/>
      <c r="H7" s="26"/>
      <c r="I7" s="26"/>
    </row>
    <row r="8" spans="1:12" ht="15.75">
      <c r="A8" s="221" t="s">
        <v>401</v>
      </c>
      <c r="B8" s="26"/>
      <c r="C8" s="26"/>
      <c r="D8" s="26"/>
      <c r="E8" s="26"/>
      <c r="F8" s="26"/>
      <c r="G8" s="26"/>
      <c r="H8" s="26"/>
      <c r="I8" s="26"/>
    </row>
    <row r="9" spans="1:12" ht="15.75">
      <c r="A9" s="221"/>
      <c r="B9" s="26"/>
      <c r="C9" s="26"/>
      <c r="D9" s="26"/>
      <c r="E9" s="26"/>
      <c r="F9" s="26"/>
      <c r="G9" s="26"/>
      <c r="H9" s="26"/>
      <c r="I9" s="26"/>
    </row>
    <row r="10" spans="1:12" s="11" customFormat="1" ht="15.75">
      <c r="A10" s="299"/>
    </row>
    <row r="11" spans="1:12" s="11" customFormat="1" ht="15.75">
      <c r="A11" s="299"/>
    </row>
    <row r="12" spans="1:12" s="4" customFormat="1" ht="18">
      <c r="A12" s="224" t="s">
        <v>410</v>
      </c>
      <c r="B12" s="253"/>
      <c r="C12" s="253"/>
      <c r="D12" s="253"/>
      <c r="E12" s="253"/>
      <c r="F12" s="253"/>
      <c r="G12" s="253"/>
      <c r="H12" s="253"/>
      <c r="I12" s="253"/>
    </row>
    <row r="13" spans="1:12" ht="15.75">
      <c r="A13" s="221"/>
      <c r="B13" s="26"/>
      <c r="C13" s="26"/>
      <c r="D13" s="26"/>
      <c r="E13" s="26"/>
      <c r="F13" s="26"/>
      <c r="G13" s="26"/>
      <c r="H13" s="26"/>
      <c r="I13" s="26"/>
    </row>
    <row r="14" spans="1:12">
      <c r="A14" s="26"/>
      <c r="B14" s="189">
        <v>2</v>
      </c>
      <c r="C14" s="189">
        <v>1</v>
      </c>
      <c r="D14" s="189">
        <v>5</v>
      </c>
      <c r="E14" s="189">
        <v>4</v>
      </c>
      <c r="F14" s="189">
        <v>3</v>
      </c>
      <c r="G14" s="26"/>
      <c r="H14" s="26"/>
      <c r="I14" s="26"/>
    </row>
    <row r="15" spans="1:12">
      <c r="A15" s="26"/>
      <c r="B15" s="18"/>
      <c r="C15" s="18"/>
      <c r="D15" s="18"/>
      <c r="E15" s="18"/>
      <c r="F15" s="18"/>
      <c r="G15" s="26"/>
      <c r="H15" s="26"/>
      <c r="I15" s="26"/>
    </row>
    <row r="16" spans="1:12">
      <c r="A16" s="292" t="s">
        <v>402</v>
      </c>
      <c r="B16" s="26"/>
      <c r="C16" s="296" t="str">
        <f>cellformula(F16)</f>
        <v>=AVERAGE(B14,C14,D14,E14,F14)</v>
      </c>
      <c r="D16" s="88"/>
      <c r="E16" s="88"/>
      <c r="F16" s="116">
        <f>AVERAGE(B14,C14,D14,E14,F14)</f>
        <v>3</v>
      </c>
      <c r="G16" s="26"/>
      <c r="H16" s="26"/>
      <c r="I16" s="26"/>
    </row>
    <row r="17" spans="1:9">
      <c r="A17" s="292" t="s">
        <v>403</v>
      </c>
      <c r="B17" s="26"/>
      <c r="C17" s="296" t="str">
        <f>cellformula(F17)</f>
        <v>=MEDIAN(B14:F14)</v>
      </c>
      <c r="D17" s="88"/>
      <c r="E17" s="88"/>
      <c r="F17" s="116">
        <f>MEDIAN(B14:F14)</f>
        <v>3</v>
      </c>
      <c r="G17" s="26"/>
      <c r="H17" s="26"/>
      <c r="I17" s="26"/>
    </row>
    <row r="18" spans="1:9">
      <c r="A18" s="292" t="s">
        <v>404</v>
      </c>
      <c r="B18" s="26"/>
      <c r="C18" s="296" t="str">
        <f>cellformula(F18)</f>
        <v>=STDEV(B14:F14)</v>
      </c>
      <c r="D18" s="88"/>
      <c r="E18" s="88"/>
      <c r="F18" s="116">
        <f>STDEV(B14:F14)</f>
        <v>1.5811388300841898</v>
      </c>
      <c r="G18" s="26"/>
      <c r="H18" s="26"/>
      <c r="I18" s="26"/>
    </row>
    <row r="19" spans="1:9">
      <c r="A19" s="291" t="str">
        <f>cellformula(F19)</f>
        <v>=SQRT(((B14-F16)^2+(C14-F16)^2+(D14-F16)^2+(E14-F16)^2+(F14-F16)^2)/4)</v>
      </c>
      <c r="B19" s="297"/>
      <c r="C19" s="26"/>
      <c r="D19" s="26"/>
      <c r="E19" s="26"/>
      <c r="F19" s="291">
        <f>SQRT(((B14-F16)^2+(C14-F16)^2+(D14-F16)^2+(E14-F16)^2+(F14-F16)^2)/4)</f>
        <v>1.5811388300841898</v>
      </c>
      <c r="G19" s="26"/>
      <c r="H19" s="26"/>
      <c r="I19" s="26"/>
    </row>
    <row r="20" spans="1:9">
      <c r="A20" s="292" t="s">
        <v>405</v>
      </c>
      <c r="B20" s="297"/>
      <c r="C20" s="296" t="str">
        <f>cellformula(F20)</f>
        <v>=STDEVP(B14:F14)</v>
      </c>
      <c r="D20" s="88"/>
      <c r="E20" s="88"/>
      <c r="F20" s="298">
        <f>STDEVP(B14:F14)</f>
        <v>1.4142135623730951</v>
      </c>
      <c r="G20" s="26"/>
      <c r="H20" s="26"/>
      <c r="I20" s="26"/>
    </row>
    <row r="21" spans="1:9">
      <c r="A21" s="291" t="str">
        <f>cellformula(F21)</f>
        <v>=SQRT(((B14-F16)^2+(C14-F16)^2+(D14-F16)^2+(E14-F16)^2+(F14-F16)^2)/5)</v>
      </c>
      <c r="B21" s="297"/>
      <c r="C21" s="26"/>
      <c r="D21" s="26"/>
      <c r="E21" s="26"/>
      <c r="F21" s="291">
        <f>SQRT(((B14-F16)^2+(C14-F16)^2+(D14-F16)^2+(E14-F16)^2+(F14-F16)^2)/5)</f>
        <v>1.4142135623730951</v>
      </c>
      <c r="G21" s="26"/>
      <c r="H21" s="26"/>
      <c r="I21" s="26"/>
    </row>
    <row r="22" spans="1:9">
      <c r="A22" s="292" t="s">
        <v>406</v>
      </c>
      <c r="B22" s="297"/>
      <c r="C22" s="296" t="str">
        <f>cellformula(F22)</f>
        <v>=VAR(B14:F14)</v>
      </c>
      <c r="D22" s="88"/>
      <c r="E22" s="88"/>
      <c r="F22" s="298">
        <f>VAR(B14:F14)</f>
        <v>2.5</v>
      </c>
      <c r="G22" s="26"/>
      <c r="H22" s="26"/>
      <c r="I22" s="26"/>
    </row>
    <row r="23" spans="1:9">
      <c r="A23" s="291" t="str">
        <f>cellformula(F23)</f>
        <v>=((B14-F16)^2+(C14-F16)^2+(D14-F16)^2+(E14-F16)^2+(F14-F16)^2)/4</v>
      </c>
      <c r="B23" s="297"/>
      <c r="C23" s="26"/>
      <c r="D23" s="26"/>
      <c r="E23" s="26"/>
      <c r="F23" s="291">
        <f>((B14-F16)^2+(C14-F16)^2+(D14-F16)^2+(E14-F16)^2+(F14-F16)^2)/4</f>
        <v>2.5</v>
      </c>
      <c r="G23" s="26"/>
      <c r="H23" s="26"/>
      <c r="I23" s="26"/>
    </row>
    <row r="24" spans="1:9">
      <c r="A24" s="292" t="s">
        <v>407</v>
      </c>
      <c r="B24" s="297"/>
      <c r="C24" s="296" t="str">
        <f>cellformula(F24)</f>
        <v>=VARP(B14:F14)</v>
      </c>
      <c r="D24" s="88"/>
      <c r="E24" s="88"/>
      <c r="F24" s="298">
        <f>VARP(B14:F14)</f>
        <v>2</v>
      </c>
      <c r="G24" s="26"/>
      <c r="H24" s="26"/>
      <c r="I24" s="26"/>
    </row>
    <row r="25" spans="1:9">
      <c r="A25" s="291" t="str">
        <f>cellformula(F25)</f>
        <v>=((B14-F16)^2+(C14-F16)^2+(D14-F16)^2+(E14-F16)^2+(F14-F16)^2)/5</v>
      </c>
      <c r="B25" s="26"/>
      <c r="C25" s="26"/>
      <c r="D25" s="26"/>
      <c r="E25" s="26"/>
      <c r="F25" s="291">
        <f>((B14-F16)^2+(C14-F16)^2+(D14-F16)^2+(E14-F16)^2+(F14-F16)^2)/5</f>
        <v>2</v>
      </c>
      <c r="G25" s="26"/>
      <c r="H25" s="26"/>
      <c r="I25" s="26"/>
    </row>
    <row r="26" spans="1:9">
      <c r="A26" s="26"/>
      <c r="B26" s="26"/>
      <c r="C26" s="26"/>
      <c r="D26" s="26"/>
      <c r="E26" s="26"/>
      <c r="F26" s="26"/>
      <c r="G26" s="26"/>
      <c r="H26" s="26"/>
      <c r="I26" s="26"/>
    </row>
    <row r="27" spans="1:9">
      <c r="A27" s="26"/>
      <c r="B27" s="26"/>
      <c r="C27" s="26"/>
      <c r="D27" s="26"/>
      <c r="E27" s="26"/>
      <c r="F27" s="26"/>
      <c r="G27" s="26"/>
      <c r="H27" s="26"/>
      <c r="I27" s="26"/>
    </row>
    <row r="28" spans="1:9">
      <c r="A28" s="26"/>
      <c r="B28" s="189">
        <v>2</v>
      </c>
      <c r="C28" s="189">
        <v>1</v>
      </c>
      <c r="D28" s="189">
        <v>5</v>
      </c>
      <c r="E28" s="189">
        <v>4</v>
      </c>
      <c r="F28" s="189">
        <v>3</v>
      </c>
      <c r="G28" s="26"/>
      <c r="H28" s="26"/>
      <c r="I28" s="26"/>
    </row>
    <row r="29" spans="1:9">
      <c r="A29" s="26"/>
      <c r="B29" s="189">
        <v>2</v>
      </c>
      <c r="C29" s="189">
        <v>1</v>
      </c>
      <c r="D29" s="189">
        <v>5</v>
      </c>
      <c r="E29" s="189">
        <v>4</v>
      </c>
      <c r="F29" s="189">
        <v>3</v>
      </c>
      <c r="G29" s="26"/>
      <c r="H29" s="26"/>
      <c r="I29" s="26"/>
    </row>
    <row r="30" spans="1:9">
      <c r="A30" s="26"/>
      <c r="B30" s="26"/>
      <c r="C30" s="26"/>
      <c r="D30" s="26"/>
      <c r="E30" s="26"/>
      <c r="F30" s="26"/>
      <c r="G30" s="26"/>
      <c r="H30" s="26"/>
      <c r="I30" s="26"/>
    </row>
    <row r="31" spans="1:9">
      <c r="A31" s="292" t="s">
        <v>408</v>
      </c>
      <c r="B31" s="26"/>
      <c r="C31" s="296" t="str">
        <f>cellformula(F31)</f>
        <v>=COVAR($B$28:$F$28,$B$29:$F$29)</v>
      </c>
      <c r="D31" s="88"/>
      <c r="E31" s="88"/>
      <c r="F31" s="116">
        <f>COVAR($B$28:$F$28,$B$29:$F$29)</f>
        <v>2</v>
      </c>
      <c r="G31" s="26"/>
      <c r="H31" s="26"/>
      <c r="I31" s="26"/>
    </row>
    <row r="32" spans="1:9">
      <c r="A32" s="292" t="s">
        <v>409</v>
      </c>
      <c r="B32" s="26"/>
      <c r="C32" s="296" t="str">
        <f>cellformula(F32)</f>
        <v>=CORREL($B$28:$F$28,$B$29:$F$29)</v>
      </c>
      <c r="D32" s="88"/>
      <c r="E32" s="88"/>
      <c r="F32" s="116">
        <f>CORREL($B$28:$F$28,$B$29:$F$29)</f>
        <v>0.99999999999999978</v>
      </c>
      <c r="G32" s="26"/>
      <c r="H32" s="26"/>
      <c r="I32" s="26"/>
    </row>
    <row r="33" spans="1:9">
      <c r="A33" s="291" t="str">
        <f>cellformula(F33)</f>
        <v>=COVAR($B$28:$F$28,$B$29:$F$29)/(STDEVP($B$28:$F$28)*STDEVP($B$29:$F$29))</v>
      </c>
      <c r="B33" s="26"/>
      <c r="C33" s="26"/>
      <c r="D33" s="26"/>
      <c r="E33" s="26"/>
      <c r="F33" s="291">
        <f>COVAR($B$28:$F$28,$B$29:$F$29)/(STDEVP($B$28:$F$28)*STDEVP($B$29:$F$29))</f>
        <v>0.99999999999999978</v>
      </c>
      <c r="G33" s="26"/>
      <c r="H33" s="26"/>
      <c r="I33" s="26"/>
    </row>
    <row r="34" spans="1:9">
      <c r="A34" s="26"/>
      <c r="B34" s="26"/>
      <c r="C34" s="26"/>
      <c r="D34" s="26"/>
      <c r="E34" s="26"/>
      <c r="F34" s="26"/>
      <c r="G34" s="26"/>
      <c r="H34" s="26"/>
      <c r="I34" s="26"/>
    </row>
    <row r="35" spans="1:9" ht="15.75">
      <c r="A35" s="221"/>
      <c r="B35" s="26"/>
      <c r="C35" s="26"/>
      <c r="D35" s="26"/>
      <c r="E35" s="26"/>
      <c r="F35" s="26"/>
      <c r="G35" s="26"/>
      <c r="H35" s="26"/>
      <c r="I35" s="26"/>
    </row>
    <row r="38" spans="1:9" ht="18">
      <c r="A38" s="224" t="s">
        <v>53</v>
      </c>
      <c r="B38" s="253"/>
      <c r="C38" s="253"/>
      <c r="D38" s="253"/>
      <c r="E38" s="253"/>
      <c r="F38" s="253"/>
      <c r="G38" s="253"/>
      <c r="H38" s="253"/>
      <c r="I38" s="253"/>
    </row>
    <row r="39" spans="1:9">
      <c r="A39" s="26"/>
      <c r="B39" s="26"/>
      <c r="C39" s="26"/>
      <c r="D39" s="26"/>
      <c r="E39" s="26"/>
      <c r="F39" s="26"/>
      <c r="G39" s="26"/>
      <c r="H39" s="26"/>
      <c r="I39" s="26"/>
    </row>
    <row r="40" spans="1:9">
      <c r="A40" s="292" t="s">
        <v>12</v>
      </c>
      <c r="B40" s="26"/>
      <c r="C40" s="26"/>
      <c r="D40" s="26"/>
      <c r="E40" s="26"/>
      <c r="F40" s="26"/>
      <c r="G40" s="26"/>
      <c r="H40" s="26"/>
      <c r="I40" s="26"/>
    </row>
    <row r="41" spans="1:9">
      <c r="A41" s="292" t="s">
        <v>13</v>
      </c>
      <c r="B41" s="26"/>
      <c r="C41" s="26"/>
      <c r="D41" s="26"/>
      <c r="E41" s="26"/>
      <c r="F41" s="26"/>
      <c r="G41" s="26"/>
      <c r="H41" s="26"/>
      <c r="I41" s="26"/>
    </row>
    <row r="42" spans="1:9">
      <c r="A42" s="26"/>
      <c r="B42" s="26"/>
      <c r="C42" s="26"/>
      <c r="D42" s="26"/>
      <c r="E42" s="26"/>
      <c r="F42" s="26"/>
      <c r="G42" s="26"/>
      <c r="H42" s="26"/>
      <c r="I42" s="26"/>
    </row>
    <row r="43" spans="1:9">
      <c r="A43" s="44"/>
      <c r="B43" s="44" t="s">
        <v>411</v>
      </c>
      <c r="C43" s="44" t="s">
        <v>412</v>
      </c>
      <c r="D43" s="48" t="s">
        <v>54</v>
      </c>
      <c r="E43" s="26"/>
      <c r="F43" s="26"/>
      <c r="G43" s="26"/>
      <c r="H43" s="26"/>
      <c r="I43" s="26"/>
    </row>
    <row r="44" spans="1:9">
      <c r="A44" s="45">
        <v>-4</v>
      </c>
      <c r="B44" s="46">
        <f>NORMDIST(A44,0,1,0)</f>
        <v>1.3383022576488534E-4</v>
      </c>
      <c r="C44" s="47">
        <f>NORMDIST(A44,0,1,1)</f>
        <v>3.1671241836783715E-5</v>
      </c>
      <c r="D44" s="49">
        <f>NORMINV(C44,0,1)</f>
        <v>-3.9999999999673186</v>
      </c>
      <c r="E44" s="26"/>
      <c r="F44" s="26"/>
      <c r="G44" s="26"/>
      <c r="H44" s="26"/>
      <c r="I44" s="26"/>
    </row>
    <row r="45" spans="1:9">
      <c r="A45" s="45">
        <f>A44+0.5</f>
        <v>-3.5</v>
      </c>
      <c r="B45" s="46">
        <f t="shared" ref="B45:B60" si="0">NORMDIST(A45,0,1,0)</f>
        <v>8.7268269504575994E-4</v>
      </c>
      <c r="C45" s="47">
        <f t="shared" ref="C45:C60" si="1">NORMDIST(A45,0,1,1)</f>
        <v>2.3262907903420782E-4</v>
      </c>
      <c r="D45" s="49">
        <f t="shared" ref="D45:D60" si="2">NORMINV(C45,0,1)</f>
        <v>-3.5000000000014104</v>
      </c>
      <c r="E45" s="26"/>
      <c r="F45" s="26"/>
      <c r="G45" s="26"/>
      <c r="H45" s="26"/>
      <c r="I45" s="26"/>
    </row>
    <row r="46" spans="1:9">
      <c r="A46" s="45">
        <f t="shared" ref="A46:A60" si="3">A45+0.5</f>
        <v>-3</v>
      </c>
      <c r="B46" s="46">
        <f t="shared" si="0"/>
        <v>4.4318484119380067E-3</v>
      </c>
      <c r="C46" s="47">
        <f t="shared" si="1"/>
        <v>1.3498980316301035E-3</v>
      </c>
      <c r="D46" s="49">
        <f t="shared" si="2"/>
        <v>-2.999999999999952</v>
      </c>
      <c r="E46" s="26"/>
      <c r="F46" s="26"/>
      <c r="G46" s="26"/>
      <c r="H46" s="26"/>
      <c r="I46" s="26"/>
    </row>
    <row r="47" spans="1:9">
      <c r="A47" s="45">
        <f t="shared" si="3"/>
        <v>-2.5</v>
      </c>
      <c r="B47" s="46">
        <f t="shared" si="0"/>
        <v>1.7528300493568537E-2</v>
      </c>
      <c r="C47" s="47">
        <f t="shared" si="1"/>
        <v>6.2096653257759371E-3</v>
      </c>
      <c r="D47" s="49">
        <f>NORMINV(C47,0,1)</f>
        <v>-2.5000000000000187</v>
      </c>
      <c r="E47" s="26"/>
      <c r="F47" s="26"/>
      <c r="G47" s="26"/>
      <c r="H47" s="26"/>
      <c r="I47" s="26"/>
    </row>
    <row r="48" spans="1:9">
      <c r="A48" s="45">
        <f t="shared" si="3"/>
        <v>-2</v>
      </c>
      <c r="B48" s="46">
        <f t="shared" si="0"/>
        <v>5.3990966513188049E-2</v>
      </c>
      <c r="C48" s="47">
        <f t="shared" si="1"/>
        <v>2.275013194817932E-2</v>
      </c>
      <c r="D48" s="49">
        <f>NORMINV(C48,0,1)</f>
        <v>-1.9999999999999996</v>
      </c>
      <c r="E48" s="26"/>
      <c r="F48" s="26"/>
      <c r="G48" s="26"/>
      <c r="H48" s="26"/>
      <c r="I48" s="26"/>
    </row>
    <row r="49" spans="1:9">
      <c r="A49" s="45">
        <f t="shared" si="3"/>
        <v>-1.5</v>
      </c>
      <c r="B49" s="46">
        <f t="shared" si="0"/>
        <v>0.12951759566589172</v>
      </c>
      <c r="C49" s="47">
        <f t="shared" si="1"/>
        <v>6.6807201268858085E-2</v>
      </c>
      <c r="D49" s="49">
        <f t="shared" si="2"/>
        <v>-1.5000000000000004</v>
      </c>
      <c r="E49" s="26"/>
      <c r="F49" s="26"/>
      <c r="G49" s="26"/>
      <c r="H49" s="26"/>
      <c r="I49" s="26"/>
    </row>
    <row r="50" spans="1:9">
      <c r="A50" s="45">
        <f t="shared" si="3"/>
        <v>-1</v>
      </c>
      <c r="B50" s="46">
        <f t="shared" si="0"/>
        <v>0.24197072451914334</v>
      </c>
      <c r="C50" s="47">
        <f t="shared" si="1"/>
        <v>0.15865525393145707</v>
      </c>
      <c r="D50" s="49">
        <f>NORMINV(C50,0,1)</f>
        <v>-1</v>
      </c>
      <c r="E50" s="26"/>
      <c r="F50" s="26"/>
      <c r="G50" s="26"/>
      <c r="H50" s="26"/>
      <c r="I50" s="26"/>
    </row>
    <row r="51" spans="1:9">
      <c r="A51" s="45">
        <f t="shared" si="3"/>
        <v>-0.5</v>
      </c>
      <c r="B51" s="46">
        <f t="shared" si="0"/>
        <v>0.35206532676429947</v>
      </c>
      <c r="C51" s="47">
        <f t="shared" si="1"/>
        <v>0.30853753872598688</v>
      </c>
      <c r="D51" s="49">
        <f t="shared" si="2"/>
        <v>-0.50000000000000022</v>
      </c>
      <c r="E51" s="26"/>
      <c r="F51" s="26"/>
      <c r="G51" s="26"/>
      <c r="H51" s="26"/>
      <c r="I51" s="26"/>
    </row>
    <row r="52" spans="1:9">
      <c r="A52" s="45">
        <f t="shared" si="3"/>
        <v>0</v>
      </c>
      <c r="B52" s="46">
        <f t="shared" si="0"/>
        <v>0.39894228040143265</v>
      </c>
      <c r="C52" s="47">
        <f t="shared" si="1"/>
        <v>0.5</v>
      </c>
      <c r="D52" s="49">
        <f t="shared" si="2"/>
        <v>-1.392137635291833E-16</v>
      </c>
      <c r="E52" s="26"/>
      <c r="F52" s="26"/>
      <c r="G52" s="26"/>
      <c r="H52" s="26"/>
      <c r="I52" s="26"/>
    </row>
    <row r="53" spans="1:9">
      <c r="A53" s="45">
        <f t="shared" si="3"/>
        <v>0.5</v>
      </c>
      <c r="B53" s="46">
        <f t="shared" si="0"/>
        <v>0.35206532676429947</v>
      </c>
      <c r="C53" s="47">
        <f t="shared" si="1"/>
        <v>0.69146246127401312</v>
      </c>
      <c r="D53" s="49">
        <f t="shared" si="2"/>
        <v>0.5</v>
      </c>
      <c r="E53" s="26"/>
      <c r="F53" s="26"/>
      <c r="G53" s="26"/>
      <c r="H53" s="26"/>
      <c r="I53" s="26"/>
    </row>
    <row r="54" spans="1:9">
      <c r="A54" s="45">
        <f t="shared" si="3"/>
        <v>1</v>
      </c>
      <c r="B54" s="46">
        <f t="shared" si="0"/>
        <v>0.24197072451914334</v>
      </c>
      <c r="C54" s="47">
        <f t="shared" si="1"/>
        <v>0.84134474606854293</v>
      </c>
      <c r="D54" s="49">
        <f t="shared" si="2"/>
        <v>0.99999999999999978</v>
      </c>
      <c r="E54" s="26"/>
      <c r="F54" s="26"/>
      <c r="G54" s="26"/>
      <c r="H54" s="26"/>
      <c r="I54" s="26"/>
    </row>
    <row r="55" spans="1:9">
      <c r="A55" s="45">
        <f t="shared" si="3"/>
        <v>1.5</v>
      </c>
      <c r="B55" s="46">
        <f t="shared" si="0"/>
        <v>0.12951759566589172</v>
      </c>
      <c r="C55" s="47">
        <f t="shared" si="1"/>
        <v>0.93319279873114191</v>
      </c>
      <c r="D55" s="49">
        <f t="shared" si="2"/>
        <v>1.4999999999999996</v>
      </c>
      <c r="E55" s="26"/>
      <c r="F55" s="26"/>
      <c r="G55" s="26"/>
      <c r="H55" s="26"/>
      <c r="I55" s="26"/>
    </row>
    <row r="56" spans="1:9">
      <c r="A56" s="45">
        <f t="shared" si="3"/>
        <v>2</v>
      </c>
      <c r="B56" s="46">
        <f t="shared" si="0"/>
        <v>5.3990966513188049E-2</v>
      </c>
      <c r="C56" s="47">
        <f t="shared" si="1"/>
        <v>0.97724986805182068</v>
      </c>
      <c r="D56" s="49">
        <f t="shared" si="2"/>
        <v>1.999999999999996</v>
      </c>
      <c r="E56" s="26"/>
      <c r="F56" s="26"/>
      <c r="G56" s="26"/>
      <c r="H56" s="26"/>
      <c r="I56" s="26"/>
    </row>
    <row r="57" spans="1:9">
      <c r="A57" s="45">
        <f t="shared" si="3"/>
        <v>2.5</v>
      </c>
      <c r="B57" s="46">
        <f t="shared" si="0"/>
        <v>1.7528300493568537E-2</v>
      </c>
      <c r="C57" s="47">
        <f t="shared" si="1"/>
        <v>0.99379033467422406</v>
      </c>
      <c r="D57" s="49">
        <f t="shared" si="2"/>
        <v>2.5000000000000036</v>
      </c>
      <c r="E57" s="26"/>
      <c r="F57" s="26"/>
      <c r="G57" s="26"/>
      <c r="H57" s="26"/>
      <c r="I57" s="26"/>
    </row>
    <row r="58" spans="1:9">
      <c r="A58" s="45">
        <f t="shared" si="3"/>
        <v>3</v>
      </c>
      <c r="B58" s="46">
        <f t="shared" si="0"/>
        <v>4.4318484119380067E-3</v>
      </c>
      <c r="C58" s="47">
        <f t="shared" si="1"/>
        <v>0.9986501019683699</v>
      </c>
      <c r="D58" s="49">
        <f t="shared" si="2"/>
        <v>2.999999999999952</v>
      </c>
      <c r="E58" s="26"/>
      <c r="F58" s="26"/>
      <c r="G58" s="26"/>
      <c r="H58" s="26"/>
      <c r="I58" s="26"/>
    </row>
    <row r="59" spans="1:9">
      <c r="A59" s="45">
        <f t="shared" si="3"/>
        <v>3.5</v>
      </c>
      <c r="B59" s="46">
        <f t="shared" si="0"/>
        <v>8.7268269504575994E-4</v>
      </c>
      <c r="C59" s="47">
        <f t="shared" si="1"/>
        <v>0.99976737092096579</v>
      </c>
      <c r="D59" s="49">
        <f t="shared" si="2"/>
        <v>3.5000000000014104</v>
      </c>
      <c r="E59" s="26"/>
      <c r="F59" s="26"/>
      <c r="G59" s="26"/>
      <c r="H59" s="26"/>
      <c r="I59" s="26"/>
    </row>
    <row r="60" spans="1:9">
      <c r="A60" s="45">
        <f t="shared" si="3"/>
        <v>4</v>
      </c>
      <c r="B60" s="46">
        <f t="shared" si="0"/>
        <v>1.3383022576488534E-4</v>
      </c>
      <c r="C60" s="47">
        <f t="shared" si="1"/>
        <v>0.99996832875816322</v>
      </c>
      <c r="D60" s="49">
        <f t="shared" si="2"/>
        <v>3.9999999999673186</v>
      </c>
      <c r="E60" s="26"/>
      <c r="F60" s="26"/>
      <c r="G60" s="26"/>
      <c r="H60" s="26"/>
      <c r="I60" s="26"/>
    </row>
    <row r="61" spans="1:9">
      <c r="A61" s="26"/>
      <c r="B61" s="26"/>
      <c r="C61" s="26"/>
      <c r="D61" s="26"/>
      <c r="E61" s="26"/>
      <c r="F61" s="26"/>
      <c r="G61" s="26"/>
      <c r="H61" s="26"/>
      <c r="I61" s="26"/>
    </row>
    <row r="62" spans="1:9">
      <c r="A62" s="26"/>
      <c r="B62" s="26"/>
      <c r="C62" s="26"/>
      <c r="D62" s="26"/>
      <c r="E62" s="26"/>
      <c r="F62" s="26"/>
      <c r="G62" s="26"/>
      <c r="H62" s="26"/>
      <c r="I62" s="26"/>
    </row>
    <row r="63" spans="1:9">
      <c r="A63" s="26"/>
      <c r="B63" s="26"/>
      <c r="C63" s="26"/>
      <c r="D63" s="26"/>
      <c r="E63" s="26"/>
      <c r="F63" s="26"/>
      <c r="G63" s="26"/>
      <c r="H63" s="26"/>
      <c r="I63" s="26"/>
    </row>
    <row r="64" spans="1:9">
      <c r="A64" s="26"/>
      <c r="B64" s="26"/>
      <c r="C64" s="26"/>
      <c r="D64" s="26"/>
      <c r="E64" s="26"/>
      <c r="F64" s="26"/>
      <c r="G64" s="26"/>
      <c r="H64" s="26"/>
      <c r="I64" s="26"/>
    </row>
    <row r="65" spans="1:9">
      <c r="A65" s="26"/>
      <c r="B65" s="26"/>
      <c r="C65" s="26"/>
      <c r="D65" s="26"/>
      <c r="E65" s="26"/>
      <c r="F65" s="26"/>
      <c r="G65" s="26"/>
      <c r="H65" s="26"/>
      <c r="I65" s="26"/>
    </row>
    <row r="66" spans="1:9">
      <c r="A66" s="26"/>
      <c r="B66" s="26"/>
      <c r="C66" s="26"/>
      <c r="D66" s="26"/>
      <c r="E66" s="26"/>
      <c r="F66" s="26"/>
      <c r="G66" s="26"/>
      <c r="H66" s="26"/>
      <c r="I66" s="26"/>
    </row>
    <row r="67" spans="1:9">
      <c r="A67" s="26"/>
      <c r="B67" s="26"/>
      <c r="C67" s="26"/>
      <c r="D67" s="26"/>
      <c r="E67" s="26"/>
      <c r="F67" s="26"/>
      <c r="G67" s="26"/>
      <c r="H67" s="26"/>
      <c r="I67" s="26"/>
    </row>
    <row r="68" spans="1:9" ht="15.75">
      <c r="A68" s="221" t="s">
        <v>469</v>
      </c>
      <c r="B68" s="26"/>
      <c r="C68" s="26"/>
      <c r="D68" s="26"/>
      <c r="E68" s="26"/>
      <c r="F68" s="26"/>
      <c r="G68" s="26"/>
      <c r="H68" s="26"/>
      <c r="I68" s="26"/>
    </row>
  </sheetData>
  <phoneticPr fontId="19" type="noConversion"/>
  <pageMargins left="0.75" right="0.75" top="1" bottom="1" header="0.5" footer="0.5"/>
  <pageSetup orientation="portrait" verticalDpi="0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3"/>
  <dimension ref="A1:L1030"/>
  <sheetViews>
    <sheetView workbookViewId="0">
      <selection activeCell="I7" sqref="I7"/>
    </sheetView>
  </sheetViews>
  <sheetFormatPr defaultRowHeight="12.75"/>
  <cols>
    <col min="1" max="1" width="12" bestFit="1" customWidth="1"/>
    <col min="6" max="6" width="12" bestFit="1" customWidth="1"/>
    <col min="11" max="11" width="12" bestFit="1" customWidth="1"/>
  </cols>
  <sheetData>
    <row r="1" spans="1:12" ht="18">
      <c r="A1" s="264" t="s">
        <v>528</v>
      </c>
    </row>
    <row r="4" spans="1:12" s="117" customFormat="1">
      <c r="A4" s="293" t="s">
        <v>399</v>
      </c>
      <c r="B4" s="293" t="s">
        <v>400</v>
      </c>
      <c r="F4" s="293" t="s">
        <v>399</v>
      </c>
      <c r="G4" s="293" t="s">
        <v>400</v>
      </c>
      <c r="K4" s="293" t="s">
        <v>399</v>
      </c>
      <c r="L4" s="293" t="s">
        <v>400</v>
      </c>
    </row>
    <row r="5" spans="1:12">
      <c r="A5" s="189">
        <v>0.1</v>
      </c>
      <c r="B5" s="189">
        <f t="array" aca="1" ref="B5:B14" ca="1">FREQUENCY(A31:A40,A5:A14)</f>
        <v>1</v>
      </c>
      <c r="F5" s="189">
        <v>0.1</v>
      </c>
      <c r="G5" s="189">
        <f t="array" aca="1" ref="G5:G14" ca="1">FREQUENCY(F31:F130,F5:F14)</f>
        <v>9</v>
      </c>
      <c r="K5" s="189">
        <v>0.1</v>
      </c>
      <c r="L5" s="189">
        <f t="array" aca="1" ref="L5:L14" ca="1">FREQUENCY(K31:K1030,K5:K14)</f>
        <v>85</v>
      </c>
    </row>
    <row r="6" spans="1:12">
      <c r="A6" s="189">
        <v>0.2</v>
      </c>
      <c r="B6" s="189">
        <f ca="1"/>
        <v>1</v>
      </c>
      <c r="F6" s="189">
        <v>0.2</v>
      </c>
      <c r="G6" s="189">
        <f ca="1"/>
        <v>13</v>
      </c>
      <c r="K6" s="189">
        <v>0.2</v>
      </c>
      <c r="L6" s="189">
        <f ca="1"/>
        <v>96</v>
      </c>
    </row>
    <row r="7" spans="1:12">
      <c r="A7" s="189">
        <v>0.3</v>
      </c>
      <c r="B7" s="189">
        <f ca="1"/>
        <v>0</v>
      </c>
      <c r="F7" s="189">
        <v>0.3</v>
      </c>
      <c r="G7" s="189">
        <f ca="1"/>
        <v>10</v>
      </c>
      <c r="K7" s="189">
        <v>0.3</v>
      </c>
      <c r="L7" s="189">
        <f ca="1"/>
        <v>104</v>
      </c>
    </row>
    <row r="8" spans="1:12">
      <c r="A8" s="189">
        <v>0.4</v>
      </c>
      <c r="B8" s="189">
        <f ca="1"/>
        <v>1</v>
      </c>
      <c r="F8" s="189">
        <v>0.4</v>
      </c>
      <c r="G8" s="189">
        <f ca="1"/>
        <v>6</v>
      </c>
      <c r="K8" s="189">
        <v>0.4</v>
      </c>
      <c r="L8" s="189">
        <f ca="1"/>
        <v>105</v>
      </c>
    </row>
    <row r="9" spans="1:12">
      <c r="A9" s="189">
        <v>0.5</v>
      </c>
      <c r="B9" s="189">
        <f ca="1"/>
        <v>0</v>
      </c>
      <c r="F9" s="189">
        <v>0.5</v>
      </c>
      <c r="G9" s="189">
        <f ca="1"/>
        <v>11</v>
      </c>
      <c r="K9" s="189">
        <v>0.5</v>
      </c>
      <c r="L9" s="189">
        <f ca="1"/>
        <v>94</v>
      </c>
    </row>
    <row r="10" spans="1:12">
      <c r="A10" s="189">
        <v>0.6</v>
      </c>
      <c r="B10" s="189">
        <f ca="1"/>
        <v>0</v>
      </c>
      <c r="F10" s="189">
        <v>0.6</v>
      </c>
      <c r="G10" s="189">
        <f ca="1"/>
        <v>11</v>
      </c>
      <c r="K10" s="189">
        <v>0.6</v>
      </c>
      <c r="L10" s="189">
        <f ca="1"/>
        <v>103</v>
      </c>
    </row>
    <row r="11" spans="1:12">
      <c r="A11" s="189">
        <v>0.7</v>
      </c>
      <c r="B11" s="189">
        <f ca="1"/>
        <v>1</v>
      </c>
      <c r="F11" s="189">
        <v>0.7</v>
      </c>
      <c r="G11" s="189">
        <f ca="1"/>
        <v>10</v>
      </c>
      <c r="K11" s="189">
        <v>0.7</v>
      </c>
      <c r="L11" s="189">
        <f ca="1"/>
        <v>97</v>
      </c>
    </row>
    <row r="12" spans="1:12">
      <c r="A12" s="189">
        <v>0.8</v>
      </c>
      <c r="B12" s="189">
        <f ca="1"/>
        <v>3</v>
      </c>
      <c r="F12" s="189">
        <v>0.8</v>
      </c>
      <c r="G12" s="189">
        <f ca="1"/>
        <v>12</v>
      </c>
      <c r="K12" s="189">
        <v>0.8</v>
      </c>
      <c r="L12" s="189">
        <f ca="1"/>
        <v>97</v>
      </c>
    </row>
    <row r="13" spans="1:12">
      <c r="A13" s="189">
        <v>0.9</v>
      </c>
      <c r="B13" s="189">
        <f ca="1"/>
        <v>2</v>
      </c>
      <c r="F13" s="189">
        <v>0.9</v>
      </c>
      <c r="G13" s="189">
        <f ca="1"/>
        <v>7</v>
      </c>
      <c r="K13" s="189">
        <v>0.9</v>
      </c>
      <c r="L13" s="189">
        <f ca="1"/>
        <v>101</v>
      </c>
    </row>
    <row r="14" spans="1:12">
      <c r="A14" s="189">
        <v>1</v>
      </c>
      <c r="B14" s="189">
        <f ca="1"/>
        <v>1</v>
      </c>
      <c r="F14" s="189">
        <v>1</v>
      </c>
      <c r="G14" s="189">
        <f ca="1"/>
        <v>11</v>
      </c>
      <c r="K14" s="189">
        <v>1</v>
      </c>
      <c r="L14" s="189">
        <f ca="1"/>
        <v>118</v>
      </c>
    </row>
    <row r="15" spans="1:12">
      <c r="A15" s="294" t="s">
        <v>398</v>
      </c>
      <c r="B15" s="295">
        <f ca="1">SUM(B5:B14)</f>
        <v>10</v>
      </c>
      <c r="F15" s="294" t="s">
        <v>398</v>
      </c>
      <c r="G15" s="295">
        <f ca="1">SUM(G5:G14)</f>
        <v>100</v>
      </c>
      <c r="K15" s="294" t="s">
        <v>398</v>
      </c>
      <c r="L15" s="295">
        <f ca="1">SUM(L5:L14)</f>
        <v>1000</v>
      </c>
    </row>
    <row r="31" spans="1:11">
      <c r="A31">
        <f ca="1">RAND()</f>
        <v>0.71403477992978281</v>
      </c>
      <c r="F31">
        <f ca="1">RAND()</f>
        <v>0.97104009025215321</v>
      </c>
      <c r="K31">
        <f ca="1">RAND()</f>
        <v>0.7825271826571889</v>
      </c>
    </row>
    <row r="32" spans="1:11">
      <c r="A32">
        <f t="shared" ref="A32:A40" ca="1" si="0">RAND()</f>
        <v>0.7855776081828012</v>
      </c>
      <c r="F32">
        <f t="shared" ref="F32:F95" ca="1" si="1">RAND()</f>
        <v>0.97459163552718397</v>
      </c>
      <c r="K32">
        <f t="shared" ref="K32:K95" ca="1" si="2">RAND()</f>
        <v>0.45658041119960413</v>
      </c>
    </row>
    <row r="33" spans="1:11">
      <c r="A33">
        <f t="shared" ca="1" si="0"/>
        <v>2.3144969251554848E-2</v>
      </c>
      <c r="F33">
        <f t="shared" ca="1" si="1"/>
        <v>8.6673414656395664E-2</v>
      </c>
      <c r="K33">
        <f t="shared" ca="1" si="2"/>
        <v>0.31553182839445437</v>
      </c>
    </row>
    <row r="34" spans="1:11">
      <c r="A34">
        <f t="shared" ca="1" si="0"/>
        <v>0.82952446883478359</v>
      </c>
      <c r="F34">
        <f t="shared" ca="1" si="1"/>
        <v>1.4506084395629948E-2</v>
      </c>
      <c r="K34">
        <f t="shared" ca="1" si="2"/>
        <v>0.65962923667216522</v>
      </c>
    </row>
    <row r="35" spans="1:11">
      <c r="A35">
        <f t="shared" ca="1" si="0"/>
        <v>0.93604983771602268</v>
      </c>
      <c r="F35">
        <f t="shared" ca="1" si="1"/>
        <v>0.67915679335016144</v>
      </c>
      <c r="K35">
        <f t="shared" ca="1" si="2"/>
        <v>0.71605395410635797</v>
      </c>
    </row>
    <row r="36" spans="1:11">
      <c r="A36">
        <f t="shared" ca="1" si="0"/>
        <v>0.36667116067122496</v>
      </c>
      <c r="F36">
        <f t="shared" ca="1" si="1"/>
        <v>0.61497118432590714</v>
      </c>
      <c r="K36">
        <f t="shared" ca="1" si="2"/>
        <v>1.0277246882054669E-2</v>
      </c>
    </row>
    <row r="37" spans="1:11">
      <c r="A37">
        <f t="shared" ca="1" si="0"/>
        <v>0.13543388654667177</v>
      </c>
      <c r="F37">
        <f t="shared" ca="1" si="1"/>
        <v>0.48533019163296487</v>
      </c>
      <c r="K37">
        <f t="shared" ca="1" si="2"/>
        <v>0.95406737392748919</v>
      </c>
    </row>
    <row r="38" spans="1:11">
      <c r="A38">
        <f t="shared" ca="1" si="0"/>
        <v>0.69375786946219087</v>
      </c>
      <c r="F38">
        <f t="shared" ca="1" si="1"/>
        <v>0.97549471353572326</v>
      </c>
      <c r="K38">
        <f t="shared" ca="1" si="2"/>
        <v>0.81146961888347335</v>
      </c>
    </row>
    <row r="39" spans="1:11">
      <c r="A39">
        <f t="shared" ca="1" si="0"/>
        <v>0.73893347639100893</v>
      </c>
      <c r="F39">
        <f t="shared" ca="1" si="1"/>
        <v>0.38104378334018052</v>
      </c>
      <c r="K39">
        <f t="shared" ca="1" si="2"/>
        <v>0.18807482933774722</v>
      </c>
    </row>
    <row r="40" spans="1:11">
      <c r="A40">
        <f t="shared" ca="1" si="0"/>
        <v>0.81903072890833384</v>
      </c>
      <c r="F40">
        <f t="shared" ca="1" si="1"/>
        <v>0.64539382447684845</v>
      </c>
      <c r="K40">
        <f t="shared" ca="1" si="2"/>
        <v>0.48505913696055725</v>
      </c>
    </row>
    <row r="41" spans="1:11">
      <c r="F41">
        <f ca="1">RAND()</f>
        <v>0.15216265732771106</v>
      </c>
      <c r="K41">
        <f ca="1">RAND()</f>
        <v>0.60017358104965091</v>
      </c>
    </row>
    <row r="42" spans="1:11">
      <c r="F42">
        <f t="shared" ca="1" si="1"/>
        <v>0.77423460858276938</v>
      </c>
      <c r="K42">
        <f t="shared" ca="1" si="2"/>
        <v>0.65765529572756631</v>
      </c>
    </row>
    <row r="43" spans="1:11">
      <c r="F43">
        <f t="shared" ca="1" si="1"/>
        <v>0.75117166983571404</v>
      </c>
      <c r="K43">
        <f t="shared" ca="1" si="2"/>
        <v>0.17094125356810919</v>
      </c>
    </row>
    <row r="44" spans="1:11">
      <c r="F44">
        <f t="shared" ca="1" si="1"/>
        <v>5.3711343022194491E-2</v>
      </c>
      <c r="K44">
        <f t="shared" ca="1" si="2"/>
        <v>0.45433545668733766</v>
      </c>
    </row>
    <row r="45" spans="1:11">
      <c r="F45">
        <f t="shared" ca="1" si="1"/>
        <v>0.92539526388896576</v>
      </c>
      <c r="K45">
        <f t="shared" ca="1" si="2"/>
        <v>0.34211194810535428</v>
      </c>
    </row>
    <row r="46" spans="1:11">
      <c r="F46">
        <f t="shared" ca="1" si="1"/>
        <v>0.62493410107299052</v>
      </c>
      <c r="K46">
        <f t="shared" ca="1" si="2"/>
        <v>0.57228256200925465</v>
      </c>
    </row>
    <row r="47" spans="1:11">
      <c r="F47">
        <f t="shared" ca="1" si="1"/>
        <v>0.24870514243281328</v>
      </c>
      <c r="K47">
        <f t="shared" ca="1" si="2"/>
        <v>0.52374373118367235</v>
      </c>
    </row>
    <row r="48" spans="1:11">
      <c r="F48">
        <f t="shared" ca="1" si="1"/>
        <v>0.16893968571322393</v>
      </c>
      <c r="K48">
        <f t="shared" ca="1" si="2"/>
        <v>8.3470015125755026E-2</v>
      </c>
    </row>
    <row r="49" spans="6:11">
      <c r="F49">
        <f t="shared" ca="1" si="1"/>
        <v>0.41224869964443922</v>
      </c>
      <c r="K49">
        <f t="shared" ca="1" si="2"/>
        <v>0.89587471709619404</v>
      </c>
    </row>
    <row r="50" spans="6:11">
      <c r="F50">
        <f t="shared" ca="1" si="1"/>
        <v>0.98295410909578096</v>
      </c>
      <c r="K50">
        <f t="shared" ca="1" si="2"/>
        <v>0.93859353372945442</v>
      </c>
    </row>
    <row r="51" spans="6:11">
      <c r="F51">
        <f ca="1">RAND()</f>
        <v>0.98719882113284685</v>
      </c>
      <c r="K51">
        <f ca="1">RAND()</f>
        <v>0.40260846709111764</v>
      </c>
    </row>
    <row r="52" spans="6:11">
      <c r="F52">
        <f t="shared" ca="1" si="1"/>
        <v>0.46589065895565573</v>
      </c>
      <c r="K52">
        <f t="shared" ca="1" si="2"/>
        <v>8.3045051109113865E-2</v>
      </c>
    </row>
    <row r="53" spans="6:11">
      <c r="F53">
        <f t="shared" ca="1" si="1"/>
        <v>0.4745679244025589</v>
      </c>
      <c r="K53">
        <f t="shared" ca="1" si="2"/>
        <v>0.29059142102562241</v>
      </c>
    </row>
    <row r="54" spans="6:11">
      <c r="F54">
        <f t="shared" ca="1" si="1"/>
        <v>0.28144929688037101</v>
      </c>
      <c r="K54">
        <f t="shared" ca="1" si="2"/>
        <v>0.18143500740094343</v>
      </c>
    </row>
    <row r="55" spans="6:11">
      <c r="F55">
        <f t="shared" ca="1" si="1"/>
        <v>0.59860128448777061</v>
      </c>
      <c r="K55">
        <f t="shared" ca="1" si="2"/>
        <v>0.85647715116281398</v>
      </c>
    </row>
    <row r="56" spans="6:11">
      <c r="F56">
        <f t="shared" ca="1" si="1"/>
        <v>0.9712465685576348</v>
      </c>
      <c r="K56">
        <f t="shared" ca="1" si="2"/>
        <v>0.56845117088526997</v>
      </c>
    </row>
    <row r="57" spans="6:11">
      <c r="F57">
        <f t="shared" ca="1" si="1"/>
        <v>0.67029780787308502</v>
      </c>
      <c r="K57">
        <f t="shared" ca="1" si="2"/>
        <v>0.46126937679491409</v>
      </c>
    </row>
    <row r="58" spans="6:11">
      <c r="F58">
        <f t="shared" ca="1" si="1"/>
        <v>0.4648704947674096</v>
      </c>
      <c r="K58">
        <f t="shared" ca="1" si="2"/>
        <v>2.7613843985133002E-2</v>
      </c>
    </row>
    <row r="59" spans="6:11">
      <c r="F59">
        <f t="shared" ca="1" si="1"/>
        <v>0.34949024511768401</v>
      </c>
      <c r="K59">
        <f t="shared" ca="1" si="2"/>
        <v>0.30321900047866213</v>
      </c>
    </row>
    <row r="60" spans="6:11">
      <c r="F60">
        <f t="shared" ca="1" si="1"/>
        <v>0.18695948000817708</v>
      </c>
      <c r="K60">
        <f t="shared" ca="1" si="2"/>
        <v>0.19977656292404111</v>
      </c>
    </row>
    <row r="61" spans="6:11">
      <c r="F61">
        <f ca="1">RAND()</f>
        <v>0.51008060428460578</v>
      </c>
      <c r="K61">
        <f ca="1">RAND()</f>
        <v>0.48284831889142321</v>
      </c>
    </row>
    <row r="62" spans="6:11">
      <c r="F62">
        <f t="shared" ca="1" si="1"/>
        <v>0.26742788561318975</v>
      </c>
      <c r="K62">
        <f t="shared" ca="1" si="2"/>
        <v>0.91648414140400813</v>
      </c>
    </row>
    <row r="63" spans="6:11">
      <c r="F63">
        <f t="shared" ca="1" si="1"/>
        <v>0.31766138617499395</v>
      </c>
      <c r="K63">
        <f t="shared" ca="1" si="2"/>
        <v>7.4421141069722196E-2</v>
      </c>
    </row>
    <row r="64" spans="6:11">
      <c r="F64">
        <f t="shared" ca="1" si="1"/>
        <v>0.57078471840036116</v>
      </c>
      <c r="K64">
        <f t="shared" ca="1" si="2"/>
        <v>0.59113467642978623</v>
      </c>
    </row>
    <row r="65" spans="6:11">
      <c r="F65">
        <f t="shared" ca="1" si="1"/>
        <v>0.52175878920877761</v>
      </c>
      <c r="K65">
        <f t="shared" ca="1" si="2"/>
        <v>0.27542714023800507</v>
      </c>
    </row>
    <row r="66" spans="6:11">
      <c r="F66">
        <f t="shared" ca="1" si="1"/>
        <v>0.37740776384786479</v>
      </c>
      <c r="K66">
        <f t="shared" ca="1" si="2"/>
        <v>0.37261276700074641</v>
      </c>
    </row>
    <row r="67" spans="6:11">
      <c r="F67">
        <f t="shared" ca="1" si="1"/>
        <v>0.78791436424849781</v>
      </c>
      <c r="K67">
        <f t="shared" ca="1" si="2"/>
        <v>0.32423602593861123</v>
      </c>
    </row>
    <row r="68" spans="6:11">
      <c r="F68">
        <f t="shared" ca="1" si="1"/>
        <v>0.27112794348214586</v>
      </c>
      <c r="K68">
        <f t="shared" ca="1" si="2"/>
        <v>0.87957033988569577</v>
      </c>
    </row>
    <row r="69" spans="6:11">
      <c r="F69">
        <f t="shared" ca="1" si="1"/>
        <v>4.4066282878203467E-2</v>
      </c>
      <c r="K69">
        <f t="shared" ca="1" si="2"/>
        <v>0.72904718282155567</v>
      </c>
    </row>
    <row r="70" spans="6:11">
      <c r="F70">
        <f t="shared" ca="1" si="1"/>
        <v>0.86625262256618729</v>
      </c>
      <c r="K70">
        <f t="shared" ca="1" si="2"/>
        <v>0.60733218809004264</v>
      </c>
    </row>
    <row r="71" spans="6:11">
      <c r="F71">
        <f ca="1">RAND()</f>
        <v>0.23807638872806813</v>
      </c>
      <c r="K71">
        <f ca="1">RAND()</f>
        <v>0.74636783150051844</v>
      </c>
    </row>
    <row r="72" spans="6:11">
      <c r="F72">
        <f t="shared" ca="1" si="1"/>
        <v>0.21596478252265849</v>
      </c>
      <c r="K72">
        <f t="shared" ca="1" si="2"/>
        <v>0.74316020703308805</v>
      </c>
    </row>
    <row r="73" spans="6:11">
      <c r="F73">
        <f t="shared" ca="1" si="1"/>
        <v>0.10639840351132523</v>
      </c>
      <c r="K73">
        <f t="shared" ca="1" si="2"/>
        <v>0.94809336388825671</v>
      </c>
    </row>
    <row r="74" spans="6:11">
      <c r="F74">
        <f t="shared" ca="1" si="1"/>
        <v>0.22127439215043765</v>
      </c>
      <c r="K74">
        <f t="shared" ca="1" si="2"/>
        <v>0.5796881432812846</v>
      </c>
    </row>
    <row r="75" spans="6:11">
      <c r="F75">
        <f t="shared" ca="1" si="1"/>
        <v>0.86438240028562707</v>
      </c>
      <c r="K75">
        <f t="shared" ca="1" si="2"/>
        <v>0.75653369698073814</v>
      </c>
    </row>
    <row r="76" spans="6:11">
      <c r="F76">
        <f t="shared" ca="1" si="1"/>
        <v>0.46757852147915946</v>
      </c>
      <c r="K76">
        <f t="shared" ca="1" si="2"/>
        <v>0.55688202504403805</v>
      </c>
    </row>
    <row r="77" spans="6:11">
      <c r="F77">
        <f t="shared" ca="1" si="1"/>
        <v>0.92134898397066189</v>
      </c>
      <c r="K77">
        <f t="shared" ca="1" si="2"/>
        <v>0.83377998090089323</v>
      </c>
    </row>
    <row r="78" spans="6:11">
      <c r="F78">
        <f t="shared" ca="1" si="1"/>
        <v>0.75922500623888878</v>
      </c>
      <c r="K78">
        <f t="shared" ca="1" si="2"/>
        <v>0.12229010905358884</v>
      </c>
    </row>
    <row r="79" spans="6:11">
      <c r="F79">
        <f t="shared" ca="1" si="1"/>
        <v>0.75659643715239677</v>
      </c>
      <c r="K79">
        <f t="shared" ca="1" si="2"/>
        <v>0.73031541645496922</v>
      </c>
    </row>
    <row r="80" spans="6:11">
      <c r="F80">
        <f t="shared" ca="1" si="1"/>
        <v>8.5222081536678651E-2</v>
      </c>
      <c r="K80">
        <f t="shared" ca="1" si="2"/>
        <v>0.79035931624539391</v>
      </c>
    </row>
    <row r="81" spans="6:11">
      <c r="F81">
        <f ca="1">RAND()</f>
        <v>0.68472176887717517</v>
      </c>
      <c r="K81">
        <f ca="1">RAND()</f>
        <v>0.42174848185110392</v>
      </c>
    </row>
    <row r="82" spans="6:11">
      <c r="F82">
        <f t="shared" ca="1" si="1"/>
        <v>0.41231279627322914</v>
      </c>
      <c r="K82">
        <f t="shared" ca="1" si="2"/>
        <v>0.5352564454062998</v>
      </c>
    </row>
    <row r="83" spans="6:11">
      <c r="F83">
        <f t="shared" ca="1" si="1"/>
        <v>8.8604565073602259E-3</v>
      </c>
      <c r="K83">
        <f t="shared" ca="1" si="2"/>
        <v>0.91967555686061875</v>
      </c>
    </row>
    <row r="84" spans="6:11">
      <c r="F84">
        <f t="shared" ca="1" si="1"/>
        <v>9.2876053627222177E-3</v>
      </c>
      <c r="K84">
        <f t="shared" ca="1" si="2"/>
        <v>1.1805938188452103E-2</v>
      </c>
    </row>
    <row r="85" spans="6:11">
      <c r="F85">
        <f t="shared" ca="1" si="1"/>
        <v>0.53553660426427574</v>
      </c>
      <c r="K85">
        <f t="shared" ca="1" si="2"/>
        <v>0.43262479848521718</v>
      </c>
    </row>
    <row r="86" spans="6:11">
      <c r="F86">
        <f t="shared" ca="1" si="1"/>
        <v>0.18262121542348897</v>
      </c>
      <c r="K86">
        <f t="shared" ca="1" si="2"/>
        <v>0.31193032507036556</v>
      </c>
    </row>
    <row r="87" spans="6:11">
      <c r="F87">
        <f t="shared" ca="1" si="1"/>
        <v>0.43202092083695498</v>
      </c>
      <c r="K87">
        <f t="shared" ca="1" si="2"/>
        <v>0.93555983338570758</v>
      </c>
    </row>
    <row r="88" spans="6:11">
      <c r="F88">
        <f t="shared" ca="1" si="1"/>
        <v>0.76974317812254078</v>
      </c>
      <c r="K88">
        <f t="shared" ca="1" si="2"/>
        <v>0.16392031175241684</v>
      </c>
    </row>
    <row r="89" spans="6:11">
      <c r="F89">
        <f t="shared" ca="1" si="1"/>
        <v>0.43651408988421037</v>
      </c>
      <c r="K89">
        <f t="shared" ca="1" si="2"/>
        <v>0.17107349090037438</v>
      </c>
    </row>
    <row r="90" spans="6:11">
      <c r="F90">
        <f t="shared" ca="1" si="1"/>
        <v>0.37050673730608974</v>
      </c>
      <c r="K90">
        <f t="shared" ca="1" si="2"/>
        <v>0.94464148061069952</v>
      </c>
    </row>
    <row r="91" spans="6:11">
      <c r="F91">
        <f ca="1">RAND()</f>
        <v>0.70933676713786475</v>
      </c>
      <c r="K91">
        <f ca="1">RAND()</f>
        <v>0.45030654941693649</v>
      </c>
    </row>
    <row r="92" spans="6:11">
      <c r="F92">
        <f t="shared" ca="1" si="1"/>
        <v>0.71368556611387146</v>
      </c>
      <c r="K92">
        <f t="shared" ca="1" si="2"/>
        <v>0.3950792286824143</v>
      </c>
    </row>
    <row r="93" spans="6:11">
      <c r="F93">
        <f t="shared" ca="1" si="1"/>
        <v>0.60534126114734077</v>
      </c>
      <c r="K93">
        <f t="shared" ca="1" si="2"/>
        <v>0.38655896541894674</v>
      </c>
    </row>
    <row r="94" spans="6:11">
      <c r="F94">
        <f t="shared" ca="1" si="1"/>
        <v>0.87260714616839197</v>
      </c>
      <c r="K94">
        <f t="shared" ca="1" si="2"/>
        <v>0.98571937203615345</v>
      </c>
    </row>
    <row r="95" spans="6:11">
      <c r="F95">
        <f t="shared" ca="1" si="1"/>
        <v>0.72675696092626807</v>
      </c>
      <c r="K95">
        <f t="shared" ca="1" si="2"/>
        <v>0.74777588663676142</v>
      </c>
    </row>
    <row r="96" spans="6:11">
      <c r="F96">
        <f t="shared" ref="F96:F101" ca="1" si="3">RAND()</f>
        <v>0.19976735357938047</v>
      </c>
      <c r="K96">
        <f t="shared" ref="K96:K101" ca="1" si="4">RAND()</f>
        <v>0.78138147083311438</v>
      </c>
    </row>
    <row r="97" spans="6:11">
      <c r="F97">
        <f t="shared" ca="1" si="3"/>
        <v>0.42726984189982997</v>
      </c>
      <c r="K97">
        <f t="shared" ca="1" si="4"/>
        <v>0.75422414941315363</v>
      </c>
    </row>
    <row r="98" spans="6:11">
      <c r="F98">
        <f t="shared" ca="1" si="3"/>
        <v>0.81465506764505546</v>
      </c>
      <c r="K98">
        <f t="shared" ca="1" si="4"/>
        <v>0.10631032719856925</v>
      </c>
    </row>
    <row r="99" spans="6:11">
      <c r="F99">
        <f t="shared" ca="1" si="3"/>
        <v>0.67196176352792891</v>
      </c>
      <c r="K99">
        <f t="shared" ca="1" si="4"/>
        <v>0.15442480295072247</v>
      </c>
    </row>
    <row r="100" spans="6:11">
      <c r="F100">
        <f t="shared" ca="1" si="3"/>
        <v>0.92886342317566806</v>
      </c>
      <c r="K100">
        <f t="shared" ca="1" si="4"/>
        <v>0.37615909717792584</v>
      </c>
    </row>
    <row r="101" spans="6:11">
      <c r="F101">
        <f t="shared" ca="1" si="3"/>
        <v>0.53513475473995231</v>
      </c>
      <c r="K101">
        <f t="shared" ca="1" si="4"/>
        <v>3.6341790582821609E-2</v>
      </c>
    </row>
    <row r="102" spans="6:11">
      <c r="F102">
        <f t="shared" ref="F102:F110" ca="1" si="5">RAND()</f>
        <v>0.25035112725822284</v>
      </c>
      <c r="K102">
        <f t="shared" ref="K102:K110" ca="1" si="6">RAND()</f>
        <v>0.19448098334151087</v>
      </c>
    </row>
    <row r="103" spans="6:11">
      <c r="F103">
        <f t="shared" ca="1" si="5"/>
        <v>0.55486992968264026</v>
      </c>
      <c r="K103">
        <f t="shared" ca="1" si="6"/>
        <v>0.96305558359707177</v>
      </c>
    </row>
    <row r="104" spans="6:11">
      <c r="F104">
        <f t="shared" ca="1" si="5"/>
        <v>0.96966381514017752</v>
      </c>
      <c r="K104">
        <f t="shared" ca="1" si="6"/>
        <v>0.15772647442840704</v>
      </c>
    </row>
    <row r="105" spans="6:11">
      <c r="F105">
        <f t="shared" ca="1" si="5"/>
        <v>0.73587543306107106</v>
      </c>
      <c r="K105">
        <f t="shared" ca="1" si="6"/>
        <v>0.84637316596238854</v>
      </c>
    </row>
    <row r="106" spans="6:11">
      <c r="F106">
        <f t="shared" ca="1" si="5"/>
        <v>0.3910355440289599</v>
      </c>
      <c r="K106">
        <f t="shared" ca="1" si="6"/>
        <v>0.12350325251339545</v>
      </c>
    </row>
    <row r="107" spans="6:11">
      <c r="F107">
        <f t="shared" ca="1" si="5"/>
        <v>0.28588545751172045</v>
      </c>
      <c r="K107">
        <f t="shared" ca="1" si="6"/>
        <v>0.58469556128826383</v>
      </c>
    </row>
    <row r="108" spans="6:11">
      <c r="F108">
        <f t="shared" ca="1" si="5"/>
        <v>0.22335658545594406</v>
      </c>
      <c r="K108">
        <f t="shared" ca="1" si="6"/>
        <v>0.68310871843176368</v>
      </c>
    </row>
    <row r="109" spans="6:11">
      <c r="F109">
        <f t="shared" ca="1" si="5"/>
        <v>0.4080192931972928</v>
      </c>
      <c r="K109">
        <f t="shared" ca="1" si="6"/>
        <v>0.89901498941971347</v>
      </c>
    </row>
    <row r="110" spans="6:11">
      <c r="F110">
        <f t="shared" ca="1" si="5"/>
        <v>0.59756284224945899</v>
      </c>
      <c r="K110">
        <f t="shared" ca="1" si="6"/>
        <v>0.36579883462402774</v>
      </c>
    </row>
    <row r="111" spans="6:11">
      <c r="F111">
        <f ca="1">RAND()</f>
        <v>4.3809890500374093E-2</v>
      </c>
      <c r="K111">
        <f ca="1">RAND()</f>
        <v>0.17488426900995391</v>
      </c>
    </row>
    <row r="112" spans="6:11">
      <c r="F112">
        <f t="shared" ref="F112:F120" ca="1" si="7">RAND()</f>
        <v>0.96204290257239844</v>
      </c>
      <c r="K112">
        <f t="shared" ref="K112:K120" ca="1" si="8">RAND()</f>
        <v>0.29146126449490661</v>
      </c>
    </row>
    <row r="113" spans="6:11">
      <c r="F113">
        <f t="shared" ca="1" si="7"/>
        <v>0.12739676558266799</v>
      </c>
      <c r="K113">
        <f t="shared" ca="1" si="8"/>
        <v>0.75689081823441118</v>
      </c>
    </row>
    <row r="114" spans="6:11">
      <c r="F114">
        <f t="shared" ca="1" si="7"/>
        <v>0.1526049613153817</v>
      </c>
      <c r="K114">
        <f t="shared" ca="1" si="8"/>
        <v>0.88020202861638097</v>
      </c>
    </row>
    <row r="115" spans="6:11">
      <c r="F115">
        <f t="shared" ca="1" si="7"/>
        <v>0.82287844798308618</v>
      </c>
      <c r="K115">
        <f t="shared" ca="1" si="8"/>
        <v>0.34572876948579112</v>
      </c>
    </row>
    <row r="116" spans="6:11">
      <c r="F116">
        <f t="shared" ca="1" si="7"/>
        <v>0.13128082865123858</v>
      </c>
      <c r="K116">
        <f t="shared" ca="1" si="8"/>
        <v>0.26442469259313972</v>
      </c>
    </row>
    <row r="117" spans="6:11">
      <c r="F117">
        <f t="shared" ca="1" si="7"/>
        <v>0.65340352317146189</v>
      </c>
      <c r="K117">
        <f t="shared" ca="1" si="8"/>
        <v>0.21414039399465334</v>
      </c>
    </row>
    <row r="118" spans="6:11">
      <c r="F118">
        <f t="shared" ca="1" si="7"/>
        <v>0.58357689033149729</v>
      </c>
      <c r="K118">
        <f t="shared" ca="1" si="8"/>
        <v>0.47177209656316266</v>
      </c>
    </row>
    <row r="119" spans="6:11">
      <c r="F119">
        <f t="shared" ca="1" si="7"/>
        <v>0.73603291867831544</v>
      </c>
      <c r="K119">
        <f t="shared" ca="1" si="8"/>
        <v>0.91988375463925154</v>
      </c>
    </row>
    <row r="120" spans="6:11">
      <c r="F120">
        <f t="shared" ca="1" si="7"/>
        <v>0.56197920387739853</v>
      </c>
      <c r="K120">
        <f t="shared" ca="1" si="8"/>
        <v>0.82658444607774006</v>
      </c>
    </row>
    <row r="121" spans="6:11">
      <c r="F121">
        <f ca="1">RAND()</f>
        <v>0.58613913866695633</v>
      </c>
      <c r="K121">
        <f ca="1">RAND()</f>
        <v>8.7137800461624781E-2</v>
      </c>
    </row>
    <row r="122" spans="6:11">
      <c r="F122">
        <f t="shared" ref="F122:F130" ca="1" si="9">RAND()</f>
        <v>0.61610355802649619</v>
      </c>
      <c r="K122">
        <f t="shared" ref="K122:K185" ca="1" si="10">RAND()</f>
        <v>0.58277468580330005</v>
      </c>
    </row>
    <row r="123" spans="6:11">
      <c r="F123">
        <f t="shared" ca="1" si="9"/>
        <v>0.1006381408502568</v>
      </c>
      <c r="K123">
        <f t="shared" ca="1" si="10"/>
        <v>0.29706609844763499</v>
      </c>
    </row>
    <row r="124" spans="6:11">
      <c r="F124">
        <f t="shared" ca="1" si="9"/>
        <v>0.81989414142738171</v>
      </c>
      <c r="K124">
        <f t="shared" ca="1" si="10"/>
        <v>4.7866354581771908E-2</v>
      </c>
    </row>
    <row r="125" spans="6:11">
      <c r="F125">
        <f t="shared" ca="1" si="9"/>
        <v>0.82070917103851615</v>
      </c>
      <c r="K125">
        <f t="shared" ca="1" si="10"/>
        <v>0.73610215271573054</v>
      </c>
    </row>
    <row r="126" spans="6:11">
      <c r="F126">
        <f t="shared" ca="1" si="9"/>
        <v>0.777136729817415</v>
      </c>
      <c r="K126">
        <f t="shared" ca="1" si="10"/>
        <v>0.25146971678518337</v>
      </c>
    </row>
    <row r="127" spans="6:11">
      <c r="F127">
        <f t="shared" ca="1" si="9"/>
        <v>0.19993751197800691</v>
      </c>
      <c r="K127">
        <f t="shared" ca="1" si="10"/>
        <v>0.14521789828600706</v>
      </c>
    </row>
    <row r="128" spans="6:11">
      <c r="F128">
        <f t="shared" ca="1" si="9"/>
        <v>7.6678343674439375E-2</v>
      </c>
      <c r="K128">
        <f t="shared" ca="1" si="10"/>
        <v>0.13232210195532468</v>
      </c>
    </row>
    <row r="129" spans="6:11">
      <c r="F129">
        <f t="shared" ca="1" si="9"/>
        <v>0.10101125599840532</v>
      </c>
      <c r="K129">
        <f t="shared" ca="1" si="10"/>
        <v>0.33555832520868956</v>
      </c>
    </row>
    <row r="130" spans="6:11">
      <c r="F130">
        <f t="shared" ca="1" si="9"/>
        <v>0.14426792826586543</v>
      </c>
      <c r="K130">
        <f t="shared" ca="1" si="10"/>
        <v>0.98335713149051052</v>
      </c>
    </row>
    <row r="131" spans="6:11">
      <c r="K131">
        <f t="shared" ca="1" si="10"/>
        <v>0.9754116096825669</v>
      </c>
    </row>
    <row r="132" spans="6:11">
      <c r="K132">
        <f t="shared" ca="1" si="10"/>
        <v>0.73830222439569848</v>
      </c>
    </row>
    <row r="133" spans="6:11">
      <c r="K133">
        <f t="shared" ca="1" si="10"/>
        <v>0.20161519852575283</v>
      </c>
    </row>
    <row r="134" spans="6:11">
      <c r="K134">
        <f t="shared" ca="1" si="10"/>
        <v>0.45994160983806021</v>
      </c>
    </row>
    <row r="135" spans="6:11">
      <c r="K135">
        <f t="shared" ca="1" si="10"/>
        <v>0.57946184006614065</v>
      </c>
    </row>
    <row r="136" spans="6:11">
      <c r="K136">
        <f t="shared" ca="1" si="10"/>
        <v>3.0375485578909345E-2</v>
      </c>
    </row>
    <row r="137" spans="6:11">
      <c r="K137">
        <f t="shared" ca="1" si="10"/>
        <v>0.49002288216715906</v>
      </c>
    </row>
    <row r="138" spans="6:11">
      <c r="K138">
        <f t="shared" ca="1" si="10"/>
        <v>0.70603384709200068</v>
      </c>
    </row>
    <row r="139" spans="6:11">
      <c r="K139">
        <f t="shared" ca="1" si="10"/>
        <v>0.58093766814790193</v>
      </c>
    </row>
    <row r="140" spans="6:11">
      <c r="K140">
        <f t="shared" ca="1" si="10"/>
        <v>0.10449639640637653</v>
      </c>
    </row>
    <row r="141" spans="6:11">
      <c r="K141">
        <f t="shared" ca="1" si="10"/>
        <v>0.93037302385210507</v>
      </c>
    </row>
    <row r="142" spans="6:11">
      <c r="K142">
        <f t="shared" ca="1" si="10"/>
        <v>0.13936743696781395</v>
      </c>
    </row>
    <row r="143" spans="6:11">
      <c r="K143">
        <f t="shared" ca="1" si="10"/>
        <v>0.59490533265069345</v>
      </c>
    </row>
    <row r="144" spans="6:11">
      <c r="K144">
        <f t="shared" ca="1" si="10"/>
        <v>0.20002731910788807</v>
      </c>
    </row>
    <row r="145" spans="11:11">
      <c r="K145">
        <f t="shared" ca="1" si="10"/>
        <v>0.97569217148700305</v>
      </c>
    </row>
    <row r="146" spans="11:11">
      <c r="K146">
        <f t="shared" ca="1" si="10"/>
        <v>0.99061401800650417</v>
      </c>
    </row>
    <row r="147" spans="11:11">
      <c r="K147">
        <f t="shared" ca="1" si="10"/>
        <v>0.36704014648867123</v>
      </c>
    </row>
    <row r="148" spans="11:11">
      <c r="K148">
        <f t="shared" ca="1" si="10"/>
        <v>0.68564715197804382</v>
      </c>
    </row>
    <row r="149" spans="11:11">
      <c r="K149">
        <f t="shared" ca="1" si="10"/>
        <v>3.9173183748297591E-2</v>
      </c>
    </row>
    <row r="150" spans="11:11">
      <c r="K150">
        <f t="shared" ca="1" si="10"/>
        <v>0.94100061011611968</v>
      </c>
    </row>
    <row r="151" spans="11:11">
      <c r="K151">
        <f t="shared" ca="1" si="10"/>
        <v>2.2908636805159643E-2</v>
      </c>
    </row>
    <row r="152" spans="11:11">
      <c r="K152">
        <f t="shared" ca="1" si="10"/>
        <v>0.18608645799647849</v>
      </c>
    </row>
    <row r="153" spans="11:11">
      <c r="K153">
        <f t="shared" ca="1" si="10"/>
        <v>0.96456910120550909</v>
      </c>
    </row>
    <row r="154" spans="11:11">
      <c r="K154">
        <f t="shared" ca="1" si="10"/>
        <v>0.61712467534683491</v>
      </c>
    </row>
    <row r="155" spans="11:11">
      <c r="K155">
        <f t="shared" ca="1" si="10"/>
        <v>0.79899788140217343</v>
      </c>
    </row>
    <row r="156" spans="11:11">
      <c r="K156">
        <f t="shared" ca="1" si="10"/>
        <v>0.81014984030286996</v>
      </c>
    </row>
    <row r="157" spans="11:11">
      <c r="K157">
        <f t="shared" ca="1" si="10"/>
        <v>0.33907809814754142</v>
      </c>
    </row>
    <row r="158" spans="11:11">
      <c r="K158">
        <f t="shared" ca="1" si="10"/>
        <v>0.81135447596854338</v>
      </c>
    </row>
    <row r="159" spans="11:11">
      <c r="K159">
        <f t="shared" ca="1" si="10"/>
        <v>0.69566760490812385</v>
      </c>
    </row>
    <row r="160" spans="11:11">
      <c r="K160">
        <f t="shared" ca="1" si="10"/>
        <v>8.5314389800561052E-2</v>
      </c>
    </row>
    <row r="161" spans="11:11">
      <c r="K161">
        <f t="shared" ca="1" si="10"/>
        <v>0.96100720111308591</v>
      </c>
    </row>
    <row r="162" spans="11:11">
      <c r="K162">
        <f t="shared" ca="1" si="10"/>
        <v>0.33156044514265304</v>
      </c>
    </row>
    <row r="163" spans="11:11">
      <c r="K163">
        <f t="shared" ca="1" si="10"/>
        <v>0.81577480653854129</v>
      </c>
    </row>
    <row r="164" spans="11:11">
      <c r="K164">
        <f t="shared" ca="1" si="10"/>
        <v>0.68360847637204092</v>
      </c>
    </row>
    <row r="165" spans="11:11">
      <c r="K165">
        <f t="shared" ca="1" si="10"/>
        <v>0.48513330019964584</v>
      </c>
    </row>
    <row r="166" spans="11:11">
      <c r="K166">
        <f t="shared" ca="1" si="10"/>
        <v>0.17184987016169284</v>
      </c>
    </row>
    <row r="167" spans="11:11">
      <c r="K167">
        <f t="shared" ca="1" si="10"/>
        <v>0.63966235126389948</v>
      </c>
    </row>
    <row r="168" spans="11:11">
      <c r="K168">
        <f t="shared" ca="1" si="10"/>
        <v>0.41310538190500523</v>
      </c>
    </row>
    <row r="169" spans="11:11">
      <c r="K169">
        <f t="shared" ca="1" si="10"/>
        <v>0.74122677083966959</v>
      </c>
    </row>
    <row r="170" spans="11:11">
      <c r="K170">
        <f t="shared" ca="1" si="10"/>
        <v>0.63150095204339807</v>
      </c>
    </row>
    <row r="171" spans="11:11">
      <c r="K171">
        <f t="shared" ca="1" si="10"/>
        <v>0.43363214640531966</v>
      </c>
    </row>
    <row r="172" spans="11:11">
      <c r="K172">
        <f t="shared" ca="1" si="10"/>
        <v>0.97923114929867494</v>
      </c>
    </row>
    <row r="173" spans="11:11">
      <c r="K173">
        <f t="shared" ca="1" si="10"/>
        <v>0.86580987717764835</v>
      </c>
    </row>
    <row r="174" spans="11:11">
      <c r="K174">
        <f t="shared" ca="1" si="10"/>
        <v>0.23925477844618581</v>
      </c>
    </row>
    <row r="175" spans="11:11">
      <c r="K175">
        <f t="shared" ca="1" si="10"/>
        <v>0.30302849986604041</v>
      </c>
    </row>
    <row r="176" spans="11:11">
      <c r="K176">
        <f t="shared" ca="1" si="10"/>
        <v>7.5556281436421457E-2</v>
      </c>
    </row>
    <row r="177" spans="11:11">
      <c r="K177">
        <f t="shared" ca="1" si="10"/>
        <v>0.82247962051417023</v>
      </c>
    </row>
    <row r="178" spans="11:11">
      <c r="K178">
        <f t="shared" ca="1" si="10"/>
        <v>0.59149723074903826</v>
      </c>
    </row>
    <row r="179" spans="11:11">
      <c r="K179">
        <f t="shared" ca="1" si="10"/>
        <v>0.2386344612690916</v>
      </c>
    </row>
    <row r="180" spans="11:11">
      <c r="K180">
        <f t="shared" ca="1" si="10"/>
        <v>0.68946588714679646</v>
      </c>
    </row>
    <row r="181" spans="11:11">
      <c r="K181">
        <f t="shared" ca="1" si="10"/>
        <v>0.9805190491907676</v>
      </c>
    </row>
    <row r="182" spans="11:11">
      <c r="K182">
        <f t="shared" ca="1" si="10"/>
        <v>0.18614232644369766</v>
      </c>
    </row>
    <row r="183" spans="11:11">
      <c r="K183">
        <f t="shared" ca="1" si="10"/>
        <v>0.89321228739488578</v>
      </c>
    </row>
    <row r="184" spans="11:11">
      <c r="K184">
        <f t="shared" ca="1" si="10"/>
        <v>0.35127840517862907</v>
      </c>
    </row>
    <row r="185" spans="11:11">
      <c r="K185">
        <f t="shared" ca="1" si="10"/>
        <v>0.18430705165938743</v>
      </c>
    </row>
    <row r="186" spans="11:11">
      <c r="K186">
        <f t="shared" ref="K186:K249" ca="1" si="11">RAND()</f>
        <v>7.5774552931852313E-2</v>
      </c>
    </row>
    <row r="187" spans="11:11">
      <c r="K187">
        <f t="shared" ca="1" si="11"/>
        <v>0.25866531713407515</v>
      </c>
    </row>
    <row r="188" spans="11:11">
      <c r="K188">
        <f t="shared" ca="1" si="11"/>
        <v>0.63152671247168279</v>
      </c>
    </row>
    <row r="189" spans="11:11">
      <c r="K189">
        <f t="shared" ca="1" si="11"/>
        <v>0.74665094497106033</v>
      </c>
    </row>
    <row r="190" spans="11:11">
      <c r="K190">
        <f t="shared" ca="1" si="11"/>
        <v>0.1538664861260246</v>
      </c>
    </row>
    <row r="191" spans="11:11">
      <c r="K191">
        <f t="shared" ca="1" si="11"/>
        <v>0.82551138723482986</v>
      </c>
    </row>
    <row r="192" spans="11:11">
      <c r="K192">
        <f t="shared" ca="1" si="11"/>
        <v>0.2941158819987475</v>
      </c>
    </row>
    <row r="193" spans="11:11">
      <c r="K193">
        <f t="shared" ca="1" si="11"/>
        <v>0.68060465179149165</v>
      </c>
    </row>
    <row r="194" spans="11:11">
      <c r="K194">
        <f t="shared" ca="1" si="11"/>
        <v>0.61890641855308837</v>
      </c>
    </row>
    <row r="195" spans="11:11">
      <c r="K195">
        <f t="shared" ca="1" si="11"/>
        <v>4.5915809811107877E-3</v>
      </c>
    </row>
    <row r="196" spans="11:11">
      <c r="K196">
        <f t="shared" ca="1" si="11"/>
        <v>0.92192844600005674</v>
      </c>
    </row>
    <row r="197" spans="11:11">
      <c r="K197">
        <f t="shared" ca="1" si="11"/>
        <v>0.77819550270662674</v>
      </c>
    </row>
    <row r="198" spans="11:11">
      <c r="K198">
        <f t="shared" ca="1" si="11"/>
        <v>0.99822927097112935</v>
      </c>
    </row>
    <row r="199" spans="11:11">
      <c r="K199">
        <f t="shared" ca="1" si="11"/>
        <v>0.32432934552282511</v>
      </c>
    </row>
    <row r="200" spans="11:11">
      <c r="K200">
        <f t="shared" ca="1" si="11"/>
        <v>0.45996038137068584</v>
      </c>
    </row>
    <row r="201" spans="11:11">
      <c r="K201">
        <f t="shared" ca="1" si="11"/>
        <v>0.34035674862962395</v>
      </c>
    </row>
    <row r="202" spans="11:11">
      <c r="K202">
        <f t="shared" ca="1" si="11"/>
        <v>0.25639163532592169</v>
      </c>
    </row>
    <row r="203" spans="11:11">
      <c r="K203">
        <f t="shared" ca="1" si="11"/>
        <v>0.87746227105825247</v>
      </c>
    </row>
    <row r="204" spans="11:11">
      <c r="K204">
        <f t="shared" ca="1" si="11"/>
        <v>0.27693594196183824</v>
      </c>
    </row>
    <row r="205" spans="11:11">
      <c r="K205">
        <f t="shared" ca="1" si="11"/>
        <v>0.2535482914464382</v>
      </c>
    </row>
    <row r="206" spans="11:11">
      <c r="K206">
        <f t="shared" ca="1" si="11"/>
        <v>0.74641407079153188</v>
      </c>
    </row>
    <row r="207" spans="11:11">
      <c r="K207">
        <f t="shared" ca="1" si="11"/>
        <v>0.26690158279933351</v>
      </c>
    </row>
    <row r="208" spans="11:11">
      <c r="K208">
        <f t="shared" ca="1" si="11"/>
        <v>0.57172464895808828</v>
      </c>
    </row>
    <row r="209" spans="11:11">
      <c r="K209">
        <f t="shared" ca="1" si="11"/>
        <v>0.56791195494066637</v>
      </c>
    </row>
    <row r="210" spans="11:11">
      <c r="K210">
        <f t="shared" ca="1" si="11"/>
        <v>0.75466297966209073</v>
      </c>
    </row>
    <row r="211" spans="11:11">
      <c r="K211">
        <f t="shared" ca="1" si="11"/>
        <v>0.60481580666585821</v>
      </c>
    </row>
    <row r="212" spans="11:11">
      <c r="K212">
        <f t="shared" ca="1" si="11"/>
        <v>0.60449155993337245</v>
      </c>
    </row>
    <row r="213" spans="11:11">
      <c r="K213">
        <f t="shared" ca="1" si="11"/>
        <v>6.0057148884680167E-3</v>
      </c>
    </row>
    <row r="214" spans="11:11">
      <c r="K214">
        <f t="shared" ca="1" si="11"/>
        <v>0.2516078006449109</v>
      </c>
    </row>
    <row r="215" spans="11:11">
      <c r="K215">
        <f t="shared" ca="1" si="11"/>
        <v>0.97619305989746952</v>
      </c>
    </row>
    <row r="216" spans="11:11">
      <c r="K216">
        <f t="shared" ca="1" si="11"/>
        <v>0.44405760222371882</v>
      </c>
    </row>
    <row r="217" spans="11:11">
      <c r="K217">
        <f t="shared" ca="1" si="11"/>
        <v>0.65376799808502284</v>
      </c>
    </row>
    <row r="218" spans="11:11">
      <c r="K218">
        <f t="shared" ca="1" si="11"/>
        <v>0.21232164184658142</v>
      </c>
    </row>
    <row r="219" spans="11:11">
      <c r="K219">
        <f t="shared" ca="1" si="11"/>
        <v>0.80647919818786651</v>
      </c>
    </row>
    <row r="220" spans="11:11">
      <c r="K220">
        <f t="shared" ca="1" si="11"/>
        <v>5.2975066229727696E-2</v>
      </c>
    </row>
    <row r="221" spans="11:11">
      <c r="K221">
        <f t="shared" ca="1" si="11"/>
        <v>0.58741576598167633</v>
      </c>
    </row>
    <row r="222" spans="11:11">
      <c r="K222">
        <f t="shared" ca="1" si="11"/>
        <v>0.89549796315924124</v>
      </c>
    </row>
    <row r="223" spans="11:11">
      <c r="K223">
        <f t="shared" ca="1" si="11"/>
        <v>0.86331903982564295</v>
      </c>
    </row>
    <row r="224" spans="11:11">
      <c r="K224">
        <f t="shared" ca="1" si="11"/>
        <v>0.42459893335142773</v>
      </c>
    </row>
    <row r="225" spans="11:11">
      <c r="K225">
        <f t="shared" ca="1" si="11"/>
        <v>0.22253316830020697</v>
      </c>
    </row>
    <row r="226" spans="11:11">
      <c r="K226">
        <f t="shared" ca="1" si="11"/>
        <v>0.72375577175467165</v>
      </c>
    </row>
    <row r="227" spans="11:11">
      <c r="K227">
        <f t="shared" ca="1" si="11"/>
        <v>0.66270891561455691</v>
      </c>
    </row>
    <row r="228" spans="11:11">
      <c r="K228">
        <f t="shared" ca="1" si="11"/>
        <v>0.93967744586165569</v>
      </c>
    </row>
    <row r="229" spans="11:11">
      <c r="K229">
        <f t="shared" ca="1" si="11"/>
        <v>1.5579931696841243E-2</v>
      </c>
    </row>
    <row r="230" spans="11:11">
      <c r="K230">
        <f t="shared" ca="1" si="11"/>
        <v>0.87756957141925351</v>
      </c>
    </row>
    <row r="231" spans="11:11">
      <c r="K231">
        <f t="shared" ca="1" si="11"/>
        <v>0.30095964167179723</v>
      </c>
    </row>
    <row r="232" spans="11:11">
      <c r="K232">
        <f t="shared" ca="1" si="11"/>
        <v>0.68886466564425763</v>
      </c>
    </row>
    <row r="233" spans="11:11">
      <c r="K233">
        <f t="shared" ca="1" si="11"/>
        <v>0.46404780948439495</v>
      </c>
    </row>
    <row r="234" spans="11:11">
      <c r="K234">
        <f t="shared" ca="1" si="11"/>
        <v>0.21648550046658865</v>
      </c>
    </row>
    <row r="235" spans="11:11">
      <c r="K235">
        <f t="shared" ca="1" si="11"/>
        <v>0.98217340070747228</v>
      </c>
    </row>
    <row r="236" spans="11:11">
      <c r="K236">
        <f t="shared" ca="1" si="11"/>
        <v>0.54212996331579433</v>
      </c>
    </row>
    <row r="237" spans="11:11">
      <c r="K237">
        <f t="shared" ca="1" si="11"/>
        <v>0.76585414409764052</v>
      </c>
    </row>
    <row r="238" spans="11:11">
      <c r="K238">
        <f t="shared" ca="1" si="11"/>
        <v>0.59849466885514091</v>
      </c>
    </row>
    <row r="239" spans="11:11">
      <c r="K239">
        <f t="shared" ca="1" si="11"/>
        <v>0.9525293236952912</v>
      </c>
    </row>
    <row r="240" spans="11:11">
      <c r="K240">
        <f t="shared" ca="1" si="11"/>
        <v>0.36474274653951189</v>
      </c>
    </row>
    <row r="241" spans="11:11">
      <c r="K241">
        <f t="shared" ca="1" si="11"/>
        <v>0.57952099422312164</v>
      </c>
    </row>
    <row r="242" spans="11:11">
      <c r="K242">
        <f t="shared" ca="1" si="11"/>
        <v>0.35047810626010101</v>
      </c>
    </row>
    <row r="243" spans="11:11">
      <c r="K243">
        <f t="shared" ca="1" si="11"/>
        <v>0.65220126658061339</v>
      </c>
    </row>
    <row r="244" spans="11:11">
      <c r="K244">
        <f t="shared" ca="1" si="11"/>
        <v>2.096702065918965E-2</v>
      </c>
    </row>
    <row r="245" spans="11:11">
      <c r="K245">
        <f t="shared" ca="1" si="11"/>
        <v>0.28911238976451514</v>
      </c>
    </row>
    <row r="246" spans="11:11">
      <c r="K246">
        <f t="shared" ca="1" si="11"/>
        <v>0.29819719479093632</v>
      </c>
    </row>
    <row r="247" spans="11:11">
      <c r="K247">
        <f t="shared" ca="1" si="11"/>
        <v>0.22777267820103297</v>
      </c>
    </row>
    <row r="248" spans="11:11">
      <c r="K248">
        <f t="shared" ca="1" si="11"/>
        <v>0.16826079040918618</v>
      </c>
    </row>
    <row r="249" spans="11:11">
      <c r="K249">
        <f t="shared" ca="1" si="11"/>
        <v>0.24523017421308424</v>
      </c>
    </row>
    <row r="250" spans="11:11">
      <c r="K250">
        <f t="shared" ref="K250:K313" ca="1" si="12">RAND()</f>
        <v>7.0794543783521124E-3</v>
      </c>
    </row>
    <row r="251" spans="11:11">
      <c r="K251">
        <f t="shared" ca="1" si="12"/>
        <v>0.47890626432265382</v>
      </c>
    </row>
    <row r="252" spans="11:11">
      <c r="K252">
        <f t="shared" ca="1" si="12"/>
        <v>0.69854091164078369</v>
      </c>
    </row>
    <row r="253" spans="11:11">
      <c r="K253">
        <f t="shared" ca="1" si="12"/>
        <v>4.3843357441711861E-2</v>
      </c>
    </row>
    <row r="254" spans="11:11">
      <c r="K254">
        <f t="shared" ca="1" si="12"/>
        <v>0.29979806472760462</v>
      </c>
    </row>
    <row r="255" spans="11:11">
      <c r="K255">
        <f t="shared" ca="1" si="12"/>
        <v>0.82061152976314866</v>
      </c>
    </row>
    <row r="256" spans="11:11">
      <c r="K256">
        <f t="shared" ca="1" si="12"/>
        <v>0.13242454728357922</v>
      </c>
    </row>
    <row r="257" spans="11:11">
      <c r="K257">
        <f t="shared" ca="1" si="12"/>
        <v>0.30066393143779235</v>
      </c>
    </row>
    <row r="258" spans="11:11">
      <c r="K258">
        <f t="shared" ca="1" si="12"/>
        <v>2.012315494767325E-3</v>
      </c>
    </row>
    <row r="259" spans="11:11">
      <c r="K259">
        <f t="shared" ca="1" si="12"/>
        <v>0.31147084397531599</v>
      </c>
    </row>
    <row r="260" spans="11:11">
      <c r="K260">
        <f t="shared" ca="1" si="12"/>
        <v>0.89753313307448046</v>
      </c>
    </row>
    <row r="261" spans="11:11">
      <c r="K261">
        <f t="shared" ca="1" si="12"/>
        <v>0.42788977079384072</v>
      </c>
    </row>
    <row r="262" spans="11:11">
      <c r="K262">
        <f t="shared" ca="1" si="12"/>
        <v>0.4375722464163152</v>
      </c>
    </row>
    <row r="263" spans="11:11">
      <c r="K263">
        <f t="shared" ca="1" si="12"/>
        <v>0.12825587481917289</v>
      </c>
    </row>
    <row r="264" spans="11:11">
      <c r="K264">
        <f t="shared" ca="1" si="12"/>
        <v>0.58885525900999713</v>
      </c>
    </row>
    <row r="265" spans="11:11">
      <c r="K265">
        <f t="shared" ca="1" si="12"/>
        <v>0.85699809486026624</v>
      </c>
    </row>
    <row r="266" spans="11:11">
      <c r="K266">
        <f t="shared" ca="1" si="12"/>
        <v>0.34044998203539034</v>
      </c>
    </row>
    <row r="267" spans="11:11">
      <c r="K267">
        <f t="shared" ca="1" si="12"/>
        <v>0.61588498684015924</v>
      </c>
    </row>
    <row r="268" spans="11:11">
      <c r="K268">
        <f t="shared" ca="1" si="12"/>
        <v>0.80925650648390257</v>
      </c>
    </row>
    <row r="269" spans="11:11">
      <c r="K269">
        <f t="shared" ca="1" si="12"/>
        <v>0.81617173428579104</v>
      </c>
    </row>
    <row r="270" spans="11:11">
      <c r="K270">
        <f t="shared" ca="1" si="12"/>
        <v>0.53983862821706374</v>
      </c>
    </row>
    <row r="271" spans="11:11">
      <c r="K271">
        <f t="shared" ca="1" si="12"/>
        <v>0.32191174785251508</v>
      </c>
    </row>
    <row r="272" spans="11:11">
      <c r="K272">
        <f t="shared" ca="1" si="12"/>
        <v>0.14138303558481891</v>
      </c>
    </row>
    <row r="273" spans="11:11">
      <c r="K273">
        <f t="shared" ca="1" si="12"/>
        <v>0.87871855859222792</v>
      </c>
    </row>
    <row r="274" spans="11:11">
      <c r="K274">
        <f t="shared" ca="1" si="12"/>
        <v>0.94623201865528417</v>
      </c>
    </row>
    <row r="275" spans="11:11">
      <c r="K275">
        <f t="shared" ca="1" si="12"/>
        <v>0.84922720746532354</v>
      </c>
    </row>
    <row r="276" spans="11:11">
      <c r="K276">
        <f t="shared" ca="1" si="12"/>
        <v>0.41058627347473697</v>
      </c>
    </row>
    <row r="277" spans="11:11">
      <c r="K277">
        <f t="shared" ca="1" si="12"/>
        <v>0.138182993909989</v>
      </c>
    </row>
    <row r="278" spans="11:11">
      <c r="K278">
        <f t="shared" ca="1" si="12"/>
        <v>0.68064664372927597</v>
      </c>
    </row>
    <row r="279" spans="11:11">
      <c r="K279">
        <f t="shared" ca="1" si="12"/>
        <v>0.85455903081599316</v>
      </c>
    </row>
    <row r="280" spans="11:11">
      <c r="K280">
        <f t="shared" ca="1" si="12"/>
        <v>0.22088458365286634</v>
      </c>
    </row>
    <row r="281" spans="11:11">
      <c r="K281">
        <f t="shared" ca="1" si="12"/>
        <v>0.52286280430345866</v>
      </c>
    </row>
    <row r="282" spans="11:11">
      <c r="K282">
        <f t="shared" ca="1" si="12"/>
        <v>0.39823378447758939</v>
      </c>
    </row>
    <row r="283" spans="11:11">
      <c r="K283">
        <f t="shared" ca="1" si="12"/>
        <v>0.46324716531755161</v>
      </c>
    </row>
    <row r="284" spans="11:11">
      <c r="K284">
        <f t="shared" ca="1" si="12"/>
        <v>0.62590317312058752</v>
      </c>
    </row>
    <row r="285" spans="11:11">
      <c r="K285">
        <f t="shared" ca="1" si="12"/>
        <v>0.50369398958810097</v>
      </c>
    </row>
    <row r="286" spans="11:11">
      <c r="K286">
        <f t="shared" ca="1" si="12"/>
        <v>0.7302658426895634</v>
      </c>
    </row>
    <row r="287" spans="11:11">
      <c r="K287">
        <f t="shared" ca="1" si="12"/>
        <v>0.36748619756942014</v>
      </c>
    </row>
    <row r="288" spans="11:11">
      <c r="K288">
        <f t="shared" ca="1" si="12"/>
        <v>0.64754271461299062</v>
      </c>
    </row>
    <row r="289" spans="11:11">
      <c r="K289">
        <f t="shared" ca="1" si="12"/>
        <v>0.62079691833205186</v>
      </c>
    </row>
    <row r="290" spans="11:11">
      <c r="K290">
        <f t="shared" ca="1" si="12"/>
        <v>0.74050708115972963</v>
      </c>
    </row>
    <row r="291" spans="11:11">
      <c r="K291">
        <f t="shared" ca="1" si="12"/>
        <v>0.66864254549662583</v>
      </c>
    </row>
    <row r="292" spans="11:11">
      <c r="K292">
        <f t="shared" ca="1" si="12"/>
        <v>0.1122880422948187</v>
      </c>
    </row>
    <row r="293" spans="11:11">
      <c r="K293">
        <f t="shared" ca="1" si="12"/>
        <v>0.23068560808921412</v>
      </c>
    </row>
    <row r="294" spans="11:11">
      <c r="K294">
        <f t="shared" ca="1" si="12"/>
        <v>0.24358698968984593</v>
      </c>
    </row>
    <row r="295" spans="11:11">
      <c r="K295">
        <f t="shared" ca="1" si="12"/>
        <v>0.63880569235643581</v>
      </c>
    </row>
    <row r="296" spans="11:11">
      <c r="K296">
        <f t="shared" ca="1" si="12"/>
        <v>0.65423821557912021</v>
      </c>
    </row>
    <row r="297" spans="11:11">
      <c r="K297">
        <f t="shared" ca="1" si="12"/>
        <v>0.57194349440467374</v>
      </c>
    </row>
    <row r="298" spans="11:11">
      <c r="K298">
        <f t="shared" ca="1" si="12"/>
        <v>0.78451799616934359</v>
      </c>
    </row>
    <row r="299" spans="11:11">
      <c r="K299">
        <f t="shared" ca="1" si="12"/>
        <v>0.98216371762832222</v>
      </c>
    </row>
    <row r="300" spans="11:11">
      <c r="K300">
        <f t="shared" ca="1" si="12"/>
        <v>0.44263057174703402</v>
      </c>
    </row>
    <row r="301" spans="11:11">
      <c r="K301">
        <f t="shared" ca="1" si="12"/>
        <v>8.9273385973493546E-2</v>
      </c>
    </row>
    <row r="302" spans="11:11">
      <c r="K302">
        <f t="shared" ca="1" si="12"/>
        <v>0.88451847891517943</v>
      </c>
    </row>
    <row r="303" spans="11:11">
      <c r="K303">
        <f t="shared" ca="1" si="12"/>
        <v>0.94426631934875549</v>
      </c>
    </row>
    <row r="304" spans="11:11">
      <c r="K304">
        <f t="shared" ca="1" si="12"/>
        <v>0.27821736898032867</v>
      </c>
    </row>
    <row r="305" spans="11:11">
      <c r="K305">
        <f t="shared" ca="1" si="12"/>
        <v>8.9894115115857431E-2</v>
      </c>
    </row>
    <row r="306" spans="11:11">
      <c r="K306">
        <f t="shared" ca="1" si="12"/>
        <v>0.66544231361998318</v>
      </c>
    </row>
    <row r="307" spans="11:11">
      <c r="K307">
        <f t="shared" ca="1" si="12"/>
        <v>0.1441885216937111</v>
      </c>
    </row>
    <row r="308" spans="11:11">
      <c r="K308">
        <f t="shared" ca="1" si="12"/>
        <v>0.56427653359677188</v>
      </c>
    </row>
    <row r="309" spans="11:11">
      <c r="K309">
        <f t="shared" ca="1" si="12"/>
        <v>0.26186108834957444</v>
      </c>
    </row>
    <row r="310" spans="11:11">
      <c r="K310">
        <f t="shared" ca="1" si="12"/>
        <v>0.83535829537006467</v>
      </c>
    </row>
    <row r="311" spans="11:11">
      <c r="K311">
        <f t="shared" ca="1" si="12"/>
        <v>0.88922215112624059</v>
      </c>
    </row>
    <row r="312" spans="11:11">
      <c r="K312">
        <f t="shared" ca="1" si="12"/>
        <v>0.47009045574386743</v>
      </c>
    </row>
    <row r="313" spans="11:11">
      <c r="K313">
        <f t="shared" ca="1" si="12"/>
        <v>7.6929976024390223E-2</v>
      </c>
    </row>
    <row r="314" spans="11:11">
      <c r="K314">
        <f t="shared" ref="K314:K377" ca="1" si="13">RAND()</f>
        <v>0.75334457909736274</v>
      </c>
    </row>
    <row r="315" spans="11:11">
      <c r="K315">
        <f t="shared" ca="1" si="13"/>
        <v>8.9747577117567978E-2</v>
      </c>
    </row>
    <row r="316" spans="11:11">
      <c r="K316">
        <f t="shared" ca="1" si="13"/>
        <v>7.5428286466394212E-2</v>
      </c>
    </row>
    <row r="317" spans="11:11">
      <c r="K317">
        <f t="shared" ca="1" si="13"/>
        <v>0.59725237665391884</v>
      </c>
    </row>
    <row r="318" spans="11:11">
      <c r="K318">
        <f t="shared" ca="1" si="13"/>
        <v>0.20088170349315093</v>
      </c>
    </row>
    <row r="319" spans="11:11">
      <c r="K319">
        <f t="shared" ca="1" si="13"/>
        <v>0.73189104556533424</v>
      </c>
    </row>
    <row r="320" spans="11:11">
      <c r="K320">
        <f t="shared" ca="1" si="13"/>
        <v>0.35889887841418178</v>
      </c>
    </row>
    <row r="321" spans="11:11">
      <c r="K321">
        <f t="shared" ca="1" si="13"/>
        <v>0.56218082602930419</v>
      </c>
    </row>
    <row r="322" spans="11:11">
      <c r="K322">
        <f t="shared" ca="1" si="13"/>
        <v>0.69363766981370234</v>
      </c>
    </row>
    <row r="323" spans="11:11">
      <c r="K323">
        <f t="shared" ca="1" si="13"/>
        <v>0.74730712492840512</v>
      </c>
    </row>
    <row r="324" spans="11:11">
      <c r="K324">
        <f t="shared" ca="1" si="13"/>
        <v>0.62781240486225798</v>
      </c>
    </row>
    <row r="325" spans="11:11">
      <c r="K325">
        <f t="shared" ca="1" si="13"/>
        <v>0.70704064648379639</v>
      </c>
    </row>
    <row r="326" spans="11:11">
      <c r="K326">
        <f t="shared" ca="1" si="13"/>
        <v>0.49111988280728092</v>
      </c>
    </row>
    <row r="327" spans="11:11">
      <c r="K327">
        <f t="shared" ca="1" si="13"/>
        <v>0.54705609800390054</v>
      </c>
    </row>
    <row r="328" spans="11:11">
      <c r="K328">
        <f t="shared" ca="1" si="13"/>
        <v>0.80477706628398238</v>
      </c>
    </row>
    <row r="329" spans="11:11">
      <c r="K329">
        <f t="shared" ca="1" si="13"/>
        <v>0.84383193878755525</v>
      </c>
    </row>
    <row r="330" spans="11:11">
      <c r="K330">
        <f t="shared" ca="1" si="13"/>
        <v>0.87686644217537824</v>
      </c>
    </row>
    <row r="331" spans="11:11">
      <c r="K331">
        <f t="shared" ca="1" si="13"/>
        <v>0.41496958270350692</v>
      </c>
    </row>
    <row r="332" spans="11:11">
      <c r="K332">
        <f t="shared" ca="1" si="13"/>
        <v>3.2048209718880116E-3</v>
      </c>
    </row>
    <row r="333" spans="11:11">
      <c r="K333">
        <f t="shared" ca="1" si="13"/>
        <v>0.74516909138567122</v>
      </c>
    </row>
    <row r="334" spans="11:11">
      <c r="K334">
        <f t="shared" ca="1" si="13"/>
        <v>0.92936727723962531</v>
      </c>
    </row>
    <row r="335" spans="11:11">
      <c r="K335">
        <f t="shared" ca="1" si="13"/>
        <v>5.0569531047055527E-2</v>
      </c>
    </row>
    <row r="336" spans="11:11">
      <c r="K336">
        <f t="shared" ca="1" si="13"/>
        <v>0.7047023148218603</v>
      </c>
    </row>
    <row r="337" spans="11:11">
      <c r="K337">
        <f t="shared" ca="1" si="13"/>
        <v>0.85708043436244186</v>
      </c>
    </row>
    <row r="338" spans="11:11">
      <c r="K338">
        <f t="shared" ca="1" si="13"/>
        <v>0.1934645608869765</v>
      </c>
    </row>
    <row r="339" spans="11:11">
      <c r="K339">
        <f t="shared" ca="1" si="13"/>
        <v>0.32492385323459327</v>
      </c>
    </row>
    <row r="340" spans="11:11">
      <c r="K340">
        <f t="shared" ca="1" si="13"/>
        <v>0.10937286121659007</v>
      </c>
    </row>
    <row r="341" spans="11:11">
      <c r="K341">
        <f t="shared" ca="1" si="13"/>
        <v>6.8920787573155451E-2</v>
      </c>
    </row>
    <row r="342" spans="11:11">
      <c r="K342">
        <f t="shared" ca="1" si="13"/>
        <v>0.25405770648128634</v>
      </c>
    </row>
    <row r="343" spans="11:11">
      <c r="K343">
        <f t="shared" ca="1" si="13"/>
        <v>0.18398850229934482</v>
      </c>
    </row>
    <row r="344" spans="11:11">
      <c r="K344">
        <f t="shared" ca="1" si="13"/>
        <v>0.90472761034465421</v>
      </c>
    </row>
    <row r="345" spans="11:11">
      <c r="K345">
        <f t="shared" ca="1" si="13"/>
        <v>0.84498597631642891</v>
      </c>
    </row>
    <row r="346" spans="11:11">
      <c r="K346">
        <f t="shared" ca="1" si="13"/>
        <v>0.8322067731437226</v>
      </c>
    </row>
    <row r="347" spans="11:11">
      <c r="K347">
        <f t="shared" ca="1" si="13"/>
        <v>0.10378809705474024</v>
      </c>
    </row>
    <row r="348" spans="11:11">
      <c r="K348">
        <f t="shared" ca="1" si="13"/>
        <v>0.70323015204755235</v>
      </c>
    </row>
    <row r="349" spans="11:11">
      <c r="K349">
        <f t="shared" ca="1" si="13"/>
        <v>0.52856752156578013</v>
      </c>
    </row>
    <row r="350" spans="11:11">
      <c r="K350">
        <f t="shared" ca="1" si="13"/>
        <v>0.29119275582819659</v>
      </c>
    </row>
    <row r="351" spans="11:11">
      <c r="K351">
        <f t="shared" ca="1" si="13"/>
        <v>0.43739020509980486</v>
      </c>
    </row>
    <row r="352" spans="11:11">
      <c r="K352">
        <f t="shared" ca="1" si="13"/>
        <v>0.72369132079375786</v>
      </c>
    </row>
    <row r="353" spans="11:11">
      <c r="K353">
        <f t="shared" ca="1" si="13"/>
        <v>0.69125718014213122</v>
      </c>
    </row>
    <row r="354" spans="11:11">
      <c r="K354">
        <f t="shared" ca="1" si="13"/>
        <v>0.60932031868155523</v>
      </c>
    </row>
    <row r="355" spans="11:11">
      <c r="K355">
        <f t="shared" ca="1" si="13"/>
        <v>0.68441703740015236</v>
      </c>
    </row>
    <row r="356" spans="11:11">
      <c r="K356">
        <f t="shared" ca="1" si="13"/>
        <v>0.17283772985866586</v>
      </c>
    </row>
    <row r="357" spans="11:11">
      <c r="K357">
        <f t="shared" ca="1" si="13"/>
        <v>0.75634161059963212</v>
      </c>
    </row>
    <row r="358" spans="11:11">
      <c r="K358">
        <f t="shared" ca="1" si="13"/>
        <v>0.12022858729366082</v>
      </c>
    </row>
    <row r="359" spans="11:11">
      <c r="K359">
        <f t="shared" ca="1" si="13"/>
        <v>0.58658247466107838</v>
      </c>
    </row>
    <row r="360" spans="11:11">
      <c r="K360">
        <f t="shared" ca="1" si="13"/>
        <v>0.67905416384959505</v>
      </c>
    </row>
    <row r="361" spans="11:11">
      <c r="K361">
        <f t="shared" ca="1" si="13"/>
        <v>0.59677747070694154</v>
      </c>
    </row>
    <row r="362" spans="11:11">
      <c r="K362">
        <f t="shared" ca="1" si="13"/>
        <v>0.65294232659335094</v>
      </c>
    </row>
    <row r="363" spans="11:11">
      <c r="K363">
        <f t="shared" ca="1" si="13"/>
        <v>0.50188966885242015</v>
      </c>
    </row>
    <row r="364" spans="11:11">
      <c r="K364">
        <f t="shared" ca="1" si="13"/>
        <v>0.31896265222924547</v>
      </c>
    </row>
    <row r="365" spans="11:11">
      <c r="K365">
        <f t="shared" ca="1" si="13"/>
        <v>0.41490594400887559</v>
      </c>
    </row>
    <row r="366" spans="11:11">
      <c r="K366">
        <f t="shared" ca="1" si="13"/>
        <v>0.50200389519589739</v>
      </c>
    </row>
    <row r="367" spans="11:11">
      <c r="K367">
        <f t="shared" ca="1" si="13"/>
        <v>0.14073476670830365</v>
      </c>
    </row>
    <row r="368" spans="11:11">
      <c r="K368">
        <f t="shared" ca="1" si="13"/>
        <v>5.6277167447357668E-2</v>
      </c>
    </row>
    <row r="369" spans="11:11">
      <c r="K369">
        <f t="shared" ca="1" si="13"/>
        <v>0.85113536124167877</v>
      </c>
    </row>
    <row r="370" spans="11:11">
      <c r="K370">
        <f t="shared" ca="1" si="13"/>
        <v>3.5554813206753799E-2</v>
      </c>
    </row>
    <row r="371" spans="11:11">
      <c r="K371">
        <f t="shared" ca="1" si="13"/>
        <v>0.64256349316643679</v>
      </c>
    </row>
    <row r="372" spans="11:11">
      <c r="K372">
        <f t="shared" ca="1" si="13"/>
        <v>0.90580004932409852</v>
      </c>
    </row>
    <row r="373" spans="11:11">
      <c r="K373">
        <f t="shared" ca="1" si="13"/>
        <v>0.34938514582587654</v>
      </c>
    </row>
    <row r="374" spans="11:11">
      <c r="K374">
        <f t="shared" ca="1" si="13"/>
        <v>7.109968891348295E-2</v>
      </c>
    </row>
    <row r="375" spans="11:11">
      <c r="K375">
        <f t="shared" ca="1" si="13"/>
        <v>0.65056022959260051</v>
      </c>
    </row>
    <row r="376" spans="11:11">
      <c r="K376">
        <f t="shared" ca="1" si="13"/>
        <v>0.4122760713849376</v>
      </c>
    </row>
    <row r="377" spans="11:11">
      <c r="K377">
        <f t="shared" ca="1" si="13"/>
        <v>0.22236564850143203</v>
      </c>
    </row>
    <row r="378" spans="11:11">
      <c r="K378">
        <f t="shared" ref="K378:K441" ca="1" si="14">RAND()</f>
        <v>0.80389720306323409</v>
      </c>
    </row>
    <row r="379" spans="11:11">
      <c r="K379">
        <f t="shared" ca="1" si="14"/>
        <v>0.24638703196150891</v>
      </c>
    </row>
    <row r="380" spans="11:11">
      <c r="K380">
        <f t="shared" ca="1" si="14"/>
        <v>0.29143005704881642</v>
      </c>
    </row>
    <row r="381" spans="11:11">
      <c r="K381">
        <f t="shared" ca="1" si="14"/>
        <v>0.27666034488266611</v>
      </c>
    </row>
    <row r="382" spans="11:11">
      <c r="K382">
        <f t="shared" ca="1" si="14"/>
        <v>0.44576002672504433</v>
      </c>
    </row>
    <row r="383" spans="11:11">
      <c r="K383">
        <f t="shared" ca="1" si="14"/>
        <v>1.9488465566343649E-2</v>
      </c>
    </row>
    <row r="384" spans="11:11">
      <c r="K384">
        <f t="shared" ca="1" si="14"/>
        <v>0.76681938872404309</v>
      </c>
    </row>
    <row r="385" spans="11:11">
      <c r="K385">
        <f t="shared" ca="1" si="14"/>
        <v>0.63105509791223224</v>
      </c>
    </row>
    <row r="386" spans="11:11">
      <c r="K386">
        <f t="shared" ca="1" si="14"/>
        <v>0.5745716842687183</v>
      </c>
    </row>
    <row r="387" spans="11:11">
      <c r="K387">
        <f t="shared" ca="1" si="14"/>
        <v>0.39971204269862337</v>
      </c>
    </row>
    <row r="388" spans="11:11">
      <c r="K388">
        <f t="shared" ca="1" si="14"/>
        <v>0.83478355383724612</v>
      </c>
    </row>
    <row r="389" spans="11:11">
      <c r="K389">
        <f t="shared" ca="1" si="14"/>
        <v>0.90094242675050484</v>
      </c>
    </row>
    <row r="390" spans="11:11">
      <c r="K390">
        <f t="shared" ca="1" si="14"/>
        <v>0.50014919092872412</v>
      </c>
    </row>
    <row r="391" spans="11:11">
      <c r="K391">
        <f t="shared" ca="1" si="14"/>
        <v>0.77796340465305969</v>
      </c>
    </row>
    <row r="392" spans="11:11">
      <c r="K392">
        <f t="shared" ca="1" si="14"/>
        <v>1.6837090891857809E-2</v>
      </c>
    </row>
    <row r="393" spans="11:11">
      <c r="K393">
        <f t="shared" ca="1" si="14"/>
        <v>0.62213253098101462</v>
      </c>
    </row>
    <row r="394" spans="11:11">
      <c r="K394">
        <f t="shared" ca="1" si="14"/>
        <v>0.5765817021809565</v>
      </c>
    </row>
    <row r="395" spans="11:11">
      <c r="K395">
        <f t="shared" ca="1" si="14"/>
        <v>0.90781542454889763</v>
      </c>
    </row>
    <row r="396" spans="11:11">
      <c r="K396">
        <f t="shared" ca="1" si="14"/>
        <v>0.7679396113789887</v>
      </c>
    </row>
    <row r="397" spans="11:11">
      <c r="K397">
        <f t="shared" ca="1" si="14"/>
        <v>0.34039343971980962</v>
      </c>
    </row>
    <row r="398" spans="11:11">
      <c r="K398">
        <f t="shared" ca="1" si="14"/>
        <v>0.13763016437022313</v>
      </c>
    </row>
    <row r="399" spans="11:11">
      <c r="K399">
        <f t="shared" ca="1" si="14"/>
        <v>0.28523922791342882</v>
      </c>
    </row>
    <row r="400" spans="11:11">
      <c r="K400">
        <f t="shared" ca="1" si="14"/>
        <v>0.91461309638178245</v>
      </c>
    </row>
    <row r="401" spans="11:11">
      <c r="K401">
        <f t="shared" ca="1" si="14"/>
        <v>0.44831358273076649</v>
      </c>
    </row>
    <row r="402" spans="11:11">
      <c r="K402">
        <f t="shared" ca="1" si="14"/>
        <v>0.26483559739908813</v>
      </c>
    </row>
    <row r="403" spans="11:11">
      <c r="K403">
        <f t="shared" ca="1" si="14"/>
        <v>0.198878336756378</v>
      </c>
    </row>
    <row r="404" spans="11:11">
      <c r="K404">
        <f t="shared" ca="1" si="14"/>
        <v>0.10717865450366415</v>
      </c>
    </row>
    <row r="405" spans="11:11">
      <c r="K405">
        <f t="shared" ca="1" si="14"/>
        <v>0.50972176735218877</v>
      </c>
    </row>
    <row r="406" spans="11:11">
      <c r="K406">
        <f t="shared" ca="1" si="14"/>
        <v>0.56213769448380013</v>
      </c>
    </row>
    <row r="407" spans="11:11">
      <c r="K407">
        <f t="shared" ca="1" si="14"/>
        <v>0.61907856115448201</v>
      </c>
    </row>
    <row r="408" spans="11:11">
      <c r="K408">
        <f t="shared" ca="1" si="14"/>
        <v>0.24116712448999067</v>
      </c>
    </row>
    <row r="409" spans="11:11">
      <c r="K409">
        <f t="shared" ca="1" si="14"/>
        <v>0.9267705052987143</v>
      </c>
    </row>
    <row r="410" spans="11:11">
      <c r="K410">
        <f t="shared" ca="1" si="14"/>
        <v>0.10349426946516371</v>
      </c>
    </row>
    <row r="411" spans="11:11">
      <c r="K411">
        <f t="shared" ca="1" si="14"/>
        <v>0.10873839482701042</v>
      </c>
    </row>
    <row r="412" spans="11:11">
      <c r="K412">
        <f t="shared" ca="1" si="14"/>
        <v>0.38743982150650513</v>
      </c>
    </row>
    <row r="413" spans="11:11">
      <c r="K413">
        <f t="shared" ca="1" si="14"/>
        <v>0.17970466160616638</v>
      </c>
    </row>
    <row r="414" spans="11:11">
      <c r="K414">
        <f t="shared" ca="1" si="14"/>
        <v>0.25558744974461867</v>
      </c>
    </row>
    <row r="415" spans="11:11">
      <c r="K415">
        <f t="shared" ca="1" si="14"/>
        <v>0.82599475366941011</v>
      </c>
    </row>
    <row r="416" spans="11:11">
      <c r="K416">
        <f t="shared" ca="1" si="14"/>
        <v>0.60125983398849669</v>
      </c>
    </row>
    <row r="417" spans="11:11">
      <c r="K417">
        <f t="shared" ca="1" si="14"/>
        <v>0.29875701427211898</v>
      </c>
    </row>
    <row r="418" spans="11:11">
      <c r="K418">
        <f t="shared" ca="1" si="14"/>
        <v>0.39850565655848857</v>
      </c>
    </row>
    <row r="419" spans="11:11">
      <c r="K419">
        <f t="shared" ca="1" si="14"/>
        <v>0.56673683690977228</v>
      </c>
    </row>
    <row r="420" spans="11:11">
      <c r="K420">
        <f t="shared" ca="1" si="14"/>
        <v>0.2538196915834654</v>
      </c>
    </row>
    <row r="421" spans="11:11">
      <c r="K421">
        <f t="shared" ca="1" si="14"/>
        <v>0.97332393666143435</v>
      </c>
    </row>
    <row r="422" spans="11:11">
      <c r="K422">
        <f t="shared" ca="1" si="14"/>
        <v>0.25371367275385026</v>
      </c>
    </row>
    <row r="423" spans="11:11">
      <c r="K423">
        <f t="shared" ca="1" si="14"/>
        <v>0.68515279015269126</v>
      </c>
    </row>
    <row r="424" spans="11:11">
      <c r="K424">
        <f t="shared" ca="1" si="14"/>
        <v>0.96700086663851259</v>
      </c>
    </row>
    <row r="425" spans="11:11">
      <c r="K425">
        <f t="shared" ca="1" si="14"/>
        <v>2.6888837333708837E-2</v>
      </c>
    </row>
    <row r="426" spans="11:11">
      <c r="K426">
        <f t="shared" ca="1" si="14"/>
        <v>6.9541524289334244E-2</v>
      </c>
    </row>
    <row r="427" spans="11:11">
      <c r="K427">
        <f t="shared" ca="1" si="14"/>
        <v>0.92975862615235338</v>
      </c>
    </row>
    <row r="428" spans="11:11">
      <c r="K428">
        <f t="shared" ca="1" si="14"/>
        <v>0.5061930685895597</v>
      </c>
    </row>
    <row r="429" spans="11:11">
      <c r="K429">
        <f t="shared" ca="1" si="14"/>
        <v>0.41175106622410329</v>
      </c>
    </row>
    <row r="430" spans="11:11">
      <c r="K430">
        <f t="shared" ca="1" si="14"/>
        <v>0.6418853577245367</v>
      </c>
    </row>
    <row r="431" spans="11:11">
      <c r="K431">
        <f t="shared" ca="1" si="14"/>
        <v>0.51910507421992991</v>
      </c>
    </row>
    <row r="432" spans="11:11">
      <c r="K432">
        <f t="shared" ca="1" si="14"/>
        <v>0.19877369888950525</v>
      </c>
    </row>
    <row r="433" spans="11:11">
      <c r="K433">
        <f t="shared" ca="1" si="14"/>
        <v>3.7910177883430762E-2</v>
      </c>
    </row>
    <row r="434" spans="11:11">
      <c r="K434">
        <f t="shared" ca="1" si="14"/>
        <v>4.3350490893922178E-2</v>
      </c>
    </row>
    <row r="435" spans="11:11">
      <c r="K435">
        <f t="shared" ca="1" si="14"/>
        <v>1.3453972978247464E-2</v>
      </c>
    </row>
    <row r="436" spans="11:11">
      <c r="K436">
        <f t="shared" ca="1" si="14"/>
        <v>0.55327341854769152</v>
      </c>
    </row>
    <row r="437" spans="11:11">
      <c r="K437">
        <f t="shared" ca="1" si="14"/>
        <v>0.24915565252241567</v>
      </c>
    </row>
    <row r="438" spans="11:11">
      <c r="K438">
        <f t="shared" ca="1" si="14"/>
        <v>0.97186228693335508</v>
      </c>
    </row>
    <row r="439" spans="11:11">
      <c r="K439">
        <f t="shared" ca="1" si="14"/>
        <v>0.79385076896828277</v>
      </c>
    </row>
    <row r="440" spans="11:11">
      <c r="K440">
        <f t="shared" ca="1" si="14"/>
        <v>0.79566129587481971</v>
      </c>
    </row>
    <row r="441" spans="11:11">
      <c r="K441">
        <f t="shared" ca="1" si="14"/>
        <v>0.52554116840036258</v>
      </c>
    </row>
    <row r="442" spans="11:11">
      <c r="K442">
        <f t="shared" ref="K442:K505" ca="1" si="15">RAND()</f>
        <v>0.91580130974497731</v>
      </c>
    </row>
    <row r="443" spans="11:11">
      <c r="K443">
        <f t="shared" ca="1" si="15"/>
        <v>3.9905607986971958E-2</v>
      </c>
    </row>
    <row r="444" spans="11:11">
      <c r="K444">
        <f t="shared" ca="1" si="15"/>
        <v>0.1960908593179207</v>
      </c>
    </row>
    <row r="445" spans="11:11">
      <c r="K445">
        <f t="shared" ca="1" si="15"/>
        <v>0.2991006832891685</v>
      </c>
    </row>
    <row r="446" spans="11:11">
      <c r="K446">
        <f t="shared" ca="1" si="15"/>
        <v>0.68846170141883345</v>
      </c>
    </row>
    <row r="447" spans="11:11">
      <c r="K447">
        <f t="shared" ca="1" si="15"/>
        <v>0.34963056173758478</v>
      </c>
    </row>
    <row r="448" spans="11:11">
      <c r="K448">
        <f t="shared" ca="1" si="15"/>
        <v>0.58179751652198797</v>
      </c>
    </row>
    <row r="449" spans="11:11">
      <c r="K449">
        <f t="shared" ca="1" si="15"/>
        <v>0.59296191195611847</v>
      </c>
    </row>
    <row r="450" spans="11:11">
      <c r="K450">
        <f t="shared" ca="1" si="15"/>
        <v>0.9461982763512724</v>
      </c>
    </row>
    <row r="451" spans="11:11">
      <c r="K451">
        <f t="shared" ca="1" si="15"/>
        <v>0.72056024107677197</v>
      </c>
    </row>
    <row r="452" spans="11:11">
      <c r="K452">
        <f t="shared" ca="1" si="15"/>
        <v>0.7796193719908171</v>
      </c>
    </row>
    <row r="453" spans="11:11">
      <c r="K453">
        <f t="shared" ca="1" si="15"/>
        <v>0.29766811542627014</v>
      </c>
    </row>
    <row r="454" spans="11:11">
      <c r="K454">
        <f t="shared" ca="1" si="15"/>
        <v>0.499074834681146</v>
      </c>
    </row>
    <row r="455" spans="11:11">
      <c r="K455">
        <f t="shared" ca="1" si="15"/>
        <v>0.23900224782460278</v>
      </c>
    </row>
    <row r="456" spans="11:11">
      <c r="K456">
        <f t="shared" ca="1" si="15"/>
        <v>0.53266325162526318</v>
      </c>
    </row>
    <row r="457" spans="11:11">
      <c r="K457">
        <f t="shared" ca="1" si="15"/>
        <v>0.6969414619824299</v>
      </c>
    </row>
    <row r="458" spans="11:11">
      <c r="K458">
        <f t="shared" ca="1" si="15"/>
        <v>0.83663890125852358</v>
      </c>
    </row>
    <row r="459" spans="11:11">
      <c r="K459">
        <f t="shared" ca="1" si="15"/>
        <v>3.9635257648793498E-3</v>
      </c>
    </row>
    <row r="460" spans="11:11">
      <c r="K460">
        <f t="shared" ca="1" si="15"/>
        <v>0.86750230163993791</v>
      </c>
    </row>
    <row r="461" spans="11:11">
      <c r="K461">
        <f t="shared" ca="1" si="15"/>
        <v>0.75505295126422856</v>
      </c>
    </row>
    <row r="462" spans="11:11">
      <c r="K462">
        <f t="shared" ca="1" si="15"/>
        <v>0.79151988275274077</v>
      </c>
    </row>
    <row r="463" spans="11:11">
      <c r="K463">
        <f t="shared" ca="1" si="15"/>
        <v>0.4450608919989385</v>
      </c>
    </row>
    <row r="464" spans="11:11">
      <c r="K464">
        <f t="shared" ca="1" si="15"/>
        <v>0.46036752182755603</v>
      </c>
    </row>
    <row r="465" spans="11:11">
      <c r="K465">
        <f t="shared" ca="1" si="15"/>
        <v>0.6097425448612892</v>
      </c>
    </row>
    <row r="466" spans="11:11">
      <c r="K466">
        <f t="shared" ca="1" si="15"/>
        <v>0.309128944017246</v>
      </c>
    </row>
    <row r="467" spans="11:11">
      <c r="K467">
        <f t="shared" ca="1" si="15"/>
        <v>0.32584853592132657</v>
      </c>
    </row>
    <row r="468" spans="11:11">
      <c r="K468">
        <f t="shared" ca="1" si="15"/>
        <v>0.77660576559078187</v>
      </c>
    </row>
    <row r="469" spans="11:11">
      <c r="K469">
        <f t="shared" ca="1" si="15"/>
        <v>0.85643710564373965</v>
      </c>
    </row>
    <row r="470" spans="11:11">
      <c r="K470">
        <f t="shared" ca="1" si="15"/>
        <v>7.0431465849782882E-2</v>
      </c>
    </row>
    <row r="471" spans="11:11">
      <c r="K471">
        <f t="shared" ca="1" si="15"/>
        <v>8.8084831515025108E-2</v>
      </c>
    </row>
    <row r="472" spans="11:11">
      <c r="K472">
        <f t="shared" ca="1" si="15"/>
        <v>0.34645049131840544</v>
      </c>
    </row>
    <row r="473" spans="11:11">
      <c r="K473">
        <f t="shared" ca="1" si="15"/>
        <v>0.83973272407351374</v>
      </c>
    </row>
    <row r="474" spans="11:11">
      <c r="K474">
        <f t="shared" ca="1" si="15"/>
        <v>0.23396580446523085</v>
      </c>
    </row>
    <row r="475" spans="11:11">
      <c r="K475">
        <f t="shared" ca="1" si="15"/>
        <v>0.48587198006119969</v>
      </c>
    </row>
    <row r="476" spans="11:11">
      <c r="K476">
        <f t="shared" ca="1" si="15"/>
        <v>0.61123073876928413</v>
      </c>
    </row>
    <row r="477" spans="11:11">
      <c r="K477">
        <f t="shared" ca="1" si="15"/>
        <v>0.74963183065716121</v>
      </c>
    </row>
    <row r="478" spans="11:11">
      <c r="K478">
        <f t="shared" ca="1" si="15"/>
        <v>0.33559156425523962</v>
      </c>
    </row>
    <row r="479" spans="11:11">
      <c r="K479">
        <f t="shared" ca="1" si="15"/>
        <v>0.68964557262752013</v>
      </c>
    </row>
    <row r="480" spans="11:11">
      <c r="K480">
        <f t="shared" ca="1" si="15"/>
        <v>0.10540415299944805</v>
      </c>
    </row>
    <row r="481" spans="11:11">
      <c r="K481">
        <f t="shared" ca="1" si="15"/>
        <v>0.56140578182271095</v>
      </c>
    </row>
    <row r="482" spans="11:11">
      <c r="K482">
        <f t="shared" ca="1" si="15"/>
        <v>0.40063213848734325</v>
      </c>
    </row>
    <row r="483" spans="11:11">
      <c r="K483">
        <f t="shared" ca="1" si="15"/>
        <v>0.85475365998462771</v>
      </c>
    </row>
    <row r="484" spans="11:11">
      <c r="K484">
        <f t="shared" ca="1" si="15"/>
        <v>0.21654293352695997</v>
      </c>
    </row>
    <row r="485" spans="11:11">
      <c r="K485">
        <f t="shared" ca="1" si="15"/>
        <v>0.29496940488807954</v>
      </c>
    </row>
    <row r="486" spans="11:11">
      <c r="K486">
        <f t="shared" ca="1" si="15"/>
        <v>0.84230993251301811</v>
      </c>
    </row>
    <row r="487" spans="11:11">
      <c r="K487">
        <f t="shared" ca="1" si="15"/>
        <v>0.51558886508262258</v>
      </c>
    </row>
    <row r="488" spans="11:11">
      <c r="K488">
        <f t="shared" ca="1" si="15"/>
        <v>0.84380180472160227</v>
      </c>
    </row>
    <row r="489" spans="11:11">
      <c r="K489">
        <f t="shared" ca="1" si="15"/>
        <v>0.74924092801223185</v>
      </c>
    </row>
    <row r="490" spans="11:11">
      <c r="K490">
        <f t="shared" ca="1" si="15"/>
        <v>0.68456705053322153</v>
      </c>
    </row>
    <row r="491" spans="11:11">
      <c r="K491">
        <f t="shared" ca="1" si="15"/>
        <v>0.8465163020169717</v>
      </c>
    </row>
    <row r="492" spans="11:11">
      <c r="K492">
        <f t="shared" ca="1" si="15"/>
        <v>0.21050367110944834</v>
      </c>
    </row>
    <row r="493" spans="11:11">
      <c r="K493">
        <f t="shared" ca="1" si="15"/>
        <v>0.63071975869307595</v>
      </c>
    </row>
    <row r="494" spans="11:11">
      <c r="K494">
        <f t="shared" ca="1" si="15"/>
        <v>0.11833119974925088</v>
      </c>
    </row>
    <row r="495" spans="11:11">
      <c r="K495">
        <f t="shared" ca="1" si="15"/>
        <v>0.94010237186098644</v>
      </c>
    </row>
    <row r="496" spans="11:11">
      <c r="K496">
        <f t="shared" ca="1" si="15"/>
        <v>0.78529784995523411</v>
      </c>
    </row>
    <row r="497" spans="11:11">
      <c r="K497">
        <f t="shared" ca="1" si="15"/>
        <v>0.97588271986738384</v>
      </c>
    </row>
    <row r="498" spans="11:11">
      <c r="K498">
        <f t="shared" ca="1" si="15"/>
        <v>0.97377549707994948</v>
      </c>
    </row>
    <row r="499" spans="11:11">
      <c r="K499">
        <f t="shared" ca="1" si="15"/>
        <v>7.1336645206301341E-3</v>
      </c>
    </row>
    <row r="500" spans="11:11">
      <c r="K500">
        <f t="shared" ca="1" si="15"/>
        <v>0.98378208884606533</v>
      </c>
    </row>
    <row r="501" spans="11:11">
      <c r="K501">
        <f t="shared" ca="1" si="15"/>
        <v>0.89970094401407352</v>
      </c>
    </row>
    <row r="502" spans="11:11">
      <c r="K502">
        <f t="shared" ca="1" si="15"/>
        <v>0.58245849108057146</v>
      </c>
    </row>
    <row r="503" spans="11:11">
      <c r="K503">
        <f t="shared" ca="1" si="15"/>
        <v>0.68078724795729695</v>
      </c>
    </row>
    <row r="504" spans="11:11">
      <c r="K504">
        <f t="shared" ca="1" si="15"/>
        <v>0.73488134511891268</v>
      </c>
    </row>
    <row r="505" spans="11:11">
      <c r="K505">
        <f t="shared" ca="1" si="15"/>
        <v>0.82541489809759216</v>
      </c>
    </row>
    <row r="506" spans="11:11">
      <c r="K506">
        <f t="shared" ref="K506:K569" ca="1" si="16">RAND()</f>
        <v>0.61956724365525417</v>
      </c>
    </row>
    <row r="507" spans="11:11">
      <c r="K507">
        <f t="shared" ca="1" si="16"/>
        <v>0.80912538099645115</v>
      </c>
    </row>
    <row r="508" spans="11:11">
      <c r="K508">
        <f t="shared" ca="1" si="16"/>
        <v>0.83300076487643993</v>
      </c>
    </row>
    <row r="509" spans="11:11">
      <c r="K509">
        <f t="shared" ca="1" si="16"/>
        <v>6.9207597916385755E-2</v>
      </c>
    </row>
    <row r="510" spans="11:11">
      <c r="K510">
        <f t="shared" ca="1" si="16"/>
        <v>0.44589943904102625</v>
      </c>
    </row>
    <row r="511" spans="11:11">
      <c r="K511">
        <f t="shared" ca="1" si="16"/>
        <v>0.54484519846957546</v>
      </c>
    </row>
    <row r="512" spans="11:11">
      <c r="K512">
        <f t="shared" ca="1" si="16"/>
        <v>0.56906291200497794</v>
      </c>
    </row>
    <row r="513" spans="11:11">
      <c r="K513">
        <f t="shared" ca="1" si="16"/>
        <v>0.77845430612260813</v>
      </c>
    </row>
    <row r="514" spans="11:11">
      <c r="K514">
        <f t="shared" ca="1" si="16"/>
        <v>2.1337245096971991E-2</v>
      </c>
    </row>
    <row r="515" spans="11:11">
      <c r="K515">
        <f t="shared" ca="1" si="16"/>
        <v>9.5326150504154938E-2</v>
      </c>
    </row>
    <row r="516" spans="11:11">
      <c r="K516">
        <f t="shared" ca="1" si="16"/>
        <v>0.68969116020457588</v>
      </c>
    </row>
    <row r="517" spans="11:11">
      <c r="K517">
        <f t="shared" ca="1" si="16"/>
        <v>0.82534387551027688</v>
      </c>
    </row>
    <row r="518" spans="11:11">
      <c r="K518">
        <f t="shared" ca="1" si="16"/>
        <v>0.27719670899241877</v>
      </c>
    </row>
    <row r="519" spans="11:11">
      <c r="K519">
        <f t="shared" ca="1" si="16"/>
        <v>0.21515186491707583</v>
      </c>
    </row>
    <row r="520" spans="11:11">
      <c r="K520">
        <f t="shared" ca="1" si="16"/>
        <v>0.11899073774717905</v>
      </c>
    </row>
    <row r="521" spans="11:11">
      <c r="K521">
        <f t="shared" ca="1" si="16"/>
        <v>0.40172113296388479</v>
      </c>
    </row>
    <row r="522" spans="11:11">
      <c r="K522">
        <f t="shared" ca="1" si="16"/>
        <v>0.21128239853524367</v>
      </c>
    </row>
    <row r="523" spans="11:11">
      <c r="K523">
        <f t="shared" ca="1" si="16"/>
        <v>0.37871632271301436</v>
      </c>
    </row>
    <row r="524" spans="11:11">
      <c r="K524">
        <f t="shared" ca="1" si="16"/>
        <v>9.2705062958940987E-2</v>
      </c>
    </row>
    <row r="525" spans="11:11">
      <c r="K525">
        <f t="shared" ca="1" si="16"/>
        <v>0.33524458698469761</v>
      </c>
    </row>
    <row r="526" spans="11:11">
      <c r="K526">
        <f t="shared" ca="1" si="16"/>
        <v>0.6640308525418952</v>
      </c>
    </row>
    <row r="527" spans="11:11">
      <c r="K527">
        <f t="shared" ca="1" si="16"/>
        <v>0.54148483204396247</v>
      </c>
    </row>
    <row r="528" spans="11:11">
      <c r="K528">
        <f t="shared" ca="1" si="16"/>
        <v>0.66237775324562853</v>
      </c>
    </row>
    <row r="529" spans="11:11">
      <c r="K529">
        <f t="shared" ca="1" si="16"/>
        <v>0.30405328679966104</v>
      </c>
    </row>
    <row r="530" spans="11:11">
      <c r="K530">
        <f t="shared" ca="1" si="16"/>
        <v>0.45711023245956195</v>
      </c>
    </row>
    <row r="531" spans="11:11">
      <c r="K531">
        <f t="shared" ca="1" si="16"/>
        <v>0.98815316754975258</v>
      </c>
    </row>
    <row r="532" spans="11:11">
      <c r="K532">
        <f t="shared" ca="1" si="16"/>
        <v>0.13896841231854795</v>
      </c>
    </row>
    <row r="533" spans="11:11">
      <c r="K533">
        <f t="shared" ca="1" si="16"/>
        <v>0.76870012483084427</v>
      </c>
    </row>
    <row r="534" spans="11:11">
      <c r="K534">
        <f t="shared" ca="1" si="16"/>
        <v>8.4525249421389725E-2</v>
      </c>
    </row>
    <row r="535" spans="11:11">
      <c r="K535">
        <f t="shared" ca="1" si="16"/>
        <v>0.7938066422079495</v>
      </c>
    </row>
    <row r="536" spans="11:11">
      <c r="K536">
        <f t="shared" ca="1" si="16"/>
        <v>0.68488136283746193</v>
      </c>
    </row>
    <row r="537" spans="11:11">
      <c r="K537">
        <f t="shared" ca="1" si="16"/>
        <v>0.54536427279245459</v>
      </c>
    </row>
    <row r="538" spans="11:11">
      <c r="K538">
        <f t="shared" ca="1" si="16"/>
        <v>0.57335722746511242</v>
      </c>
    </row>
    <row r="539" spans="11:11">
      <c r="K539">
        <f t="shared" ca="1" si="16"/>
        <v>3.6170103991751468E-2</v>
      </c>
    </row>
    <row r="540" spans="11:11">
      <c r="K540">
        <f t="shared" ca="1" si="16"/>
        <v>0.60374012348867745</v>
      </c>
    </row>
    <row r="541" spans="11:11">
      <c r="K541">
        <f t="shared" ca="1" si="16"/>
        <v>0.46962251144055722</v>
      </c>
    </row>
    <row r="542" spans="11:11">
      <c r="K542">
        <f t="shared" ca="1" si="16"/>
        <v>0.92496628924070357</v>
      </c>
    </row>
    <row r="543" spans="11:11">
      <c r="K543">
        <f t="shared" ca="1" si="16"/>
        <v>0.3117174183726803</v>
      </c>
    </row>
    <row r="544" spans="11:11">
      <c r="K544">
        <f t="shared" ca="1" si="16"/>
        <v>0.75516400174754783</v>
      </c>
    </row>
    <row r="545" spans="11:11">
      <c r="K545">
        <f t="shared" ca="1" si="16"/>
        <v>0.49376646485993225</v>
      </c>
    </row>
    <row r="546" spans="11:11">
      <c r="K546">
        <f t="shared" ca="1" si="16"/>
        <v>0.12730254310406397</v>
      </c>
    </row>
    <row r="547" spans="11:11">
      <c r="K547">
        <f t="shared" ca="1" si="16"/>
        <v>0.45487634595875104</v>
      </c>
    </row>
    <row r="548" spans="11:11">
      <c r="K548">
        <f t="shared" ca="1" si="16"/>
        <v>0.81761986867669201</v>
      </c>
    </row>
    <row r="549" spans="11:11">
      <c r="K549">
        <f t="shared" ca="1" si="16"/>
        <v>0.16231673900979704</v>
      </c>
    </row>
    <row r="550" spans="11:11">
      <c r="K550">
        <f t="shared" ca="1" si="16"/>
        <v>0.85862619908971283</v>
      </c>
    </row>
    <row r="551" spans="11:11">
      <c r="K551">
        <f t="shared" ca="1" si="16"/>
        <v>0.48970102265436144</v>
      </c>
    </row>
    <row r="552" spans="11:11">
      <c r="K552">
        <f t="shared" ca="1" si="16"/>
        <v>1.437405589321461E-2</v>
      </c>
    </row>
    <row r="553" spans="11:11">
      <c r="K553">
        <f t="shared" ca="1" si="16"/>
        <v>0.40235806933145568</v>
      </c>
    </row>
    <row r="554" spans="11:11">
      <c r="K554">
        <f t="shared" ca="1" si="16"/>
        <v>0.51054593245381152</v>
      </c>
    </row>
    <row r="555" spans="11:11">
      <c r="K555">
        <f t="shared" ca="1" si="16"/>
        <v>0.75016081685242342</v>
      </c>
    </row>
    <row r="556" spans="11:11">
      <c r="K556">
        <f t="shared" ca="1" si="16"/>
        <v>6.1098685721216128E-2</v>
      </c>
    </row>
    <row r="557" spans="11:11">
      <c r="K557">
        <f t="shared" ca="1" si="16"/>
        <v>0.77968797707009596</v>
      </c>
    </row>
    <row r="558" spans="11:11">
      <c r="K558">
        <f t="shared" ca="1" si="16"/>
        <v>0.23286275306715809</v>
      </c>
    </row>
    <row r="559" spans="11:11">
      <c r="K559">
        <f t="shared" ca="1" si="16"/>
        <v>0.18595217934913677</v>
      </c>
    </row>
    <row r="560" spans="11:11">
      <c r="K560">
        <f t="shared" ca="1" si="16"/>
        <v>0.20804818812100745</v>
      </c>
    </row>
    <row r="561" spans="11:11">
      <c r="K561">
        <f t="shared" ca="1" si="16"/>
        <v>3.8434891179095487E-2</v>
      </c>
    </row>
    <row r="562" spans="11:11">
      <c r="K562">
        <f t="shared" ca="1" si="16"/>
        <v>0.91833933317688587</v>
      </c>
    </row>
    <row r="563" spans="11:11">
      <c r="K563">
        <f t="shared" ca="1" si="16"/>
        <v>0.61518567231997023</v>
      </c>
    </row>
    <row r="564" spans="11:11">
      <c r="K564">
        <f t="shared" ca="1" si="16"/>
        <v>0.68036821322092367</v>
      </c>
    </row>
    <row r="565" spans="11:11">
      <c r="K565">
        <f t="shared" ca="1" si="16"/>
        <v>0.16820186494742817</v>
      </c>
    </row>
    <row r="566" spans="11:11">
      <c r="K566">
        <f t="shared" ca="1" si="16"/>
        <v>0.1108419856499907</v>
      </c>
    </row>
    <row r="567" spans="11:11">
      <c r="K567">
        <f t="shared" ca="1" si="16"/>
        <v>0.35350638790799405</v>
      </c>
    </row>
    <row r="568" spans="11:11">
      <c r="K568">
        <f t="shared" ca="1" si="16"/>
        <v>0.16937026135861011</v>
      </c>
    </row>
    <row r="569" spans="11:11">
      <c r="K569">
        <f t="shared" ca="1" si="16"/>
        <v>0.18444347409645179</v>
      </c>
    </row>
    <row r="570" spans="11:11">
      <c r="K570">
        <f t="shared" ref="K570:K633" ca="1" si="17">RAND()</f>
        <v>0.52496083404947691</v>
      </c>
    </row>
    <row r="571" spans="11:11">
      <c r="K571">
        <f t="shared" ca="1" si="17"/>
        <v>0.81571649767955101</v>
      </c>
    </row>
    <row r="572" spans="11:11">
      <c r="K572">
        <f t="shared" ca="1" si="17"/>
        <v>0.89580785040237831</v>
      </c>
    </row>
    <row r="573" spans="11:11">
      <c r="K573">
        <f t="shared" ca="1" si="17"/>
        <v>0.6360642084394359</v>
      </c>
    </row>
    <row r="574" spans="11:11">
      <c r="K574">
        <f t="shared" ca="1" si="17"/>
        <v>0.1947328442656957</v>
      </c>
    </row>
    <row r="575" spans="11:11">
      <c r="K575">
        <f t="shared" ca="1" si="17"/>
        <v>3.2963048437339992E-3</v>
      </c>
    </row>
    <row r="576" spans="11:11">
      <c r="K576">
        <f t="shared" ca="1" si="17"/>
        <v>0.66795586884131364</v>
      </c>
    </row>
    <row r="577" spans="11:11">
      <c r="K577">
        <f t="shared" ca="1" si="17"/>
        <v>0.95199284531037343</v>
      </c>
    </row>
    <row r="578" spans="11:11">
      <c r="K578">
        <f t="shared" ca="1" si="17"/>
        <v>0.91257371117286579</v>
      </c>
    </row>
    <row r="579" spans="11:11">
      <c r="K579">
        <f t="shared" ca="1" si="17"/>
        <v>0.18732162674291253</v>
      </c>
    </row>
    <row r="580" spans="11:11">
      <c r="K580">
        <f t="shared" ca="1" si="17"/>
        <v>0.49931709113315215</v>
      </c>
    </row>
    <row r="581" spans="11:11">
      <c r="K581">
        <f t="shared" ca="1" si="17"/>
        <v>0.77371033811472234</v>
      </c>
    </row>
    <row r="582" spans="11:11">
      <c r="K582">
        <f t="shared" ca="1" si="17"/>
        <v>0.1650858229302905</v>
      </c>
    </row>
    <row r="583" spans="11:11">
      <c r="K583">
        <f t="shared" ca="1" si="17"/>
        <v>0.38132750134324933</v>
      </c>
    </row>
    <row r="584" spans="11:11">
      <c r="K584">
        <f t="shared" ca="1" si="17"/>
        <v>0.48018539682680927</v>
      </c>
    </row>
    <row r="585" spans="11:11">
      <c r="K585">
        <f t="shared" ca="1" si="17"/>
        <v>0.44471602854383385</v>
      </c>
    </row>
    <row r="586" spans="11:11">
      <c r="K586">
        <f t="shared" ca="1" si="17"/>
        <v>0.90074220289363005</v>
      </c>
    </row>
    <row r="587" spans="11:11">
      <c r="K587">
        <f t="shared" ca="1" si="17"/>
        <v>0.40775180835474711</v>
      </c>
    </row>
    <row r="588" spans="11:11">
      <c r="K588">
        <f t="shared" ca="1" si="17"/>
        <v>0.1973588590474753</v>
      </c>
    </row>
    <row r="589" spans="11:11">
      <c r="K589">
        <f t="shared" ca="1" si="17"/>
        <v>0.29352546145379499</v>
      </c>
    </row>
    <row r="590" spans="11:11">
      <c r="K590">
        <f t="shared" ca="1" si="17"/>
        <v>0.33807467694990945</v>
      </c>
    </row>
    <row r="591" spans="11:11">
      <c r="K591">
        <f t="shared" ca="1" si="17"/>
        <v>0.65743312335474924</v>
      </c>
    </row>
    <row r="592" spans="11:11">
      <c r="K592">
        <f t="shared" ca="1" si="17"/>
        <v>0.69779611352187398</v>
      </c>
    </row>
    <row r="593" spans="11:11">
      <c r="K593">
        <f t="shared" ca="1" si="17"/>
        <v>0.84476842421747245</v>
      </c>
    </row>
    <row r="594" spans="11:11">
      <c r="K594">
        <f t="shared" ca="1" si="17"/>
        <v>0.10274396280410114</v>
      </c>
    </row>
    <row r="595" spans="11:11">
      <c r="K595">
        <f t="shared" ca="1" si="17"/>
        <v>0.32386414928024765</v>
      </c>
    </row>
    <row r="596" spans="11:11">
      <c r="K596">
        <f t="shared" ca="1" si="17"/>
        <v>0.50501806371114233</v>
      </c>
    </row>
    <row r="597" spans="11:11">
      <c r="K597">
        <f t="shared" ca="1" si="17"/>
        <v>0.56488649364309285</v>
      </c>
    </row>
    <row r="598" spans="11:11">
      <c r="K598">
        <f t="shared" ca="1" si="17"/>
        <v>9.2011051953336143E-2</v>
      </c>
    </row>
    <row r="599" spans="11:11">
      <c r="K599">
        <f t="shared" ca="1" si="17"/>
        <v>0.18060859206800806</v>
      </c>
    </row>
    <row r="600" spans="11:11">
      <c r="K600">
        <f t="shared" ca="1" si="17"/>
        <v>0.26192194165211191</v>
      </c>
    </row>
    <row r="601" spans="11:11">
      <c r="K601">
        <f t="shared" ca="1" si="17"/>
        <v>0.97928558861738235</v>
      </c>
    </row>
    <row r="602" spans="11:11">
      <c r="K602">
        <f t="shared" ca="1" si="17"/>
        <v>0.63973220413319787</v>
      </c>
    </row>
    <row r="603" spans="11:11">
      <c r="K603">
        <f t="shared" ca="1" si="17"/>
        <v>0.75832960440452024</v>
      </c>
    </row>
    <row r="604" spans="11:11">
      <c r="K604">
        <f t="shared" ca="1" si="17"/>
        <v>0.59835615323436597</v>
      </c>
    </row>
    <row r="605" spans="11:11">
      <c r="K605">
        <f t="shared" ca="1" si="17"/>
        <v>0.2414058348104724</v>
      </c>
    </row>
    <row r="606" spans="11:11">
      <c r="K606">
        <f t="shared" ca="1" si="17"/>
        <v>0.43277229333507794</v>
      </c>
    </row>
    <row r="607" spans="11:11">
      <c r="K607">
        <f t="shared" ca="1" si="17"/>
        <v>0.8692943353676128</v>
      </c>
    </row>
    <row r="608" spans="11:11">
      <c r="K608">
        <f t="shared" ca="1" si="17"/>
        <v>6.2313254443796318E-2</v>
      </c>
    </row>
    <row r="609" spans="11:11">
      <c r="K609">
        <f t="shared" ca="1" si="17"/>
        <v>0.10738186636148783</v>
      </c>
    </row>
    <row r="610" spans="11:11">
      <c r="K610">
        <f t="shared" ca="1" si="17"/>
        <v>0.48330882685479182</v>
      </c>
    </row>
    <row r="611" spans="11:11">
      <c r="K611">
        <f t="shared" ca="1" si="17"/>
        <v>0.96569696903296109</v>
      </c>
    </row>
    <row r="612" spans="11:11">
      <c r="K612">
        <f t="shared" ca="1" si="17"/>
        <v>0.97302443133910987</v>
      </c>
    </row>
    <row r="613" spans="11:11">
      <c r="K613">
        <f t="shared" ca="1" si="17"/>
        <v>0.25405540490309519</v>
      </c>
    </row>
    <row r="614" spans="11:11">
      <c r="K614">
        <f t="shared" ca="1" si="17"/>
        <v>0.81622172425546968</v>
      </c>
    </row>
    <row r="615" spans="11:11">
      <c r="K615">
        <f t="shared" ca="1" si="17"/>
        <v>0.14596907801253911</v>
      </c>
    </row>
    <row r="616" spans="11:11">
      <c r="K616">
        <f t="shared" ca="1" si="17"/>
        <v>0.94873870278974937</v>
      </c>
    </row>
    <row r="617" spans="11:11">
      <c r="K617">
        <f t="shared" ca="1" si="17"/>
        <v>0.25110936383935734</v>
      </c>
    </row>
    <row r="618" spans="11:11">
      <c r="K618">
        <f t="shared" ca="1" si="17"/>
        <v>0.85194582946735609</v>
      </c>
    </row>
    <row r="619" spans="11:11">
      <c r="K619">
        <f t="shared" ca="1" si="17"/>
        <v>0.13867283577630829</v>
      </c>
    </row>
    <row r="620" spans="11:11">
      <c r="K620">
        <f t="shared" ca="1" si="17"/>
        <v>0.99293763120315437</v>
      </c>
    </row>
    <row r="621" spans="11:11">
      <c r="K621">
        <f t="shared" ca="1" si="17"/>
        <v>0.27582482666993746</v>
      </c>
    </row>
    <row r="622" spans="11:11">
      <c r="K622">
        <f t="shared" ca="1" si="17"/>
        <v>0.2949367659699389</v>
      </c>
    </row>
    <row r="623" spans="11:11">
      <c r="K623">
        <f t="shared" ca="1" si="17"/>
        <v>0.12648337164956502</v>
      </c>
    </row>
    <row r="624" spans="11:11">
      <c r="K624">
        <f t="shared" ca="1" si="17"/>
        <v>0.74731766720135484</v>
      </c>
    </row>
    <row r="625" spans="11:11">
      <c r="K625">
        <f t="shared" ca="1" si="17"/>
        <v>0.65796934485294134</v>
      </c>
    </row>
    <row r="626" spans="11:11">
      <c r="K626">
        <f t="shared" ca="1" si="17"/>
        <v>0.60852600411939428</v>
      </c>
    </row>
    <row r="627" spans="11:11">
      <c r="K627">
        <f t="shared" ca="1" si="17"/>
        <v>0.22436871689517157</v>
      </c>
    </row>
    <row r="628" spans="11:11">
      <c r="K628">
        <f t="shared" ca="1" si="17"/>
        <v>0.32465688736960718</v>
      </c>
    </row>
    <row r="629" spans="11:11">
      <c r="K629">
        <f t="shared" ca="1" si="17"/>
        <v>0.65178556888533734</v>
      </c>
    </row>
    <row r="630" spans="11:11">
      <c r="K630">
        <f t="shared" ca="1" si="17"/>
        <v>0.95926098497802603</v>
      </c>
    </row>
    <row r="631" spans="11:11">
      <c r="K631">
        <f t="shared" ca="1" si="17"/>
        <v>0.33750368947526344</v>
      </c>
    </row>
    <row r="632" spans="11:11">
      <c r="K632">
        <f t="shared" ca="1" si="17"/>
        <v>7.6433653637927534E-2</v>
      </c>
    </row>
    <row r="633" spans="11:11">
      <c r="K633">
        <f t="shared" ca="1" si="17"/>
        <v>0.96889452063201564</v>
      </c>
    </row>
    <row r="634" spans="11:11">
      <c r="K634">
        <f t="shared" ref="K634:K697" ca="1" si="18">RAND()</f>
        <v>0.14743314877512947</v>
      </c>
    </row>
    <row r="635" spans="11:11">
      <c r="K635">
        <f t="shared" ca="1" si="18"/>
        <v>0.45175671590160249</v>
      </c>
    </row>
    <row r="636" spans="11:11">
      <c r="K636">
        <f t="shared" ca="1" si="18"/>
        <v>0.36069958878955344</v>
      </c>
    </row>
    <row r="637" spans="11:11">
      <c r="K637">
        <f t="shared" ca="1" si="18"/>
        <v>0.35367949432124313</v>
      </c>
    </row>
    <row r="638" spans="11:11">
      <c r="K638">
        <f t="shared" ca="1" si="18"/>
        <v>0.91169480679243731</v>
      </c>
    </row>
    <row r="639" spans="11:11">
      <c r="K639">
        <f t="shared" ca="1" si="18"/>
        <v>0.65526731853769871</v>
      </c>
    </row>
    <row r="640" spans="11:11">
      <c r="K640">
        <f t="shared" ca="1" si="18"/>
        <v>0.76657800028524492</v>
      </c>
    </row>
    <row r="641" spans="11:11">
      <c r="K641">
        <f t="shared" ca="1" si="18"/>
        <v>0.40289859529562166</v>
      </c>
    </row>
    <row r="642" spans="11:11">
      <c r="K642">
        <f t="shared" ca="1" si="18"/>
        <v>0.95486050906582198</v>
      </c>
    </row>
    <row r="643" spans="11:11">
      <c r="K643">
        <f t="shared" ca="1" si="18"/>
        <v>0.93002170470534895</v>
      </c>
    </row>
    <row r="644" spans="11:11">
      <c r="K644">
        <f t="shared" ca="1" si="18"/>
        <v>0.9294232209530362</v>
      </c>
    </row>
    <row r="645" spans="11:11">
      <c r="K645">
        <f t="shared" ca="1" si="18"/>
        <v>4.8455062809710014E-2</v>
      </c>
    </row>
    <row r="646" spans="11:11">
      <c r="K646">
        <f t="shared" ca="1" si="18"/>
        <v>0.16970250857050684</v>
      </c>
    </row>
    <row r="647" spans="11:11">
      <c r="K647">
        <f t="shared" ca="1" si="18"/>
        <v>0.3933021184707739</v>
      </c>
    </row>
    <row r="648" spans="11:11">
      <c r="K648">
        <f t="shared" ca="1" si="18"/>
        <v>0.32972098389805105</v>
      </c>
    </row>
    <row r="649" spans="11:11">
      <c r="K649">
        <f t="shared" ca="1" si="18"/>
        <v>0.73356803126035186</v>
      </c>
    </row>
    <row r="650" spans="11:11">
      <c r="K650">
        <f t="shared" ca="1" si="18"/>
        <v>0.5625371858025312</v>
      </c>
    </row>
    <row r="651" spans="11:11">
      <c r="K651">
        <f t="shared" ca="1" si="18"/>
        <v>0.38396517746229542</v>
      </c>
    </row>
    <row r="652" spans="11:11">
      <c r="K652">
        <f t="shared" ca="1" si="18"/>
        <v>0.27751592991521523</v>
      </c>
    </row>
    <row r="653" spans="11:11">
      <c r="K653">
        <f t="shared" ca="1" si="18"/>
        <v>0.98661260464308875</v>
      </c>
    </row>
    <row r="654" spans="11:11">
      <c r="K654">
        <f t="shared" ca="1" si="18"/>
        <v>0.48239040038194325</v>
      </c>
    </row>
    <row r="655" spans="11:11">
      <c r="K655">
        <f t="shared" ca="1" si="18"/>
        <v>0.30326987364463154</v>
      </c>
    </row>
    <row r="656" spans="11:11">
      <c r="K656">
        <f t="shared" ca="1" si="18"/>
        <v>0.41055389832487688</v>
      </c>
    </row>
    <row r="657" spans="11:11">
      <c r="K657">
        <f t="shared" ca="1" si="18"/>
        <v>0.37561177083946107</v>
      </c>
    </row>
    <row r="658" spans="11:11">
      <c r="K658">
        <f t="shared" ca="1" si="18"/>
        <v>0.94011894640599536</v>
      </c>
    </row>
    <row r="659" spans="11:11">
      <c r="K659">
        <f t="shared" ca="1" si="18"/>
        <v>0.51254626217362453</v>
      </c>
    </row>
    <row r="660" spans="11:11">
      <c r="K660">
        <f t="shared" ca="1" si="18"/>
        <v>0.61376935638961272</v>
      </c>
    </row>
    <row r="661" spans="11:11">
      <c r="K661">
        <f t="shared" ca="1" si="18"/>
        <v>0.65430308292406281</v>
      </c>
    </row>
    <row r="662" spans="11:11">
      <c r="K662">
        <f t="shared" ca="1" si="18"/>
        <v>0.98276713171555419</v>
      </c>
    </row>
    <row r="663" spans="11:11">
      <c r="K663">
        <f t="shared" ca="1" si="18"/>
        <v>0.99404135579062802</v>
      </c>
    </row>
    <row r="664" spans="11:11">
      <c r="K664">
        <f t="shared" ca="1" si="18"/>
        <v>0.74305217331864171</v>
      </c>
    </row>
    <row r="665" spans="11:11">
      <c r="K665">
        <f t="shared" ca="1" si="18"/>
        <v>5.8186481179219429E-2</v>
      </c>
    </row>
    <row r="666" spans="11:11">
      <c r="K666">
        <f t="shared" ca="1" si="18"/>
        <v>0.32029265375655092</v>
      </c>
    </row>
    <row r="667" spans="11:11">
      <c r="K667">
        <f t="shared" ca="1" si="18"/>
        <v>0.84808113476115432</v>
      </c>
    </row>
    <row r="668" spans="11:11">
      <c r="K668">
        <f t="shared" ca="1" si="18"/>
        <v>0.93980364350381129</v>
      </c>
    </row>
    <row r="669" spans="11:11">
      <c r="K669">
        <f t="shared" ca="1" si="18"/>
        <v>0.28465855226470183</v>
      </c>
    </row>
    <row r="670" spans="11:11">
      <c r="K670">
        <f t="shared" ca="1" si="18"/>
        <v>0.63385951510349781</v>
      </c>
    </row>
    <row r="671" spans="11:11">
      <c r="K671">
        <f t="shared" ca="1" si="18"/>
        <v>0.50179761363464537</v>
      </c>
    </row>
    <row r="672" spans="11:11">
      <c r="K672">
        <f t="shared" ca="1" si="18"/>
        <v>0.56635660563891266</v>
      </c>
    </row>
    <row r="673" spans="11:11">
      <c r="K673">
        <f t="shared" ca="1" si="18"/>
        <v>0.2621654027977891</v>
      </c>
    </row>
    <row r="674" spans="11:11">
      <c r="K674">
        <f t="shared" ca="1" si="18"/>
        <v>0.58549728616634589</v>
      </c>
    </row>
    <row r="675" spans="11:11">
      <c r="K675">
        <f t="shared" ca="1" si="18"/>
        <v>0.39622270716666907</v>
      </c>
    </row>
    <row r="676" spans="11:11">
      <c r="K676">
        <f t="shared" ca="1" si="18"/>
        <v>0.37089758898202874</v>
      </c>
    </row>
    <row r="677" spans="11:11">
      <c r="K677">
        <f t="shared" ca="1" si="18"/>
        <v>0.85986888024187547</v>
      </c>
    </row>
    <row r="678" spans="11:11">
      <c r="K678">
        <f t="shared" ca="1" si="18"/>
        <v>0.46619431570790071</v>
      </c>
    </row>
    <row r="679" spans="11:11">
      <c r="K679">
        <f t="shared" ca="1" si="18"/>
        <v>0.47771049296920198</v>
      </c>
    </row>
    <row r="680" spans="11:11">
      <c r="K680">
        <f t="shared" ca="1" si="18"/>
        <v>0.77505795821738288</v>
      </c>
    </row>
    <row r="681" spans="11:11">
      <c r="K681">
        <f t="shared" ca="1" si="18"/>
        <v>0.51983269259203091</v>
      </c>
    </row>
    <row r="682" spans="11:11">
      <c r="K682">
        <f t="shared" ca="1" si="18"/>
        <v>0.13245130944705696</v>
      </c>
    </row>
    <row r="683" spans="11:11">
      <c r="K683">
        <f t="shared" ca="1" si="18"/>
        <v>0.99123504228352743</v>
      </c>
    </row>
    <row r="684" spans="11:11">
      <c r="K684">
        <f t="shared" ca="1" si="18"/>
        <v>0.26664888720183466</v>
      </c>
    </row>
    <row r="685" spans="11:11">
      <c r="K685">
        <f t="shared" ca="1" si="18"/>
        <v>0.41391997554919957</v>
      </c>
    </row>
    <row r="686" spans="11:11">
      <c r="K686">
        <f t="shared" ca="1" si="18"/>
        <v>0.98943267556301628</v>
      </c>
    </row>
    <row r="687" spans="11:11">
      <c r="K687">
        <f t="shared" ca="1" si="18"/>
        <v>0.79472956191321198</v>
      </c>
    </row>
    <row r="688" spans="11:11">
      <c r="K688">
        <f t="shared" ca="1" si="18"/>
        <v>0.54345845341970733</v>
      </c>
    </row>
    <row r="689" spans="11:11">
      <c r="K689">
        <f t="shared" ca="1" si="18"/>
        <v>0.71047816326117541</v>
      </c>
    </row>
    <row r="690" spans="11:11">
      <c r="K690">
        <f t="shared" ca="1" si="18"/>
        <v>6.3446883405595678E-2</v>
      </c>
    </row>
    <row r="691" spans="11:11">
      <c r="K691">
        <f t="shared" ca="1" si="18"/>
        <v>0.22973900329759367</v>
      </c>
    </row>
    <row r="692" spans="11:11">
      <c r="K692">
        <f t="shared" ca="1" si="18"/>
        <v>0.19399300761662008</v>
      </c>
    </row>
    <row r="693" spans="11:11">
      <c r="K693">
        <f t="shared" ca="1" si="18"/>
        <v>0.10139044370928474</v>
      </c>
    </row>
    <row r="694" spans="11:11">
      <c r="K694">
        <f t="shared" ca="1" si="18"/>
        <v>0.83220387487525738</v>
      </c>
    </row>
    <row r="695" spans="11:11">
      <c r="K695">
        <f t="shared" ca="1" si="18"/>
        <v>0.94754144063998247</v>
      </c>
    </row>
    <row r="696" spans="11:11">
      <c r="K696">
        <f t="shared" ca="1" si="18"/>
        <v>0.9916650254266246</v>
      </c>
    </row>
    <row r="697" spans="11:11">
      <c r="K697">
        <f t="shared" ca="1" si="18"/>
        <v>0.55299462591817061</v>
      </c>
    </row>
    <row r="698" spans="11:11">
      <c r="K698">
        <f t="shared" ref="K698:K761" ca="1" si="19">RAND()</f>
        <v>0.38736222616820637</v>
      </c>
    </row>
    <row r="699" spans="11:11">
      <c r="K699">
        <f t="shared" ca="1" si="19"/>
        <v>0.45897875148830836</v>
      </c>
    </row>
    <row r="700" spans="11:11">
      <c r="K700">
        <f t="shared" ca="1" si="19"/>
        <v>0.89777538848689886</v>
      </c>
    </row>
    <row r="701" spans="11:11">
      <c r="K701">
        <f t="shared" ca="1" si="19"/>
        <v>0.70326000098965413</v>
      </c>
    </row>
    <row r="702" spans="11:11">
      <c r="K702">
        <f t="shared" ca="1" si="19"/>
        <v>0.16543891819427747</v>
      </c>
    </row>
    <row r="703" spans="11:11">
      <c r="K703">
        <f t="shared" ca="1" si="19"/>
        <v>0.84455892115264541</v>
      </c>
    </row>
    <row r="704" spans="11:11">
      <c r="K704">
        <f t="shared" ca="1" si="19"/>
        <v>0.5306817076602921</v>
      </c>
    </row>
    <row r="705" spans="11:11">
      <c r="K705">
        <f t="shared" ca="1" si="19"/>
        <v>0.87921636809385406</v>
      </c>
    </row>
    <row r="706" spans="11:11">
      <c r="K706">
        <f t="shared" ca="1" si="19"/>
        <v>6.7153055934033201E-2</v>
      </c>
    </row>
    <row r="707" spans="11:11">
      <c r="K707">
        <f t="shared" ca="1" si="19"/>
        <v>0.66432694526729352</v>
      </c>
    </row>
    <row r="708" spans="11:11">
      <c r="K708">
        <f t="shared" ca="1" si="19"/>
        <v>0.48664581127959861</v>
      </c>
    </row>
    <row r="709" spans="11:11">
      <c r="K709">
        <f t="shared" ca="1" si="19"/>
        <v>0.41836345241283679</v>
      </c>
    </row>
    <row r="710" spans="11:11">
      <c r="K710">
        <f t="shared" ca="1" si="19"/>
        <v>0.65734781132034281</v>
      </c>
    </row>
    <row r="711" spans="11:11">
      <c r="K711">
        <f t="shared" ca="1" si="19"/>
        <v>0.53210346417972776</v>
      </c>
    </row>
    <row r="712" spans="11:11">
      <c r="K712">
        <f t="shared" ca="1" si="19"/>
        <v>0.28792127213465335</v>
      </c>
    </row>
    <row r="713" spans="11:11">
      <c r="K713">
        <f t="shared" ca="1" si="19"/>
        <v>0.97767337144722699</v>
      </c>
    </row>
    <row r="714" spans="11:11">
      <c r="K714">
        <f t="shared" ca="1" si="19"/>
        <v>0.76950045228861974</v>
      </c>
    </row>
    <row r="715" spans="11:11">
      <c r="K715">
        <f t="shared" ca="1" si="19"/>
        <v>0.83462458482724355</v>
      </c>
    </row>
    <row r="716" spans="11:11">
      <c r="K716">
        <f t="shared" ca="1" si="19"/>
        <v>3.70851632242859E-2</v>
      </c>
    </row>
    <row r="717" spans="11:11">
      <c r="K717">
        <f t="shared" ca="1" si="19"/>
        <v>0.25771757460945999</v>
      </c>
    </row>
    <row r="718" spans="11:11">
      <c r="K718">
        <f t="shared" ca="1" si="19"/>
        <v>0.81609471623025098</v>
      </c>
    </row>
    <row r="719" spans="11:11">
      <c r="K719">
        <f t="shared" ca="1" si="19"/>
        <v>0.3039981620790857</v>
      </c>
    </row>
    <row r="720" spans="11:11">
      <c r="K720">
        <f t="shared" ca="1" si="19"/>
        <v>0.32424420198879811</v>
      </c>
    </row>
    <row r="721" spans="11:11">
      <c r="K721">
        <f t="shared" ca="1" si="19"/>
        <v>0.99064251444548379</v>
      </c>
    </row>
    <row r="722" spans="11:11">
      <c r="K722">
        <f t="shared" ca="1" si="19"/>
        <v>7.8591327005071321E-2</v>
      </c>
    </row>
    <row r="723" spans="11:11">
      <c r="K723">
        <f t="shared" ca="1" si="19"/>
        <v>0.83206789236124057</v>
      </c>
    </row>
    <row r="724" spans="11:11">
      <c r="K724">
        <f t="shared" ca="1" si="19"/>
        <v>0.60385695693497698</v>
      </c>
    </row>
    <row r="725" spans="11:11">
      <c r="K725">
        <f t="shared" ca="1" si="19"/>
        <v>0.5172090920898853</v>
      </c>
    </row>
    <row r="726" spans="11:11">
      <c r="K726">
        <f t="shared" ca="1" si="19"/>
        <v>0.30784745770381772</v>
      </c>
    </row>
    <row r="727" spans="11:11">
      <c r="K727">
        <f t="shared" ca="1" si="19"/>
        <v>0.18183378971290587</v>
      </c>
    </row>
    <row r="728" spans="11:11">
      <c r="K728">
        <f t="shared" ca="1" si="19"/>
        <v>0.36594079205879826</v>
      </c>
    </row>
    <row r="729" spans="11:11">
      <c r="K729">
        <f t="shared" ca="1" si="19"/>
        <v>0.59838744509021424</v>
      </c>
    </row>
    <row r="730" spans="11:11">
      <c r="K730">
        <f t="shared" ca="1" si="19"/>
        <v>8.1202582262482892E-3</v>
      </c>
    </row>
    <row r="731" spans="11:11">
      <c r="K731">
        <f t="shared" ca="1" si="19"/>
        <v>0.72011111405823947</v>
      </c>
    </row>
    <row r="732" spans="11:11">
      <c r="K732">
        <f t="shared" ca="1" si="19"/>
        <v>0.82417948051446754</v>
      </c>
    </row>
    <row r="733" spans="11:11">
      <c r="K733">
        <f t="shared" ca="1" si="19"/>
        <v>0.46825905790923539</v>
      </c>
    </row>
    <row r="734" spans="11:11">
      <c r="K734">
        <f t="shared" ca="1" si="19"/>
        <v>0.29386756132135439</v>
      </c>
    </row>
    <row r="735" spans="11:11">
      <c r="K735">
        <f t="shared" ca="1" si="19"/>
        <v>0.80353671554945638</v>
      </c>
    </row>
    <row r="736" spans="11:11">
      <c r="K736">
        <f t="shared" ca="1" si="19"/>
        <v>0.75814951822605448</v>
      </c>
    </row>
    <row r="737" spans="11:11">
      <c r="K737">
        <f t="shared" ca="1" si="19"/>
        <v>3.1438311536629016E-3</v>
      </c>
    </row>
    <row r="738" spans="11:11">
      <c r="K738">
        <f t="shared" ca="1" si="19"/>
        <v>0.94956419500483946</v>
      </c>
    </row>
    <row r="739" spans="11:11">
      <c r="K739">
        <f t="shared" ca="1" si="19"/>
        <v>0.87635433501035043</v>
      </c>
    </row>
    <row r="740" spans="11:11">
      <c r="K740">
        <f t="shared" ca="1" si="19"/>
        <v>0.4683302026840872</v>
      </c>
    </row>
    <row r="741" spans="11:11">
      <c r="K741">
        <f t="shared" ca="1" si="19"/>
        <v>0.3631902660200268</v>
      </c>
    </row>
    <row r="742" spans="11:11">
      <c r="K742">
        <f t="shared" ca="1" si="19"/>
        <v>0.34770721742305288</v>
      </c>
    </row>
    <row r="743" spans="11:11">
      <c r="K743">
        <f t="shared" ca="1" si="19"/>
        <v>0.42971505275485899</v>
      </c>
    </row>
    <row r="744" spans="11:11">
      <c r="K744">
        <f t="shared" ca="1" si="19"/>
        <v>0.55795758373513138</v>
      </c>
    </row>
    <row r="745" spans="11:11">
      <c r="K745">
        <f t="shared" ca="1" si="19"/>
        <v>0.79715521019059832</v>
      </c>
    </row>
    <row r="746" spans="11:11">
      <c r="K746">
        <f t="shared" ca="1" si="19"/>
        <v>0.96193068399811388</v>
      </c>
    </row>
    <row r="747" spans="11:11">
      <c r="K747">
        <f t="shared" ca="1" si="19"/>
        <v>0.56953343662973066</v>
      </c>
    </row>
    <row r="748" spans="11:11">
      <c r="K748">
        <f t="shared" ca="1" si="19"/>
        <v>0.18266885897814245</v>
      </c>
    </row>
    <row r="749" spans="11:11">
      <c r="K749">
        <f t="shared" ca="1" si="19"/>
        <v>0.74482703140749806</v>
      </c>
    </row>
    <row r="750" spans="11:11">
      <c r="K750">
        <f t="shared" ca="1" si="19"/>
        <v>0.94417273382826639</v>
      </c>
    </row>
    <row r="751" spans="11:11">
      <c r="K751">
        <f t="shared" ca="1" si="19"/>
        <v>0.33173109180809401</v>
      </c>
    </row>
    <row r="752" spans="11:11">
      <c r="K752">
        <f t="shared" ca="1" si="19"/>
        <v>0.13159308413273196</v>
      </c>
    </row>
    <row r="753" spans="11:11">
      <c r="K753">
        <f t="shared" ca="1" si="19"/>
        <v>0.22062417532313972</v>
      </c>
    </row>
    <row r="754" spans="11:11">
      <c r="K754">
        <f t="shared" ca="1" si="19"/>
        <v>0.49776905133872695</v>
      </c>
    </row>
    <row r="755" spans="11:11">
      <c r="K755">
        <f t="shared" ca="1" si="19"/>
        <v>0.39193020645889565</v>
      </c>
    </row>
    <row r="756" spans="11:11">
      <c r="K756">
        <f t="shared" ca="1" si="19"/>
        <v>0.45830072687886059</v>
      </c>
    </row>
    <row r="757" spans="11:11">
      <c r="K757">
        <f t="shared" ca="1" si="19"/>
        <v>0.18095187814698743</v>
      </c>
    </row>
    <row r="758" spans="11:11">
      <c r="K758">
        <f t="shared" ca="1" si="19"/>
        <v>0.38046870218544826</v>
      </c>
    </row>
    <row r="759" spans="11:11">
      <c r="K759">
        <f t="shared" ca="1" si="19"/>
        <v>0.47000153469582218</v>
      </c>
    </row>
    <row r="760" spans="11:11">
      <c r="K760">
        <f t="shared" ca="1" si="19"/>
        <v>0.54102262856902228</v>
      </c>
    </row>
    <row r="761" spans="11:11">
      <c r="K761">
        <f t="shared" ca="1" si="19"/>
        <v>0.96702121545932251</v>
      </c>
    </row>
    <row r="762" spans="11:11">
      <c r="K762">
        <f t="shared" ref="K762:K825" ca="1" si="20">RAND()</f>
        <v>0.86031393516416266</v>
      </c>
    </row>
    <row r="763" spans="11:11">
      <c r="K763">
        <f t="shared" ca="1" si="20"/>
        <v>0.91686542538209981</v>
      </c>
    </row>
    <row r="764" spans="11:11">
      <c r="K764">
        <f t="shared" ca="1" si="20"/>
        <v>0.54705506335611798</v>
      </c>
    </row>
    <row r="765" spans="11:11">
      <c r="K765">
        <f t="shared" ca="1" si="20"/>
        <v>0.93398435430191129</v>
      </c>
    </row>
    <row r="766" spans="11:11">
      <c r="K766">
        <f t="shared" ca="1" si="20"/>
        <v>0.6648298753178068</v>
      </c>
    </row>
    <row r="767" spans="11:11">
      <c r="K767">
        <f t="shared" ca="1" si="20"/>
        <v>0.3809834947252313</v>
      </c>
    </row>
    <row r="768" spans="11:11">
      <c r="K768">
        <f t="shared" ca="1" si="20"/>
        <v>0.36980998459586223</v>
      </c>
    </row>
    <row r="769" spans="11:11">
      <c r="K769">
        <f t="shared" ca="1" si="20"/>
        <v>1.3840385486189266E-2</v>
      </c>
    </row>
    <row r="770" spans="11:11">
      <c r="K770">
        <f t="shared" ca="1" si="20"/>
        <v>0.95908689406926495</v>
      </c>
    </row>
    <row r="771" spans="11:11">
      <c r="K771">
        <f t="shared" ca="1" si="20"/>
        <v>0.77180556532857558</v>
      </c>
    </row>
    <row r="772" spans="11:11">
      <c r="K772">
        <f t="shared" ca="1" si="20"/>
        <v>0.47205768751231236</v>
      </c>
    </row>
    <row r="773" spans="11:11">
      <c r="K773">
        <f t="shared" ca="1" si="20"/>
        <v>0.8451891988064304</v>
      </c>
    </row>
    <row r="774" spans="11:11">
      <c r="K774">
        <f t="shared" ca="1" si="20"/>
        <v>0.78649928515889211</v>
      </c>
    </row>
    <row r="775" spans="11:11">
      <c r="K775">
        <f t="shared" ca="1" si="20"/>
        <v>0.67462724791303885</v>
      </c>
    </row>
    <row r="776" spans="11:11">
      <c r="K776">
        <f t="shared" ca="1" si="20"/>
        <v>0.21550037864188099</v>
      </c>
    </row>
    <row r="777" spans="11:11">
      <c r="K777">
        <f t="shared" ca="1" si="20"/>
        <v>0.38523597074959692</v>
      </c>
    </row>
    <row r="778" spans="11:11">
      <c r="K778">
        <f t="shared" ca="1" si="20"/>
        <v>0.75506347847831812</v>
      </c>
    </row>
    <row r="779" spans="11:11">
      <c r="K779">
        <f t="shared" ca="1" si="20"/>
        <v>0.83295200664644486</v>
      </c>
    </row>
    <row r="780" spans="11:11">
      <c r="K780">
        <f t="shared" ca="1" si="20"/>
        <v>0.3756588936944425</v>
      </c>
    </row>
    <row r="781" spans="11:11">
      <c r="K781">
        <f t="shared" ca="1" si="20"/>
        <v>0.48369429257968033</v>
      </c>
    </row>
    <row r="782" spans="11:11">
      <c r="K782">
        <f t="shared" ca="1" si="20"/>
        <v>0.7905967349636871</v>
      </c>
    </row>
    <row r="783" spans="11:11">
      <c r="K783">
        <f t="shared" ca="1" si="20"/>
        <v>0.72406886659997571</v>
      </c>
    </row>
    <row r="784" spans="11:11">
      <c r="K784">
        <f t="shared" ca="1" si="20"/>
        <v>0.32087808496357795</v>
      </c>
    </row>
    <row r="785" spans="11:11">
      <c r="K785">
        <f t="shared" ca="1" si="20"/>
        <v>0.50539051125478718</v>
      </c>
    </row>
    <row r="786" spans="11:11">
      <c r="K786">
        <f t="shared" ca="1" si="20"/>
        <v>0.46454255678057699</v>
      </c>
    </row>
    <row r="787" spans="11:11">
      <c r="K787">
        <f t="shared" ca="1" si="20"/>
        <v>0.4700167243489588</v>
      </c>
    </row>
    <row r="788" spans="11:11">
      <c r="K788">
        <f t="shared" ca="1" si="20"/>
        <v>0.40187621357260195</v>
      </c>
    </row>
    <row r="789" spans="11:11">
      <c r="K789">
        <f t="shared" ca="1" si="20"/>
        <v>0.3137939987305336</v>
      </c>
    </row>
    <row r="790" spans="11:11">
      <c r="K790">
        <f t="shared" ca="1" si="20"/>
        <v>0.88654688976153651</v>
      </c>
    </row>
    <row r="791" spans="11:11">
      <c r="K791">
        <f t="shared" ca="1" si="20"/>
        <v>0.63759255443849039</v>
      </c>
    </row>
    <row r="792" spans="11:11">
      <c r="K792">
        <f t="shared" ca="1" si="20"/>
        <v>0.27339412268530161</v>
      </c>
    </row>
    <row r="793" spans="11:11">
      <c r="K793">
        <f t="shared" ca="1" si="20"/>
        <v>0.50553548617245636</v>
      </c>
    </row>
    <row r="794" spans="11:11">
      <c r="K794">
        <f t="shared" ca="1" si="20"/>
        <v>0.96926643452000816</v>
      </c>
    </row>
    <row r="795" spans="11:11">
      <c r="K795">
        <f t="shared" ca="1" si="20"/>
        <v>0.19929948179698864</v>
      </c>
    </row>
    <row r="796" spans="11:11">
      <c r="K796">
        <f t="shared" ca="1" si="20"/>
        <v>0.35354129232430598</v>
      </c>
    </row>
    <row r="797" spans="11:11">
      <c r="K797">
        <f t="shared" ca="1" si="20"/>
        <v>0.74951041570298238</v>
      </c>
    </row>
    <row r="798" spans="11:11">
      <c r="K798">
        <f t="shared" ca="1" si="20"/>
        <v>0.53921132812691575</v>
      </c>
    </row>
    <row r="799" spans="11:11">
      <c r="K799">
        <f t="shared" ca="1" si="20"/>
        <v>0.7073836371235569</v>
      </c>
    </row>
    <row r="800" spans="11:11">
      <c r="K800">
        <f t="shared" ca="1" si="20"/>
        <v>0.98207361674851423</v>
      </c>
    </row>
    <row r="801" spans="11:11">
      <c r="K801">
        <f t="shared" ca="1" si="20"/>
        <v>0.88520160530479886</v>
      </c>
    </row>
    <row r="802" spans="11:11">
      <c r="K802">
        <f t="shared" ca="1" si="20"/>
        <v>0.59950585846700699</v>
      </c>
    </row>
    <row r="803" spans="11:11">
      <c r="K803">
        <f t="shared" ca="1" si="20"/>
        <v>0.68799186542613056</v>
      </c>
    </row>
    <row r="804" spans="11:11">
      <c r="K804">
        <f t="shared" ca="1" si="20"/>
        <v>0.87258773922267441</v>
      </c>
    </row>
    <row r="805" spans="11:11">
      <c r="K805">
        <f t="shared" ca="1" si="20"/>
        <v>0.37560851753010405</v>
      </c>
    </row>
    <row r="806" spans="11:11">
      <c r="K806">
        <f t="shared" ca="1" si="20"/>
        <v>0.22850984164915822</v>
      </c>
    </row>
    <row r="807" spans="11:11">
      <c r="K807">
        <f t="shared" ca="1" si="20"/>
        <v>0.56193194204997821</v>
      </c>
    </row>
    <row r="808" spans="11:11">
      <c r="K808">
        <f t="shared" ca="1" si="20"/>
        <v>0.48198685535320163</v>
      </c>
    </row>
    <row r="809" spans="11:11">
      <c r="K809">
        <f t="shared" ca="1" si="20"/>
        <v>0.55242980214343085</v>
      </c>
    </row>
    <row r="810" spans="11:11">
      <c r="K810">
        <f t="shared" ca="1" si="20"/>
        <v>0.18541918966081017</v>
      </c>
    </row>
    <row r="811" spans="11:11">
      <c r="K811">
        <f t="shared" ca="1" si="20"/>
        <v>0.97756076918348733</v>
      </c>
    </row>
    <row r="812" spans="11:11">
      <c r="K812">
        <f t="shared" ca="1" si="20"/>
        <v>1.2141531068307287E-2</v>
      </c>
    </row>
    <row r="813" spans="11:11">
      <c r="K813">
        <f t="shared" ca="1" si="20"/>
        <v>0.54500292404237261</v>
      </c>
    </row>
    <row r="814" spans="11:11">
      <c r="K814">
        <f t="shared" ca="1" si="20"/>
        <v>3.3663898433438533E-2</v>
      </c>
    </row>
    <row r="815" spans="11:11">
      <c r="K815">
        <f t="shared" ca="1" si="20"/>
        <v>0.50500240886664027</v>
      </c>
    </row>
    <row r="816" spans="11:11">
      <c r="K816">
        <f t="shared" ca="1" si="20"/>
        <v>0.31296526166376459</v>
      </c>
    </row>
    <row r="817" spans="11:11">
      <c r="K817">
        <f t="shared" ca="1" si="20"/>
        <v>0.32897190109715968</v>
      </c>
    </row>
    <row r="818" spans="11:11">
      <c r="K818">
        <f t="shared" ca="1" si="20"/>
        <v>0.97067719255931006</v>
      </c>
    </row>
    <row r="819" spans="11:11">
      <c r="K819">
        <f t="shared" ca="1" si="20"/>
        <v>3.0241111603141135E-2</v>
      </c>
    </row>
    <row r="820" spans="11:11">
      <c r="K820">
        <f t="shared" ca="1" si="20"/>
        <v>0.17706710506070511</v>
      </c>
    </row>
    <row r="821" spans="11:11">
      <c r="K821">
        <f t="shared" ca="1" si="20"/>
        <v>0.45895561703432364</v>
      </c>
    </row>
    <row r="822" spans="11:11">
      <c r="K822">
        <f t="shared" ca="1" si="20"/>
        <v>0.92038322878520429</v>
      </c>
    </row>
    <row r="823" spans="11:11">
      <c r="K823">
        <f t="shared" ca="1" si="20"/>
        <v>5.7205289388660319E-2</v>
      </c>
    </row>
    <row r="824" spans="11:11">
      <c r="K824">
        <f t="shared" ca="1" si="20"/>
        <v>0.47088028842596019</v>
      </c>
    </row>
    <row r="825" spans="11:11">
      <c r="K825">
        <f t="shared" ca="1" si="20"/>
        <v>0.53485787209295821</v>
      </c>
    </row>
    <row r="826" spans="11:11">
      <c r="K826">
        <f t="shared" ref="K826:K889" ca="1" si="21">RAND()</f>
        <v>0.4636225653676771</v>
      </c>
    </row>
    <row r="827" spans="11:11">
      <c r="K827">
        <f t="shared" ca="1" si="21"/>
        <v>0.18214852971348794</v>
      </c>
    </row>
    <row r="828" spans="11:11">
      <c r="K828">
        <f t="shared" ca="1" si="21"/>
        <v>0.50738215049274515</v>
      </c>
    </row>
    <row r="829" spans="11:11">
      <c r="K829">
        <f t="shared" ca="1" si="21"/>
        <v>0.96291776102063698</v>
      </c>
    </row>
    <row r="830" spans="11:11">
      <c r="K830">
        <f t="shared" ca="1" si="21"/>
        <v>0.84306620086184214</v>
      </c>
    </row>
    <row r="831" spans="11:11">
      <c r="K831">
        <f t="shared" ca="1" si="21"/>
        <v>0.86932828370301274</v>
      </c>
    </row>
    <row r="832" spans="11:11">
      <c r="K832">
        <f t="shared" ca="1" si="21"/>
        <v>0.96091485061776361</v>
      </c>
    </row>
    <row r="833" spans="11:11">
      <c r="K833">
        <f t="shared" ca="1" si="21"/>
        <v>6.0958444799767975E-3</v>
      </c>
    </row>
    <row r="834" spans="11:11">
      <c r="K834">
        <f t="shared" ca="1" si="21"/>
        <v>0.533100298731223</v>
      </c>
    </row>
    <row r="835" spans="11:11">
      <c r="K835">
        <f t="shared" ca="1" si="21"/>
        <v>0.39038558623591002</v>
      </c>
    </row>
    <row r="836" spans="11:11">
      <c r="K836">
        <f t="shared" ca="1" si="21"/>
        <v>0.72677773547912139</v>
      </c>
    </row>
    <row r="837" spans="11:11">
      <c r="K837">
        <f t="shared" ca="1" si="21"/>
        <v>0.89719448305675709</v>
      </c>
    </row>
    <row r="838" spans="11:11">
      <c r="K838">
        <f t="shared" ca="1" si="21"/>
        <v>0.42534252119915394</v>
      </c>
    </row>
    <row r="839" spans="11:11">
      <c r="K839">
        <f t="shared" ca="1" si="21"/>
        <v>6.137270450121024E-2</v>
      </c>
    </row>
    <row r="840" spans="11:11">
      <c r="K840">
        <f t="shared" ca="1" si="21"/>
        <v>0.71624556002270068</v>
      </c>
    </row>
    <row r="841" spans="11:11">
      <c r="K841">
        <f t="shared" ca="1" si="21"/>
        <v>0.73918265675241024</v>
      </c>
    </row>
    <row r="842" spans="11:11">
      <c r="K842">
        <f t="shared" ca="1" si="21"/>
        <v>0.47035243927447379</v>
      </c>
    </row>
    <row r="843" spans="11:11">
      <c r="K843">
        <f t="shared" ca="1" si="21"/>
        <v>0.13588732317183116</v>
      </c>
    </row>
    <row r="844" spans="11:11">
      <c r="K844">
        <f t="shared" ca="1" si="21"/>
        <v>0.20457522878064482</v>
      </c>
    </row>
    <row r="845" spans="11:11">
      <c r="K845">
        <f t="shared" ca="1" si="21"/>
        <v>0.25078268526015268</v>
      </c>
    </row>
    <row r="846" spans="11:11">
      <c r="K846">
        <f t="shared" ca="1" si="21"/>
        <v>0.23620488409706653</v>
      </c>
    </row>
    <row r="847" spans="11:11">
      <c r="K847">
        <f t="shared" ca="1" si="21"/>
        <v>0.39107106123107993</v>
      </c>
    </row>
    <row r="848" spans="11:11">
      <c r="K848">
        <f t="shared" ca="1" si="21"/>
        <v>1.6137767412926607E-2</v>
      </c>
    </row>
    <row r="849" spans="11:11">
      <c r="K849">
        <f t="shared" ca="1" si="21"/>
        <v>0.79113937876150775</v>
      </c>
    </row>
    <row r="850" spans="11:11">
      <c r="K850">
        <f t="shared" ca="1" si="21"/>
        <v>0.54317408798495848</v>
      </c>
    </row>
    <row r="851" spans="11:11">
      <c r="K851">
        <f t="shared" ca="1" si="21"/>
        <v>0.90123027808241041</v>
      </c>
    </row>
    <row r="852" spans="11:11">
      <c r="K852">
        <f t="shared" ca="1" si="21"/>
        <v>0.12779424490052538</v>
      </c>
    </row>
    <row r="853" spans="11:11">
      <c r="K853">
        <f t="shared" ca="1" si="21"/>
        <v>0.59768759372654423</v>
      </c>
    </row>
    <row r="854" spans="11:11">
      <c r="K854">
        <f t="shared" ca="1" si="21"/>
        <v>0.77061929739662638</v>
      </c>
    </row>
    <row r="855" spans="11:11">
      <c r="K855">
        <f t="shared" ca="1" si="21"/>
        <v>0.13305222581320297</v>
      </c>
    </row>
    <row r="856" spans="11:11">
      <c r="K856">
        <f t="shared" ca="1" si="21"/>
        <v>0.72996332832583732</v>
      </c>
    </row>
    <row r="857" spans="11:11">
      <c r="K857">
        <f t="shared" ca="1" si="21"/>
        <v>2.2714943866534831E-2</v>
      </c>
    </row>
    <row r="858" spans="11:11">
      <c r="K858">
        <f t="shared" ca="1" si="21"/>
        <v>0.50468179409490155</v>
      </c>
    </row>
    <row r="859" spans="11:11">
      <c r="K859">
        <f t="shared" ca="1" si="21"/>
        <v>0.25104340492031429</v>
      </c>
    </row>
    <row r="860" spans="11:11">
      <c r="K860">
        <f t="shared" ca="1" si="21"/>
        <v>0.89566767459327346</v>
      </c>
    </row>
    <row r="861" spans="11:11">
      <c r="K861">
        <f t="shared" ca="1" si="21"/>
        <v>0.28598762158627089</v>
      </c>
    </row>
    <row r="862" spans="11:11">
      <c r="K862">
        <f t="shared" ca="1" si="21"/>
        <v>0.44020430716046488</v>
      </c>
    </row>
    <row r="863" spans="11:11">
      <c r="K863">
        <f t="shared" ca="1" si="21"/>
        <v>0.99214212123036716</v>
      </c>
    </row>
    <row r="864" spans="11:11">
      <c r="K864">
        <f t="shared" ca="1" si="21"/>
        <v>0.69395115926013595</v>
      </c>
    </row>
    <row r="865" spans="11:11">
      <c r="K865">
        <f t="shared" ca="1" si="21"/>
        <v>0.85650278177978945</v>
      </c>
    </row>
    <row r="866" spans="11:11">
      <c r="K866">
        <f t="shared" ca="1" si="21"/>
        <v>0.11696622002469237</v>
      </c>
    </row>
    <row r="867" spans="11:11">
      <c r="K867">
        <f t="shared" ca="1" si="21"/>
        <v>0.40599981316878164</v>
      </c>
    </row>
    <row r="868" spans="11:11">
      <c r="K868">
        <f t="shared" ca="1" si="21"/>
        <v>0.62163821729173319</v>
      </c>
    </row>
    <row r="869" spans="11:11">
      <c r="K869">
        <f t="shared" ca="1" si="21"/>
        <v>0.71230448158885107</v>
      </c>
    </row>
    <row r="870" spans="11:11">
      <c r="K870">
        <f t="shared" ca="1" si="21"/>
        <v>0.37154139838456324</v>
      </c>
    </row>
    <row r="871" spans="11:11">
      <c r="K871">
        <f t="shared" ca="1" si="21"/>
        <v>0.52076538281542639</v>
      </c>
    </row>
    <row r="872" spans="11:11">
      <c r="K872">
        <f t="shared" ca="1" si="21"/>
        <v>0.3401444347106688</v>
      </c>
    </row>
    <row r="873" spans="11:11">
      <c r="K873">
        <f t="shared" ca="1" si="21"/>
        <v>0.76343101828722215</v>
      </c>
    </row>
    <row r="874" spans="11:11">
      <c r="K874">
        <f t="shared" ca="1" si="21"/>
        <v>0.90247681942318558</v>
      </c>
    </row>
    <row r="875" spans="11:11">
      <c r="K875">
        <f t="shared" ca="1" si="21"/>
        <v>0.26538368259947198</v>
      </c>
    </row>
    <row r="876" spans="11:11">
      <c r="K876">
        <f t="shared" ca="1" si="21"/>
        <v>0.43195000033897668</v>
      </c>
    </row>
    <row r="877" spans="11:11">
      <c r="K877">
        <f t="shared" ca="1" si="21"/>
        <v>0.85201946280561058</v>
      </c>
    </row>
    <row r="878" spans="11:11">
      <c r="K878">
        <f t="shared" ca="1" si="21"/>
        <v>0.8681673116331301</v>
      </c>
    </row>
    <row r="879" spans="11:11">
      <c r="K879">
        <f t="shared" ca="1" si="21"/>
        <v>0.34330976110126876</v>
      </c>
    </row>
    <row r="880" spans="11:11">
      <c r="K880">
        <f t="shared" ca="1" si="21"/>
        <v>0.12168434223828761</v>
      </c>
    </row>
    <row r="881" spans="11:11">
      <c r="K881">
        <f t="shared" ca="1" si="21"/>
        <v>0.7834104077212638</v>
      </c>
    </row>
    <row r="882" spans="11:11">
      <c r="K882">
        <f t="shared" ca="1" si="21"/>
        <v>0.73474884760008763</v>
      </c>
    </row>
    <row r="883" spans="11:11">
      <c r="K883">
        <f t="shared" ca="1" si="21"/>
        <v>0.85701149858785453</v>
      </c>
    </row>
    <row r="884" spans="11:11">
      <c r="K884">
        <f t="shared" ca="1" si="21"/>
        <v>0.37940810290279559</v>
      </c>
    </row>
    <row r="885" spans="11:11">
      <c r="K885">
        <f t="shared" ca="1" si="21"/>
        <v>0.53133067506776999</v>
      </c>
    </row>
    <row r="886" spans="11:11">
      <c r="K886">
        <f t="shared" ca="1" si="21"/>
        <v>0.73131366849522461</v>
      </c>
    </row>
    <row r="887" spans="11:11">
      <c r="K887">
        <f t="shared" ca="1" si="21"/>
        <v>5.413209832205057E-2</v>
      </c>
    </row>
    <row r="888" spans="11:11">
      <c r="K888">
        <f t="shared" ca="1" si="21"/>
        <v>3.6760843377434682E-2</v>
      </c>
    </row>
    <row r="889" spans="11:11">
      <c r="K889">
        <f t="shared" ca="1" si="21"/>
        <v>0.86720864152067012</v>
      </c>
    </row>
    <row r="890" spans="11:11">
      <c r="K890">
        <f t="shared" ref="K890:K953" ca="1" si="22">RAND()</f>
        <v>0.94997394117167033</v>
      </c>
    </row>
    <row r="891" spans="11:11">
      <c r="K891">
        <f t="shared" ca="1" si="22"/>
        <v>1.3444371392718368E-2</v>
      </c>
    </row>
    <row r="892" spans="11:11">
      <c r="K892">
        <f t="shared" ca="1" si="22"/>
        <v>0.58745271777311237</v>
      </c>
    </row>
    <row r="893" spans="11:11">
      <c r="K893">
        <f t="shared" ca="1" si="22"/>
        <v>0.84964377111028577</v>
      </c>
    </row>
    <row r="894" spans="11:11">
      <c r="K894">
        <f t="shared" ca="1" si="22"/>
        <v>0.3894564950417132</v>
      </c>
    </row>
    <row r="895" spans="11:11">
      <c r="K895">
        <f t="shared" ca="1" si="22"/>
        <v>0.91662852214983204</v>
      </c>
    </row>
    <row r="896" spans="11:11">
      <c r="K896">
        <f t="shared" ca="1" si="22"/>
        <v>0.70188960148882895</v>
      </c>
    </row>
    <row r="897" spans="11:11">
      <c r="K897">
        <f t="shared" ca="1" si="22"/>
        <v>0.55495264102531472</v>
      </c>
    </row>
    <row r="898" spans="11:11">
      <c r="K898">
        <f t="shared" ca="1" si="22"/>
        <v>0.54743666888450804</v>
      </c>
    </row>
    <row r="899" spans="11:11">
      <c r="K899">
        <f t="shared" ca="1" si="22"/>
        <v>0.98643885190935077</v>
      </c>
    </row>
    <row r="900" spans="11:11">
      <c r="K900">
        <f t="shared" ca="1" si="22"/>
        <v>0.32105124576540511</v>
      </c>
    </row>
    <row r="901" spans="11:11">
      <c r="K901">
        <f t="shared" ca="1" si="22"/>
        <v>0.66285592712311558</v>
      </c>
    </row>
    <row r="902" spans="11:11">
      <c r="K902">
        <f t="shared" ca="1" si="22"/>
        <v>0.20687443727767296</v>
      </c>
    </row>
    <row r="903" spans="11:11">
      <c r="K903">
        <f t="shared" ca="1" si="22"/>
        <v>0.26262952500318315</v>
      </c>
    </row>
    <row r="904" spans="11:11">
      <c r="K904">
        <f t="shared" ca="1" si="22"/>
        <v>0.34552080300410615</v>
      </c>
    </row>
    <row r="905" spans="11:11">
      <c r="K905">
        <f t="shared" ca="1" si="22"/>
        <v>0.91508934796872765</v>
      </c>
    </row>
    <row r="906" spans="11:11">
      <c r="K906">
        <f t="shared" ca="1" si="22"/>
        <v>0.92478539348560085</v>
      </c>
    </row>
    <row r="907" spans="11:11">
      <c r="K907">
        <f t="shared" ca="1" si="22"/>
        <v>0.4404197202588831</v>
      </c>
    </row>
    <row r="908" spans="11:11">
      <c r="K908">
        <f t="shared" ca="1" si="22"/>
        <v>0.44276751529793223</v>
      </c>
    </row>
    <row r="909" spans="11:11">
      <c r="K909">
        <f t="shared" ca="1" si="22"/>
        <v>0.51357960916130896</v>
      </c>
    </row>
    <row r="910" spans="11:11">
      <c r="K910">
        <f t="shared" ca="1" si="22"/>
        <v>0.57757749934462432</v>
      </c>
    </row>
    <row r="911" spans="11:11">
      <c r="K911">
        <f t="shared" ca="1" si="22"/>
        <v>0.95212081080985023</v>
      </c>
    </row>
    <row r="912" spans="11:11">
      <c r="K912">
        <f t="shared" ca="1" si="22"/>
        <v>0.14609139008803251</v>
      </c>
    </row>
    <row r="913" spans="11:11">
      <c r="K913">
        <f t="shared" ca="1" si="22"/>
        <v>0.59268337214576317</v>
      </c>
    </row>
    <row r="914" spans="11:11">
      <c r="K914">
        <f t="shared" ca="1" si="22"/>
        <v>0.10088533318676518</v>
      </c>
    </row>
    <row r="915" spans="11:11">
      <c r="K915">
        <f t="shared" ca="1" si="22"/>
        <v>0.92524503862124963</v>
      </c>
    </row>
    <row r="916" spans="11:11">
      <c r="K916">
        <f t="shared" ca="1" si="22"/>
        <v>0.90518556559755603</v>
      </c>
    </row>
    <row r="917" spans="11:11">
      <c r="K917">
        <f t="shared" ca="1" si="22"/>
        <v>0.6601588346471936</v>
      </c>
    </row>
    <row r="918" spans="11:11">
      <c r="K918">
        <f t="shared" ca="1" si="22"/>
        <v>0.21676338065624257</v>
      </c>
    </row>
    <row r="919" spans="11:11">
      <c r="K919">
        <f t="shared" ca="1" si="22"/>
        <v>0.24131212622071274</v>
      </c>
    </row>
    <row r="920" spans="11:11">
      <c r="K920">
        <f t="shared" ca="1" si="22"/>
        <v>0.58285982477136633</v>
      </c>
    </row>
    <row r="921" spans="11:11">
      <c r="K921">
        <f t="shared" ca="1" si="22"/>
        <v>0.36203715164264105</v>
      </c>
    </row>
    <row r="922" spans="11:11">
      <c r="K922">
        <f t="shared" ca="1" si="22"/>
        <v>0.98663790751701752</v>
      </c>
    </row>
    <row r="923" spans="11:11">
      <c r="K923">
        <f t="shared" ca="1" si="22"/>
        <v>0.83361152696099405</v>
      </c>
    </row>
    <row r="924" spans="11:11">
      <c r="K924">
        <f t="shared" ca="1" si="22"/>
        <v>0.96411111314051201</v>
      </c>
    </row>
    <row r="925" spans="11:11">
      <c r="K925">
        <f t="shared" ca="1" si="22"/>
        <v>0.19738223804206023</v>
      </c>
    </row>
    <row r="926" spans="11:11">
      <c r="K926">
        <f t="shared" ca="1" si="22"/>
        <v>0.1647654103517926</v>
      </c>
    </row>
    <row r="927" spans="11:11">
      <c r="K927">
        <f t="shared" ca="1" si="22"/>
        <v>0.66587246518835497</v>
      </c>
    </row>
    <row r="928" spans="11:11">
      <c r="K928">
        <f t="shared" ca="1" si="22"/>
        <v>0.61285555258494906</v>
      </c>
    </row>
    <row r="929" spans="11:11">
      <c r="K929">
        <f t="shared" ca="1" si="22"/>
        <v>0.32769583341322495</v>
      </c>
    </row>
    <row r="930" spans="11:11">
      <c r="K930">
        <f t="shared" ca="1" si="22"/>
        <v>0.47978815641517247</v>
      </c>
    </row>
    <row r="931" spans="11:11">
      <c r="K931">
        <f t="shared" ca="1" si="22"/>
        <v>0.65511927463186126</v>
      </c>
    </row>
    <row r="932" spans="11:11">
      <c r="K932">
        <f t="shared" ca="1" si="22"/>
        <v>0.1260173008765042</v>
      </c>
    </row>
    <row r="933" spans="11:11">
      <c r="K933">
        <f t="shared" ca="1" si="22"/>
        <v>0.9409159329890695</v>
      </c>
    </row>
    <row r="934" spans="11:11">
      <c r="K934">
        <f t="shared" ca="1" si="22"/>
        <v>0.34460242717457246</v>
      </c>
    </row>
    <row r="935" spans="11:11">
      <c r="K935">
        <f t="shared" ca="1" si="22"/>
        <v>4.0238816386013454E-3</v>
      </c>
    </row>
    <row r="936" spans="11:11">
      <c r="K936">
        <f t="shared" ca="1" si="22"/>
        <v>0.25022206877848951</v>
      </c>
    </row>
    <row r="937" spans="11:11">
      <c r="K937">
        <f t="shared" ca="1" si="22"/>
        <v>0.65114604245421615</v>
      </c>
    </row>
    <row r="938" spans="11:11">
      <c r="K938">
        <f t="shared" ca="1" si="22"/>
        <v>0.38514543789397404</v>
      </c>
    </row>
    <row r="939" spans="11:11">
      <c r="K939">
        <f t="shared" ca="1" si="22"/>
        <v>0.24507551603416111</v>
      </c>
    </row>
    <row r="940" spans="11:11">
      <c r="K940">
        <f t="shared" ca="1" si="22"/>
        <v>0.69521210332553895</v>
      </c>
    </row>
    <row r="941" spans="11:11">
      <c r="K941">
        <f t="shared" ca="1" si="22"/>
        <v>9.4887450654113081E-4</v>
      </c>
    </row>
    <row r="942" spans="11:11">
      <c r="K942">
        <f t="shared" ca="1" si="22"/>
        <v>0.13653683371825487</v>
      </c>
    </row>
    <row r="943" spans="11:11">
      <c r="K943">
        <f t="shared" ca="1" si="22"/>
        <v>0.26312362699662817</v>
      </c>
    </row>
    <row r="944" spans="11:11">
      <c r="K944">
        <f t="shared" ca="1" si="22"/>
        <v>0.50332370045323338</v>
      </c>
    </row>
    <row r="945" spans="11:11">
      <c r="K945">
        <f t="shared" ca="1" si="22"/>
        <v>0.678218550790751</v>
      </c>
    </row>
    <row r="946" spans="11:11">
      <c r="K946">
        <f t="shared" ca="1" si="22"/>
        <v>0.61428208072459345</v>
      </c>
    </row>
    <row r="947" spans="11:11">
      <c r="K947">
        <f t="shared" ca="1" si="22"/>
        <v>0.26737074577907571</v>
      </c>
    </row>
    <row r="948" spans="11:11">
      <c r="K948">
        <f t="shared" ca="1" si="22"/>
        <v>0.9569531037252208</v>
      </c>
    </row>
    <row r="949" spans="11:11">
      <c r="K949">
        <f t="shared" ca="1" si="22"/>
        <v>0.86648399714960522</v>
      </c>
    </row>
    <row r="950" spans="11:11">
      <c r="K950">
        <f t="shared" ca="1" si="22"/>
        <v>0.22313574549255932</v>
      </c>
    </row>
    <row r="951" spans="11:11">
      <c r="K951">
        <f t="shared" ca="1" si="22"/>
        <v>0.47426640516986307</v>
      </c>
    </row>
    <row r="952" spans="11:11">
      <c r="K952">
        <f t="shared" ca="1" si="22"/>
        <v>0.36485020135097379</v>
      </c>
    </row>
    <row r="953" spans="11:11">
      <c r="K953">
        <f t="shared" ca="1" si="22"/>
        <v>0.25390309223839691</v>
      </c>
    </row>
    <row r="954" spans="11:11">
      <c r="K954">
        <f t="shared" ref="K954:K1017" ca="1" si="23">RAND()</f>
        <v>0.99754317897483147</v>
      </c>
    </row>
    <row r="955" spans="11:11">
      <c r="K955">
        <f t="shared" ca="1" si="23"/>
        <v>0.39694822102471328</v>
      </c>
    </row>
    <row r="956" spans="11:11">
      <c r="K956">
        <f t="shared" ca="1" si="23"/>
        <v>0.34283477983564925</v>
      </c>
    </row>
    <row r="957" spans="11:11">
      <c r="K957">
        <f t="shared" ca="1" si="23"/>
        <v>0.68029405950782884</v>
      </c>
    </row>
    <row r="958" spans="11:11">
      <c r="K958">
        <f t="shared" ca="1" si="23"/>
        <v>0.3583410694687128</v>
      </c>
    </row>
    <row r="959" spans="11:11">
      <c r="K959">
        <f t="shared" ca="1" si="23"/>
        <v>0.21849926586216495</v>
      </c>
    </row>
    <row r="960" spans="11:11">
      <c r="K960">
        <f t="shared" ca="1" si="23"/>
        <v>0.42258488872912592</v>
      </c>
    </row>
    <row r="961" spans="11:11">
      <c r="K961">
        <f t="shared" ca="1" si="23"/>
        <v>0.97252368624655761</v>
      </c>
    </row>
    <row r="962" spans="11:11">
      <c r="K962">
        <f t="shared" ca="1" si="23"/>
        <v>0.21492633537758166</v>
      </c>
    </row>
    <row r="963" spans="11:11">
      <c r="K963">
        <f t="shared" ca="1" si="23"/>
        <v>7.2175322197496783E-2</v>
      </c>
    </row>
    <row r="964" spans="11:11">
      <c r="K964">
        <f t="shared" ca="1" si="23"/>
        <v>0.9139848827201833</v>
      </c>
    </row>
    <row r="965" spans="11:11">
      <c r="K965">
        <f t="shared" ca="1" si="23"/>
        <v>0.99608809780944441</v>
      </c>
    </row>
    <row r="966" spans="11:11">
      <c r="K966">
        <f t="shared" ca="1" si="23"/>
        <v>0.28295527239411844</v>
      </c>
    </row>
    <row r="967" spans="11:11">
      <c r="K967">
        <f t="shared" ca="1" si="23"/>
        <v>0.95247615608309166</v>
      </c>
    </row>
    <row r="968" spans="11:11">
      <c r="K968">
        <f t="shared" ca="1" si="23"/>
        <v>0.13900944652486169</v>
      </c>
    </row>
    <row r="969" spans="11:11">
      <c r="K969">
        <f t="shared" ca="1" si="23"/>
        <v>0.92858666790596422</v>
      </c>
    </row>
    <row r="970" spans="11:11">
      <c r="K970">
        <f t="shared" ca="1" si="23"/>
        <v>0.29962244648946523</v>
      </c>
    </row>
    <row r="971" spans="11:11">
      <c r="K971">
        <f t="shared" ca="1" si="23"/>
        <v>0.59291348901018903</v>
      </c>
    </row>
    <row r="972" spans="11:11">
      <c r="K972">
        <f t="shared" ca="1" si="23"/>
        <v>0.1210889447265604</v>
      </c>
    </row>
    <row r="973" spans="11:11">
      <c r="K973">
        <f t="shared" ca="1" si="23"/>
        <v>0.71484341010547792</v>
      </c>
    </row>
    <row r="974" spans="11:11">
      <c r="K974">
        <f t="shared" ca="1" si="23"/>
        <v>0.70530717862204595</v>
      </c>
    </row>
    <row r="975" spans="11:11">
      <c r="K975">
        <f t="shared" ca="1" si="23"/>
        <v>0.68541980020825166</v>
      </c>
    </row>
    <row r="976" spans="11:11">
      <c r="K976">
        <f t="shared" ca="1" si="23"/>
        <v>0.81990596630675028</v>
      </c>
    </row>
    <row r="977" spans="11:11">
      <c r="K977">
        <f t="shared" ca="1" si="23"/>
        <v>0.23405844453940539</v>
      </c>
    </row>
    <row r="978" spans="11:11">
      <c r="K978">
        <f t="shared" ca="1" si="23"/>
        <v>0.56684218330370673</v>
      </c>
    </row>
    <row r="979" spans="11:11">
      <c r="K979">
        <f t="shared" ca="1" si="23"/>
        <v>0.44809508061555903</v>
      </c>
    </row>
    <row r="980" spans="11:11">
      <c r="K980">
        <f t="shared" ca="1" si="23"/>
        <v>0.81030898377859994</v>
      </c>
    </row>
    <row r="981" spans="11:11">
      <c r="K981">
        <f t="shared" ca="1" si="23"/>
        <v>0.76933156266434288</v>
      </c>
    </row>
    <row r="982" spans="11:11">
      <c r="K982">
        <f t="shared" ca="1" si="23"/>
        <v>0.19736318060939073</v>
      </c>
    </row>
    <row r="983" spans="11:11">
      <c r="K983">
        <f t="shared" ca="1" si="23"/>
        <v>0.29285466189535114</v>
      </c>
    </row>
    <row r="984" spans="11:11">
      <c r="K984">
        <f t="shared" ca="1" si="23"/>
        <v>0.39207075347380926</v>
      </c>
    </row>
    <row r="985" spans="11:11">
      <c r="K985">
        <f t="shared" ca="1" si="23"/>
        <v>0.81163247085252954</v>
      </c>
    </row>
    <row r="986" spans="11:11">
      <c r="K986">
        <f t="shared" ca="1" si="23"/>
        <v>0.91299667170492782</v>
      </c>
    </row>
    <row r="987" spans="11:11">
      <c r="K987">
        <f t="shared" ca="1" si="23"/>
        <v>0.73022148104253315</v>
      </c>
    </row>
    <row r="988" spans="11:11">
      <c r="K988">
        <f t="shared" ca="1" si="23"/>
        <v>0.20255830249033679</v>
      </c>
    </row>
    <row r="989" spans="11:11">
      <c r="K989">
        <f t="shared" ca="1" si="23"/>
        <v>0.10647052711365079</v>
      </c>
    </row>
    <row r="990" spans="11:11">
      <c r="K990">
        <f t="shared" ca="1" si="23"/>
        <v>0.84711625390515977</v>
      </c>
    </row>
    <row r="991" spans="11:11">
      <c r="K991">
        <f t="shared" ca="1" si="23"/>
        <v>0.18444809160299447</v>
      </c>
    </row>
    <row r="992" spans="11:11">
      <c r="K992">
        <f t="shared" ca="1" si="23"/>
        <v>9.3307319966986935E-2</v>
      </c>
    </row>
    <row r="993" spans="11:11">
      <c r="K993">
        <f t="shared" ca="1" si="23"/>
        <v>0.36455860111239469</v>
      </c>
    </row>
    <row r="994" spans="11:11">
      <c r="K994">
        <f t="shared" ca="1" si="23"/>
        <v>0.95699365853216611</v>
      </c>
    </row>
    <row r="995" spans="11:11">
      <c r="K995">
        <f t="shared" ca="1" si="23"/>
        <v>0.4732456972303325</v>
      </c>
    </row>
    <row r="996" spans="11:11">
      <c r="K996">
        <f t="shared" ca="1" si="23"/>
        <v>0.79528832538938854</v>
      </c>
    </row>
    <row r="997" spans="11:11">
      <c r="K997">
        <f t="shared" ca="1" si="23"/>
        <v>0.91749113697018658</v>
      </c>
    </row>
    <row r="998" spans="11:11">
      <c r="K998">
        <f t="shared" ca="1" si="23"/>
        <v>1.7355806024784926E-2</v>
      </c>
    </row>
    <row r="999" spans="11:11">
      <c r="K999">
        <f t="shared" ca="1" si="23"/>
        <v>0.36242055747503965</v>
      </c>
    </row>
    <row r="1000" spans="11:11">
      <c r="K1000">
        <f t="shared" ca="1" si="23"/>
        <v>0.82766151934454357</v>
      </c>
    </row>
    <row r="1001" spans="11:11">
      <c r="K1001">
        <f t="shared" ca="1" si="23"/>
        <v>0.99778681032285066</v>
      </c>
    </row>
    <row r="1002" spans="11:11">
      <c r="K1002">
        <f t="shared" ca="1" si="23"/>
        <v>0.53776931563453534</v>
      </c>
    </row>
    <row r="1003" spans="11:11">
      <c r="K1003">
        <f t="shared" ca="1" si="23"/>
        <v>7.0731367878281048E-2</v>
      </c>
    </row>
    <row r="1004" spans="11:11">
      <c r="K1004">
        <f t="shared" ca="1" si="23"/>
        <v>0.48595519184336844</v>
      </c>
    </row>
    <row r="1005" spans="11:11">
      <c r="K1005">
        <f t="shared" ca="1" si="23"/>
        <v>0.93306381367688562</v>
      </c>
    </row>
    <row r="1006" spans="11:11">
      <c r="K1006">
        <f t="shared" ca="1" si="23"/>
        <v>0.18422820489169922</v>
      </c>
    </row>
    <row r="1007" spans="11:11">
      <c r="K1007">
        <f t="shared" ca="1" si="23"/>
        <v>0.42573392978213231</v>
      </c>
    </row>
    <row r="1008" spans="11:11">
      <c r="K1008">
        <f t="shared" ca="1" si="23"/>
        <v>0.6547611316277635</v>
      </c>
    </row>
    <row r="1009" spans="11:11">
      <c r="K1009">
        <f t="shared" ca="1" si="23"/>
        <v>0.30136691470973975</v>
      </c>
    </row>
    <row r="1010" spans="11:11">
      <c r="K1010">
        <f t="shared" ca="1" si="23"/>
        <v>0.8449640713226918</v>
      </c>
    </row>
    <row r="1011" spans="11:11">
      <c r="K1011">
        <f t="shared" ca="1" si="23"/>
        <v>0.8417290471122012</v>
      </c>
    </row>
    <row r="1012" spans="11:11">
      <c r="K1012">
        <f t="shared" ca="1" si="23"/>
        <v>0.92873226884971505</v>
      </c>
    </row>
    <row r="1013" spans="11:11">
      <c r="K1013">
        <f t="shared" ca="1" si="23"/>
        <v>0.36609242585834068</v>
      </c>
    </row>
    <row r="1014" spans="11:11">
      <c r="K1014">
        <f t="shared" ca="1" si="23"/>
        <v>0.97288921462323952</v>
      </c>
    </row>
    <row r="1015" spans="11:11">
      <c r="K1015">
        <f t="shared" ca="1" si="23"/>
        <v>0.24569837231134728</v>
      </c>
    </row>
    <row r="1016" spans="11:11">
      <c r="K1016">
        <f t="shared" ca="1" si="23"/>
        <v>0.99963987987117919</v>
      </c>
    </row>
    <row r="1017" spans="11:11">
      <c r="K1017">
        <f t="shared" ca="1" si="23"/>
        <v>0.68907048788018477</v>
      </c>
    </row>
    <row r="1018" spans="11:11">
      <c r="K1018">
        <f t="shared" ref="K1018:K1030" ca="1" si="24">RAND()</f>
        <v>0.37706383859667869</v>
      </c>
    </row>
    <row r="1019" spans="11:11">
      <c r="K1019">
        <f t="shared" ca="1" si="24"/>
        <v>0.44949534110760236</v>
      </c>
    </row>
    <row r="1020" spans="11:11">
      <c r="K1020">
        <f t="shared" ca="1" si="24"/>
        <v>0.29344666647166839</v>
      </c>
    </row>
    <row r="1021" spans="11:11">
      <c r="K1021">
        <f t="shared" ca="1" si="24"/>
        <v>0.53980455800100668</v>
      </c>
    </row>
    <row r="1022" spans="11:11">
      <c r="K1022">
        <f t="shared" ca="1" si="24"/>
        <v>0.78609951979148018</v>
      </c>
    </row>
    <row r="1023" spans="11:11">
      <c r="K1023">
        <f t="shared" ca="1" si="24"/>
        <v>0.36556724662906448</v>
      </c>
    </row>
    <row r="1024" spans="11:11">
      <c r="K1024">
        <f t="shared" ca="1" si="24"/>
        <v>0.6314644477316651</v>
      </c>
    </row>
    <row r="1025" spans="11:11">
      <c r="K1025">
        <f t="shared" ca="1" si="24"/>
        <v>0.27024753983817273</v>
      </c>
    </row>
    <row r="1026" spans="11:11">
      <c r="K1026">
        <f t="shared" ca="1" si="24"/>
        <v>0.77468287269301861</v>
      </c>
    </row>
    <row r="1027" spans="11:11">
      <c r="K1027">
        <f t="shared" ca="1" si="24"/>
        <v>0.81570366057809451</v>
      </c>
    </row>
    <row r="1028" spans="11:11">
      <c r="K1028">
        <f t="shared" ca="1" si="24"/>
        <v>0.94961725671403752</v>
      </c>
    </row>
    <row r="1029" spans="11:11">
      <c r="K1029">
        <f t="shared" ca="1" si="24"/>
        <v>0.40201278161640097</v>
      </c>
    </row>
    <row r="1030" spans="11:11">
      <c r="K1030">
        <f t="shared" ca="1" si="24"/>
        <v>0.75620423530748315</v>
      </c>
    </row>
  </sheetData>
  <phoneticPr fontId="19" type="noConversion"/>
  <pageMargins left="0.75" right="0.75" top="1" bottom="1" header="0.5" footer="0.5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R76"/>
  <sheetViews>
    <sheetView showGridLines="0" topLeftCell="A12" workbookViewId="0">
      <selection activeCell="J10" sqref="J10:K20"/>
    </sheetView>
  </sheetViews>
  <sheetFormatPr defaultRowHeight="12.75"/>
  <cols>
    <col min="3" max="3" width="4.140625" customWidth="1"/>
    <col min="4" max="4" width="9.5703125" bestFit="1" customWidth="1"/>
    <col min="5" max="5" width="10.85546875" bestFit="1" customWidth="1"/>
    <col min="6" max="6" width="4.140625" customWidth="1"/>
    <col min="7" max="8" width="7.5703125" customWidth="1"/>
    <col min="9" max="9" width="8.42578125" customWidth="1"/>
    <col min="10" max="10" width="10.28515625" customWidth="1"/>
    <col min="11" max="11" width="9.28515625" customWidth="1"/>
    <col min="14" max="14" width="16.140625" customWidth="1"/>
    <col min="18" max="18" width="10" customWidth="1"/>
  </cols>
  <sheetData>
    <row r="1" spans="1:18" ht="18">
      <c r="A1" s="264" t="s">
        <v>414</v>
      </c>
      <c r="B1" s="25"/>
      <c r="C1" s="25"/>
      <c r="D1" s="25"/>
      <c r="E1" s="25"/>
      <c r="F1" s="25"/>
    </row>
    <row r="2" spans="1:18" ht="18">
      <c r="A2" s="264" t="s">
        <v>415</v>
      </c>
      <c r="B2" s="25"/>
      <c r="C2" s="25"/>
      <c r="D2" s="25"/>
      <c r="E2" s="25"/>
      <c r="F2" s="25"/>
    </row>
    <row r="3" spans="1:18" ht="18">
      <c r="A3" s="264" t="s">
        <v>416</v>
      </c>
      <c r="B3" s="25"/>
      <c r="C3" s="25"/>
      <c r="D3" s="25"/>
      <c r="E3" s="25"/>
      <c r="F3" s="25"/>
    </row>
    <row r="4" spans="1:18" ht="18">
      <c r="A4" s="264" t="s">
        <v>417</v>
      </c>
      <c r="B4" s="25"/>
      <c r="C4" s="25"/>
      <c r="D4" s="25"/>
      <c r="E4" s="25"/>
      <c r="F4" s="25"/>
    </row>
    <row r="5" spans="1:18" ht="18">
      <c r="A5" s="264" t="s">
        <v>418</v>
      </c>
      <c r="B5" s="25"/>
      <c r="C5" s="25"/>
      <c r="D5" s="25"/>
      <c r="E5" s="25"/>
      <c r="F5" s="25"/>
    </row>
    <row r="7" spans="1:18">
      <c r="A7" s="28"/>
      <c r="N7" s="1"/>
      <c r="O7" s="1"/>
      <c r="P7" s="1"/>
      <c r="Q7" s="1"/>
      <c r="R7" s="1"/>
    </row>
    <row r="8" spans="1:18" ht="15.75">
      <c r="A8" s="306" t="s">
        <v>36</v>
      </c>
      <c r="B8" s="39"/>
      <c r="C8" s="39"/>
      <c r="D8" s="308" t="s">
        <v>37</v>
      </c>
      <c r="E8" s="308" t="s">
        <v>38</v>
      </c>
      <c r="G8" s="309" t="s">
        <v>39</v>
      </c>
      <c r="H8" s="42"/>
      <c r="I8" s="42"/>
      <c r="J8" s="42"/>
      <c r="K8" s="43"/>
      <c r="N8" s="302"/>
      <c r="O8" s="25"/>
      <c r="P8" s="25"/>
      <c r="Q8" s="25"/>
      <c r="R8" s="25"/>
    </row>
    <row r="9" spans="1:18" ht="15.75">
      <c r="A9" s="307"/>
      <c r="B9" s="306" t="s">
        <v>40</v>
      </c>
      <c r="C9" s="307"/>
      <c r="D9" s="305">
        <f>AVERAGE(D15:D76)</f>
        <v>1.7796774193548397E-2</v>
      </c>
      <c r="E9" s="305">
        <f>AVERAGE(E15:E76)</f>
        <v>1.4497471114133683E-2</v>
      </c>
      <c r="G9" s="310" t="s">
        <v>41</v>
      </c>
      <c r="H9" s="314" t="s">
        <v>42</v>
      </c>
      <c r="I9" s="314" t="s">
        <v>43</v>
      </c>
      <c r="J9" s="314" t="s">
        <v>44</v>
      </c>
      <c r="K9" s="315" t="s">
        <v>413</v>
      </c>
      <c r="N9" s="303"/>
      <c r="O9" s="25"/>
      <c r="P9" s="25"/>
      <c r="Q9" s="25"/>
      <c r="R9" s="25"/>
    </row>
    <row r="10" spans="1:18" ht="15.75">
      <c r="A10" s="307"/>
      <c r="B10" s="306" t="s">
        <v>45</v>
      </c>
      <c r="C10" s="307"/>
      <c r="D10" s="305">
        <f>STDEV(D15:D76)</f>
        <v>8.089573124513974E-2</v>
      </c>
      <c r="E10" s="305">
        <f>STDEV(E15:E76)</f>
        <v>8.0182845689718812E-2</v>
      </c>
      <c r="G10" s="311">
        <v>-0.2</v>
      </c>
      <c r="H10" s="317">
        <f t="array" ref="H10:H20">FREQUENCY(E15:E76,G10:G20)</f>
        <v>0</v>
      </c>
      <c r="I10" s="318">
        <f>H10/$H$21</f>
        <v>0</v>
      </c>
      <c r="J10" s="318">
        <f>I10</f>
        <v>0</v>
      </c>
      <c r="K10" s="319">
        <f>NORMDIST(G10,$E$9,$E$10,1)</f>
        <v>3.7353008129118459E-3</v>
      </c>
      <c r="N10" s="303"/>
      <c r="O10" s="25"/>
      <c r="P10" s="25"/>
      <c r="Q10" s="25"/>
      <c r="R10" s="25"/>
    </row>
    <row r="11" spans="1:18">
      <c r="A11" s="307"/>
      <c r="B11" s="306" t="s">
        <v>46</v>
      </c>
      <c r="C11" s="307"/>
      <c r="D11" s="305">
        <f>MAX(D15:D76)</f>
        <v>0.21229999999999999</v>
      </c>
      <c r="E11" s="305">
        <f>MAX(E15:E76)</f>
        <v>0.19251938177040057</v>
      </c>
      <c r="G11" s="312">
        <f>G10+4%</f>
        <v>-0.16</v>
      </c>
      <c r="H11" s="317">
        <v>0</v>
      </c>
      <c r="I11" s="318">
        <f t="shared" ref="I11:I20" si="0">H11/$H$21</f>
        <v>0</v>
      </c>
      <c r="J11" s="318">
        <f>J10+I11</f>
        <v>0</v>
      </c>
      <c r="K11" s="319">
        <f t="shared" ref="K11:K20" si="1">NORMDIST(G11,$E$9,$E$10,1)</f>
        <v>1.4768494245668728E-2</v>
      </c>
      <c r="N11" s="25"/>
      <c r="O11" s="25"/>
      <c r="P11" s="25"/>
      <c r="Q11" s="25"/>
      <c r="R11" s="25"/>
    </row>
    <row r="12" spans="1:18" ht="15.75">
      <c r="A12" s="307"/>
      <c r="B12" s="306" t="s">
        <v>47</v>
      </c>
      <c r="C12" s="307"/>
      <c r="D12" s="305">
        <f>MIN(D15:D76)</f>
        <v>-0.1421</v>
      </c>
      <c r="E12" s="305">
        <f>MIN(E15:E76)</f>
        <v>-0.1532677364032175</v>
      </c>
      <c r="G12" s="312">
        <f t="shared" ref="G12:G20" si="2">G11+4%</f>
        <v>-0.12</v>
      </c>
      <c r="H12" s="317">
        <v>6</v>
      </c>
      <c r="I12" s="318">
        <f t="shared" si="0"/>
        <v>9.6774193548387094E-2</v>
      </c>
      <c r="J12" s="318">
        <f t="shared" ref="J12:J20" si="3">J11+I12</f>
        <v>9.6774193548387094E-2</v>
      </c>
      <c r="K12" s="319">
        <f t="shared" si="1"/>
        <v>4.6733648715786336E-2</v>
      </c>
      <c r="N12" s="302"/>
      <c r="O12" s="25"/>
      <c r="P12" s="25"/>
      <c r="Q12" s="25"/>
      <c r="R12" s="25"/>
    </row>
    <row r="13" spans="1:18" ht="15.75">
      <c r="A13" t="s">
        <v>50</v>
      </c>
      <c r="G13" s="312">
        <f t="shared" si="2"/>
        <v>-7.9999999999999988E-2</v>
      </c>
      <c r="H13" s="317">
        <v>4</v>
      </c>
      <c r="I13" s="318">
        <f t="shared" si="0"/>
        <v>6.4516129032258063E-2</v>
      </c>
      <c r="J13" s="318">
        <f t="shared" si="3"/>
        <v>0.16129032258064516</v>
      </c>
      <c r="K13" s="319">
        <f t="shared" si="1"/>
        <v>0.11929372835210472</v>
      </c>
      <c r="N13" s="303"/>
      <c r="O13" s="25"/>
      <c r="P13" s="25"/>
      <c r="Q13" s="25"/>
      <c r="R13" s="25"/>
    </row>
    <row r="14" spans="1:18" ht="15.75">
      <c r="A14" s="424" t="s">
        <v>48</v>
      </c>
      <c r="B14" s="12"/>
      <c r="C14" s="12"/>
      <c r="D14" s="12" t="s">
        <v>51</v>
      </c>
      <c r="E14" s="13" t="s">
        <v>52</v>
      </c>
      <c r="G14" s="312">
        <f t="shared" si="2"/>
        <v>-3.9999999999999987E-2</v>
      </c>
      <c r="H14" s="317">
        <v>7</v>
      </c>
      <c r="I14" s="318">
        <f t="shared" si="0"/>
        <v>0.11290322580645161</v>
      </c>
      <c r="J14" s="318">
        <f t="shared" si="3"/>
        <v>0.27419354838709675</v>
      </c>
      <c r="K14" s="319">
        <f t="shared" si="1"/>
        <v>0.24835831182593426</v>
      </c>
      <c r="N14" s="303"/>
      <c r="O14" s="25"/>
      <c r="P14" s="25"/>
      <c r="Q14" s="25"/>
      <c r="R14" s="25"/>
    </row>
    <row r="15" spans="1:18">
      <c r="A15" s="33">
        <v>33662</v>
      </c>
      <c r="B15" s="34">
        <v>1</v>
      </c>
      <c r="C15" s="34"/>
      <c r="D15" s="35">
        <v>7.0599999999999996E-2</v>
      </c>
      <c r="E15" s="40">
        <f t="shared" ref="E15:E76" si="4">LN(1+D15)</f>
        <v>6.8219238977143853E-2</v>
      </c>
      <c r="G15" s="312">
        <f t="shared" si="2"/>
        <v>0</v>
      </c>
      <c r="H15" s="317">
        <v>10</v>
      </c>
      <c r="I15" s="318">
        <f t="shared" si="0"/>
        <v>0.16129032258064516</v>
      </c>
      <c r="J15" s="318">
        <f t="shared" si="3"/>
        <v>0.43548387096774188</v>
      </c>
      <c r="K15" s="319">
        <f t="shared" si="1"/>
        <v>0.42826026191692002</v>
      </c>
      <c r="N15" s="25"/>
      <c r="O15" s="25"/>
      <c r="P15" s="25"/>
      <c r="Q15" s="25"/>
      <c r="R15" s="25"/>
    </row>
    <row r="16" spans="1:18">
      <c r="A16" s="33">
        <v>33694</v>
      </c>
      <c r="B16" s="34">
        <v>2</v>
      </c>
      <c r="C16" s="34"/>
      <c r="D16" s="35">
        <v>-0.1154</v>
      </c>
      <c r="E16" s="40">
        <f t="shared" si="4"/>
        <v>-0.12261971354791061</v>
      </c>
      <c r="G16" s="312">
        <f t="shared" si="2"/>
        <v>0.04</v>
      </c>
      <c r="H16" s="317">
        <v>5</v>
      </c>
      <c r="I16" s="318">
        <f t="shared" si="0"/>
        <v>8.0645161290322578E-2</v>
      </c>
      <c r="J16" s="318">
        <f t="shared" si="3"/>
        <v>0.5161290322580645</v>
      </c>
      <c r="K16" s="319">
        <f t="shared" si="1"/>
        <v>0.62477826789306745</v>
      </c>
      <c r="N16" s="25"/>
      <c r="O16" s="25"/>
      <c r="P16" s="25"/>
      <c r="Q16" s="25"/>
      <c r="R16" s="25"/>
    </row>
    <row r="17" spans="1:18" ht="15.75">
      <c r="A17" s="33">
        <v>33724</v>
      </c>
      <c r="B17" s="34">
        <v>3</v>
      </c>
      <c r="C17" s="34"/>
      <c r="D17" s="35">
        <v>7.7700000000000005E-2</v>
      </c>
      <c r="E17" s="40">
        <f t="shared" si="4"/>
        <v>7.4829140620649076E-2</v>
      </c>
      <c r="G17" s="312">
        <f t="shared" si="2"/>
        <v>0.08</v>
      </c>
      <c r="H17" s="317">
        <v>16</v>
      </c>
      <c r="I17" s="318">
        <f t="shared" si="0"/>
        <v>0.25806451612903225</v>
      </c>
      <c r="J17" s="318">
        <f t="shared" si="3"/>
        <v>0.77419354838709675</v>
      </c>
      <c r="K17" s="319">
        <f t="shared" si="1"/>
        <v>0.79301135314034488</v>
      </c>
      <c r="N17" s="302"/>
      <c r="O17" s="25"/>
      <c r="P17" s="25"/>
      <c r="Q17" s="25"/>
      <c r="R17" s="25"/>
    </row>
    <row r="18" spans="1:18" ht="15.75">
      <c r="A18" s="33">
        <v>33753</v>
      </c>
      <c r="B18" s="34">
        <v>4</v>
      </c>
      <c r="C18" s="34"/>
      <c r="D18" s="35">
        <v>0.1066</v>
      </c>
      <c r="E18" s="40">
        <f t="shared" si="4"/>
        <v>0.10129225148187235</v>
      </c>
      <c r="G18" s="312">
        <f t="shared" si="2"/>
        <v>0.12</v>
      </c>
      <c r="H18" s="317">
        <v>9</v>
      </c>
      <c r="I18" s="318">
        <f t="shared" si="0"/>
        <v>0.14516129032258066</v>
      </c>
      <c r="J18" s="318">
        <f t="shared" si="3"/>
        <v>0.91935483870967738</v>
      </c>
      <c r="K18" s="319">
        <f t="shared" si="1"/>
        <v>0.90587509875612926</v>
      </c>
      <c r="N18" s="303"/>
      <c r="O18" s="25"/>
      <c r="P18" s="25"/>
      <c r="Q18" s="25"/>
      <c r="R18" s="25"/>
    </row>
    <row r="19" spans="1:18" ht="15.75">
      <c r="A19" s="33">
        <v>33785</v>
      </c>
      <c r="B19" s="34">
        <v>5</v>
      </c>
      <c r="C19" s="34"/>
      <c r="D19" s="35">
        <v>-0.1172</v>
      </c>
      <c r="E19" s="40">
        <f t="shared" si="4"/>
        <v>-0.12465660459955569</v>
      </c>
      <c r="G19" s="312">
        <f t="shared" si="2"/>
        <v>0.16</v>
      </c>
      <c r="H19" s="317">
        <v>4</v>
      </c>
      <c r="I19" s="318">
        <f t="shared" si="0"/>
        <v>6.4516129032258063E-2</v>
      </c>
      <c r="J19" s="318">
        <f t="shared" si="3"/>
        <v>0.9838709677419355</v>
      </c>
      <c r="K19" s="319">
        <f t="shared" si="1"/>
        <v>0.96520992350135049</v>
      </c>
      <c r="N19" s="303"/>
      <c r="O19" s="25"/>
      <c r="P19" s="25"/>
      <c r="Q19" s="25"/>
      <c r="R19" s="25"/>
    </row>
    <row r="20" spans="1:18">
      <c r="A20" s="33">
        <v>33816</v>
      </c>
      <c r="B20" s="34">
        <v>6</v>
      </c>
      <c r="C20" s="34"/>
      <c r="D20" s="35">
        <v>-8.2600000000000007E-2</v>
      </c>
      <c r="E20" s="40">
        <f t="shared" si="4"/>
        <v>-8.6211696819065445E-2</v>
      </c>
      <c r="G20" s="313">
        <f t="shared" si="2"/>
        <v>0.2</v>
      </c>
      <c r="H20" s="317">
        <v>1</v>
      </c>
      <c r="I20" s="318">
        <f t="shared" si="0"/>
        <v>1.6129032258064516E-2</v>
      </c>
      <c r="J20" s="318">
        <f t="shared" si="3"/>
        <v>1</v>
      </c>
      <c r="K20" s="319">
        <f>NORMDIST(G20,$E$9,$E$10,1)</f>
        <v>0.98965225166264514</v>
      </c>
      <c r="N20" s="25"/>
      <c r="O20" s="25"/>
      <c r="P20" s="25"/>
      <c r="Q20" s="25"/>
      <c r="R20" s="25"/>
    </row>
    <row r="21" spans="1:18" ht="13.5" thickBot="1">
      <c r="A21" s="33">
        <v>33847</v>
      </c>
      <c r="B21" s="34">
        <v>7</v>
      </c>
      <c r="C21" s="34"/>
      <c r="D21" s="35">
        <v>-2.8899999999999999E-2</v>
      </c>
      <c r="E21" s="40">
        <f t="shared" si="4"/>
        <v>-2.9325829381828733E-2</v>
      </c>
      <c r="G21" s="320" t="s">
        <v>49</v>
      </c>
      <c r="H21" s="316">
        <f>SUM(H10:H20)</f>
        <v>62</v>
      </c>
      <c r="I21" s="30"/>
      <c r="J21" s="30"/>
      <c r="K21" s="31"/>
      <c r="N21" s="25"/>
      <c r="O21" s="25"/>
      <c r="P21" s="25"/>
      <c r="Q21" s="25"/>
      <c r="R21" s="25"/>
    </row>
    <row r="22" spans="1:18" ht="15.75">
      <c r="A22" s="33">
        <v>33877</v>
      </c>
      <c r="B22" s="34">
        <v>8</v>
      </c>
      <c r="C22" s="34"/>
      <c r="D22" s="35">
        <v>9.9299999999999999E-2</v>
      </c>
      <c r="E22" s="40">
        <f t="shared" si="4"/>
        <v>9.4673613602680992E-2</v>
      </c>
      <c r="I22" s="30"/>
      <c r="J22" s="30"/>
      <c r="N22" s="302"/>
      <c r="O22" s="25"/>
      <c r="P22" s="25"/>
      <c r="Q22" s="25"/>
      <c r="R22" s="25"/>
    </row>
    <row r="23" spans="1:18" ht="15.75">
      <c r="A23" s="33">
        <v>33907</v>
      </c>
      <c r="B23" s="34">
        <v>9</v>
      </c>
      <c r="C23" s="34"/>
      <c r="D23" s="35">
        <v>0.1265</v>
      </c>
      <c r="E23" s="40">
        <f t="shared" si="4"/>
        <v>0.11911548089016212</v>
      </c>
      <c r="G23" s="28"/>
      <c r="H23" s="32"/>
      <c r="I23" s="30"/>
      <c r="N23" s="303"/>
      <c r="O23" s="25"/>
      <c r="P23" s="25"/>
      <c r="Q23" s="25"/>
      <c r="R23" s="25"/>
    </row>
    <row r="24" spans="1:18" ht="15.75">
      <c r="A24" s="33">
        <v>33938</v>
      </c>
      <c r="B24" s="34">
        <v>10</v>
      </c>
      <c r="C24" s="34"/>
      <c r="D24" s="35">
        <v>7.7499999999999999E-2</v>
      </c>
      <c r="E24" s="40">
        <f t="shared" si="4"/>
        <v>7.4643542995765713E-2</v>
      </c>
      <c r="G24" s="8"/>
      <c r="H24" s="8"/>
      <c r="I24" s="8"/>
      <c r="N24" s="303"/>
      <c r="O24" s="25"/>
      <c r="P24" s="25"/>
      <c r="Q24" s="25"/>
      <c r="R24" s="25"/>
    </row>
    <row r="25" spans="1:18">
      <c r="A25" s="33">
        <v>33969</v>
      </c>
      <c r="B25" s="34">
        <v>11</v>
      </c>
      <c r="C25" s="34"/>
      <c r="D25" s="35">
        <v>5.96E-2</v>
      </c>
      <c r="E25" s="40">
        <f t="shared" si="4"/>
        <v>5.7891478415777679E-2</v>
      </c>
      <c r="H25" s="29"/>
      <c r="I25" s="30"/>
      <c r="N25" s="1"/>
      <c r="O25" s="1"/>
      <c r="P25" s="1"/>
      <c r="Q25" s="1"/>
      <c r="R25" s="1"/>
    </row>
    <row r="26" spans="1:18">
      <c r="A26" s="33">
        <v>33998</v>
      </c>
      <c r="B26" s="34">
        <v>12</v>
      </c>
      <c r="C26" s="34"/>
      <c r="D26" s="35">
        <v>-0.1171</v>
      </c>
      <c r="E26" s="40">
        <f t="shared" si="4"/>
        <v>-0.12454333507460025</v>
      </c>
      <c r="H26" s="29"/>
      <c r="I26" s="30"/>
    </row>
    <row r="27" spans="1:18">
      <c r="A27" s="33">
        <v>34026</v>
      </c>
      <c r="B27" s="34">
        <v>13</v>
      </c>
      <c r="C27" s="34"/>
      <c r="D27" s="35">
        <v>4.4999999999999998E-2</v>
      </c>
      <c r="E27" s="40">
        <f t="shared" si="4"/>
        <v>4.401688541677426E-2</v>
      </c>
      <c r="H27" s="29"/>
      <c r="I27" s="30"/>
    </row>
    <row r="28" spans="1:18">
      <c r="A28" s="33">
        <v>34059</v>
      </c>
      <c r="B28" s="34">
        <v>14</v>
      </c>
      <c r="C28" s="34"/>
      <c r="D28" s="35">
        <v>-3.0499999999999999E-2</v>
      </c>
      <c r="E28" s="40">
        <f t="shared" si="4"/>
        <v>-3.0974804299430527E-2</v>
      </c>
      <c r="H28" s="29"/>
      <c r="I28" s="30"/>
    </row>
    <row r="29" spans="1:18">
      <c r="A29" s="33">
        <v>34089</v>
      </c>
      <c r="B29" s="34">
        <v>15</v>
      </c>
      <c r="C29" s="34"/>
      <c r="D29" s="35">
        <v>-1.2999999999999999E-2</v>
      </c>
      <c r="E29" s="40">
        <f t="shared" si="4"/>
        <v>-1.3085239548655481E-2</v>
      </c>
      <c r="H29" s="29"/>
      <c r="I29" s="30"/>
    </row>
    <row r="30" spans="1:18">
      <c r="A30" s="33">
        <v>34120</v>
      </c>
      <c r="B30" s="34">
        <v>16</v>
      </c>
      <c r="C30" s="34"/>
      <c r="D30" s="35">
        <v>0.13789999999999999</v>
      </c>
      <c r="E30" s="40">
        <f t="shared" si="4"/>
        <v>0.12918445838082582</v>
      </c>
    </row>
    <row r="31" spans="1:18">
      <c r="A31" s="33">
        <v>34150</v>
      </c>
      <c r="B31" s="34">
        <v>17</v>
      </c>
      <c r="C31" s="34"/>
      <c r="D31" s="35">
        <v>5.1299999999999998E-2</v>
      </c>
      <c r="E31" s="40">
        <f t="shared" si="4"/>
        <v>5.0027493599648067E-2</v>
      </c>
    </row>
    <row r="32" spans="1:18">
      <c r="A32" s="33">
        <v>34180</v>
      </c>
      <c r="B32" s="34">
        <v>18</v>
      </c>
      <c r="C32" s="34"/>
      <c r="D32" s="35">
        <v>4.4400000000000002E-2</v>
      </c>
      <c r="E32" s="40">
        <f t="shared" si="4"/>
        <v>4.3442557842836724E-2</v>
      </c>
    </row>
    <row r="33" spans="1:5">
      <c r="A33" s="33">
        <v>34212</v>
      </c>
      <c r="B33" s="34">
        <v>19</v>
      </c>
      <c r="C33" s="34"/>
      <c r="D33" s="35">
        <v>0.21229999999999999</v>
      </c>
      <c r="E33" s="40">
        <f t="shared" si="4"/>
        <v>0.19251938177040057</v>
      </c>
    </row>
    <row r="34" spans="1:5">
      <c r="A34" s="33">
        <v>34242</v>
      </c>
      <c r="B34" s="34">
        <v>20</v>
      </c>
      <c r="C34" s="34"/>
      <c r="D34" s="35">
        <v>-0.1191</v>
      </c>
      <c r="E34" s="40">
        <f t="shared" si="4"/>
        <v>-0.12681116686638705</v>
      </c>
    </row>
    <row r="35" spans="1:5">
      <c r="A35" s="33">
        <v>34271</v>
      </c>
      <c r="B35" s="34">
        <v>21</v>
      </c>
      <c r="C35" s="34"/>
      <c r="D35" s="35">
        <v>9.9400000000000002E-2</v>
      </c>
      <c r="E35" s="40">
        <f t="shared" si="4"/>
        <v>9.4764576444422877E-2</v>
      </c>
    </row>
    <row r="36" spans="1:5">
      <c r="A36" s="33">
        <v>34303</v>
      </c>
      <c r="B36" s="34">
        <v>22</v>
      </c>
      <c r="C36" s="34"/>
      <c r="D36" s="35">
        <v>-4.3400000000000001E-2</v>
      </c>
      <c r="E36" s="40">
        <f t="shared" si="4"/>
        <v>-4.4369947735940531E-2</v>
      </c>
    </row>
    <row r="37" spans="1:5">
      <c r="A37" s="33">
        <v>34334</v>
      </c>
      <c r="B37" s="34">
        <v>23</v>
      </c>
      <c r="C37" s="34"/>
      <c r="D37" s="35">
        <v>0.1229</v>
      </c>
      <c r="E37" s="40">
        <f t="shared" si="4"/>
        <v>0.11591462459635593</v>
      </c>
    </row>
    <row r="38" spans="1:5">
      <c r="A38" s="33">
        <v>34365</v>
      </c>
      <c r="B38" s="34">
        <v>24</v>
      </c>
      <c r="C38" s="34"/>
      <c r="D38" s="35">
        <v>-1.43E-2</v>
      </c>
      <c r="E38" s="40">
        <f t="shared" si="4"/>
        <v>-1.4403230310743743E-2</v>
      </c>
    </row>
    <row r="39" spans="1:5">
      <c r="A39" s="33">
        <v>34393</v>
      </c>
      <c r="B39" s="34">
        <v>25</v>
      </c>
      <c r="C39" s="34"/>
      <c r="D39" s="35">
        <v>2.7300000000000001E-2</v>
      </c>
      <c r="E39" s="40">
        <f t="shared" si="4"/>
        <v>2.6934001240081041E-2</v>
      </c>
    </row>
    <row r="40" spans="1:5">
      <c r="A40" s="33">
        <v>34424</v>
      </c>
      <c r="B40" s="34">
        <v>26</v>
      </c>
      <c r="C40" s="34"/>
      <c r="D40" s="35">
        <v>-0.1421</v>
      </c>
      <c r="E40" s="40">
        <f t="shared" si="4"/>
        <v>-0.1532677364032175</v>
      </c>
    </row>
    <row r="41" spans="1:5">
      <c r="A41" s="33">
        <v>34453</v>
      </c>
      <c r="B41" s="34">
        <v>27</v>
      </c>
      <c r="C41" s="34"/>
      <c r="D41" s="35">
        <v>5.4199999999999998E-2</v>
      </c>
      <c r="E41" s="40">
        <f t="shared" si="4"/>
        <v>5.2782185438969481E-2</v>
      </c>
    </row>
    <row r="42" spans="1:5">
      <c r="A42" s="33">
        <v>34485</v>
      </c>
      <c r="B42" s="34">
        <v>28</v>
      </c>
      <c r="C42" s="34"/>
      <c r="D42" s="35">
        <v>-2.3900000000000001E-2</v>
      </c>
      <c r="E42" s="40">
        <f t="shared" si="4"/>
        <v>-2.4190238801217671E-2</v>
      </c>
    </row>
    <row r="43" spans="1:5">
      <c r="A43" s="33">
        <v>34515</v>
      </c>
      <c r="B43" s="34">
        <v>29</v>
      </c>
      <c r="C43" s="34"/>
      <c r="D43" s="35">
        <v>-7.7200000000000005E-2</v>
      </c>
      <c r="E43" s="40">
        <f t="shared" si="4"/>
        <v>-8.0342752682538501E-2</v>
      </c>
    </row>
    <row r="44" spans="1:5">
      <c r="A44" s="33">
        <v>34544</v>
      </c>
      <c r="B44" s="34">
        <v>30</v>
      </c>
      <c r="C44" s="34"/>
      <c r="D44" s="35">
        <v>0.12959999999999999</v>
      </c>
      <c r="E44" s="40">
        <f t="shared" si="4"/>
        <v>0.12186358775684052</v>
      </c>
    </row>
    <row r="45" spans="1:5">
      <c r="A45" s="33">
        <v>34577</v>
      </c>
      <c r="B45" s="34">
        <v>31</v>
      </c>
      <c r="C45" s="34"/>
      <c r="D45" s="35">
        <v>0.13550000000000001</v>
      </c>
      <c r="E45" s="40">
        <f t="shared" si="4"/>
        <v>0.12707308256347608</v>
      </c>
    </row>
    <row r="46" spans="1:5">
      <c r="A46" s="33">
        <v>34607</v>
      </c>
      <c r="B46" s="34">
        <v>32</v>
      </c>
      <c r="C46" s="34"/>
      <c r="D46" s="35">
        <v>-5.7299999999999997E-2</v>
      </c>
      <c r="E46" s="40">
        <f t="shared" si="4"/>
        <v>-5.9007180580032424E-2</v>
      </c>
    </row>
    <row r="47" spans="1:5">
      <c r="A47" s="33">
        <v>34638</v>
      </c>
      <c r="B47" s="34">
        <v>33</v>
      </c>
      <c r="C47" s="34"/>
      <c r="D47" s="35">
        <v>7.0900000000000005E-2</v>
      </c>
      <c r="E47" s="40">
        <f t="shared" si="4"/>
        <v>6.8499416424692261E-2</v>
      </c>
    </row>
    <row r="48" spans="1:5">
      <c r="A48" s="33">
        <v>34668</v>
      </c>
      <c r="B48" s="34">
        <v>34</v>
      </c>
      <c r="C48" s="34"/>
      <c r="D48" s="35">
        <v>-4.2599999999999999E-2</v>
      </c>
      <c r="E48" s="40">
        <f t="shared" si="4"/>
        <v>-4.3534002023728369E-2</v>
      </c>
    </row>
    <row r="49" spans="1:5">
      <c r="A49" s="33">
        <v>34698</v>
      </c>
      <c r="B49" s="34">
        <v>35</v>
      </c>
      <c r="C49" s="34"/>
      <c r="D49" s="35">
        <v>4.6899999999999997E-2</v>
      </c>
      <c r="E49" s="40">
        <f t="shared" si="4"/>
        <v>4.5833416343172152E-2</v>
      </c>
    </row>
    <row r="50" spans="1:5">
      <c r="A50" s="33">
        <v>34730</v>
      </c>
      <c r="B50" s="34">
        <v>36</v>
      </c>
      <c r="C50" s="34"/>
      <c r="D50" s="35">
        <v>-0.1132</v>
      </c>
      <c r="E50" s="40">
        <f t="shared" si="4"/>
        <v>-0.12013580123998062</v>
      </c>
    </row>
    <row r="51" spans="1:5">
      <c r="A51" s="33">
        <v>34758</v>
      </c>
      <c r="B51" s="34">
        <v>37</v>
      </c>
      <c r="C51" s="34"/>
      <c r="D51" s="35">
        <v>5.3E-3</v>
      </c>
      <c r="E51" s="40">
        <f t="shared" si="4"/>
        <v>5.2860044292374377E-3</v>
      </c>
    </row>
    <row r="52" spans="1:5">
      <c r="A52" s="33">
        <v>34789</v>
      </c>
      <c r="B52" s="34">
        <v>38</v>
      </c>
      <c r="C52" s="34"/>
      <c r="D52" s="35">
        <v>5.0299999999999997E-2</v>
      </c>
      <c r="E52" s="40">
        <f t="shared" si="4"/>
        <v>4.9075837646592645E-2</v>
      </c>
    </row>
    <row r="53" spans="1:5">
      <c r="A53" s="33">
        <v>34817</v>
      </c>
      <c r="B53" s="34">
        <v>39</v>
      </c>
      <c r="C53" s="34"/>
      <c r="D53" s="35">
        <v>-2.0199999999999999E-2</v>
      </c>
      <c r="E53" s="40">
        <f t="shared" si="4"/>
        <v>-2.040680977766262E-2</v>
      </c>
    </row>
    <row r="54" spans="1:5">
      <c r="A54" s="33">
        <v>34850</v>
      </c>
      <c r="B54" s="34">
        <v>40</v>
      </c>
      <c r="C54" s="34"/>
      <c r="D54" s="35">
        <v>6.4299999999999996E-2</v>
      </c>
      <c r="E54" s="40">
        <f t="shared" si="4"/>
        <v>6.2317306064861584E-2</v>
      </c>
    </row>
    <row r="55" spans="1:5">
      <c r="A55" s="33">
        <v>34880</v>
      </c>
      <c r="B55" s="34">
        <v>41</v>
      </c>
      <c r="C55" s="34"/>
      <c r="D55" s="35">
        <v>0.128</v>
      </c>
      <c r="E55" s="40">
        <f t="shared" si="4"/>
        <v>0.12044615307586726</v>
      </c>
    </row>
    <row r="56" spans="1:5">
      <c r="A56" s="33">
        <v>34911</v>
      </c>
      <c r="B56" s="34">
        <v>42</v>
      </c>
      <c r="C56" s="34"/>
      <c r="D56" s="35">
        <v>2.5700000000000001E-2</v>
      </c>
      <c r="E56" s="40">
        <f t="shared" si="4"/>
        <v>2.5375306331228299E-2</v>
      </c>
    </row>
    <row r="57" spans="1:5">
      <c r="A57" s="33">
        <v>34942</v>
      </c>
      <c r="B57" s="34">
        <v>43</v>
      </c>
      <c r="C57" s="34"/>
      <c r="D57" s="35">
        <v>0.1065</v>
      </c>
      <c r="E57" s="40">
        <f t="shared" si="4"/>
        <v>0.10120188050896733</v>
      </c>
    </row>
    <row r="58" spans="1:5">
      <c r="A58" s="33">
        <v>34971</v>
      </c>
      <c r="B58" s="34">
        <v>44</v>
      </c>
      <c r="C58" s="34"/>
      <c r="D58" s="35">
        <v>1.9E-3</v>
      </c>
      <c r="E58" s="40">
        <f t="shared" si="4"/>
        <v>1.8981972830802655E-3</v>
      </c>
    </row>
    <row r="59" spans="1:5">
      <c r="A59" s="33">
        <v>35003</v>
      </c>
      <c r="B59" s="34">
        <v>45</v>
      </c>
      <c r="C59" s="34"/>
      <c r="D59" s="35">
        <v>-1.6899999999999998E-2</v>
      </c>
      <c r="E59" s="40">
        <f t="shared" si="4"/>
        <v>-1.7044434609258474E-2</v>
      </c>
    </row>
    <row r="60" spans="1:5">
      <c r="A60" s="33">
        <v>35033</v>
      </c>
      <c r="B60" s="34">
        <v>46</v>
      </c>
      <c r="C60" s="34"/>
      <c r="D60" s="35">
        <v>-0.10340000000000001</v>
      </c>
      <c r="E60" s="40">
        <f t="shared" si="4"/>
        <v>-0.10914544726079799</v>
      </c>
    </row>
    <row r="61" spans="1:5">
      <c r="A61" s="33">
        <v>35062</v>
      </c>
      <c r="B61" s="34">
        <v>47</v>
      </c>
      <c r="C61" s="34"/>
      <c r="D61" s="35">
        <v>-1.4999999999999999E-2</v>
      </c>
      <c r="E61" s="40">
        <f t="shared" si="4"/>
        <v>-1.5113637810048184E-2</v>
      </c>
    </row>
    <row r="62" spans="1:5">
      <c r="A62" s="33">
        <v>35095</v>
      </c>
      <c r="B62" s="34">
        <v>48</v>
      </c>
      <c r="C62" s="34"/>
      <c r="D62" s="35">
        <v>3.04E-2</v>
      </c>
      <c r="E62" s="40">
        <f t="shared" si="4"/>
        <v>2.9947076367952099E-2</v>
      </c>
    </row>
    <row r="63" spans="1:5">
      <c r="A63" s="33">
        <v>35124</v>
      </c>
      <c r="B63" s="34">
        <v>49</v>
      </c>
      <c r="C63" s="34"/>
      <c r="D63" s="35">
        <v>-2.53E-2</v>
      </c>
      <c r="E63" s="40">
        <f t="shared" si="4"/>
        <v>-2.5625547638972731E-2</v>
      </c>
    </row>
    <row r="64" spans="1:5">
      <c r="A64" s="33">
        <v>35153</v>
      </c>
      <c r="B64" s="34">
        <v>50</v>
      </c>
      <c r="C64" s="34"/>
      <c r="D64" s="35">
        <v>4.7500000000000001E-2</v>
      </c>
      <c r="E64" s="40">
        <f t="shared" si="4"/>
        <v>4.6406372814155834E-2</v>
      </c>
    </row>
    <row r="65" spans="1:5">
      <c r="A65" s="33">
        <v>35185</v>
      </c>
      <c r="B65" s="34">
        <v>51</v>
      </c>
      <c r="C65" s="34"/>
      <c r="D65" s="35">
        <v>9.4799999999999995E-2</v>
      </c>
      <c r="E65" s="40">
        <f t="shared" si="4"/>
        <v>9.0571698184386956E-2</v>
      </c>
    </row>
    <row r="66" spans="1:5">
      <c r="A66" s="33">
        <v>35216</v>
      </c>
      <c r="B66" s="34">
        <v>52</v>
      </c>
      <c r="C66" s="34"/>
      <c r="D66" s="35">
        <v>-3.7699999999999997E-2</v>
      </c>
      <c r="E66" s="40">
        <f t="shared" si="4"/>
        <v>-3.8429026619781856E-2</v>
      </c>
    </row>
    <row r="67" spans="1:5">
      <c r="A67" s="33">
        <v>35244</v>
      </c>
      <c r="B67" s="34">
        <v>53</v>
      </c>
      <c r="C67" s="34"/>
      <c r="D67" s="35">
        <v>-6.2600000000000003E-2</v>
      </c>
      <c r="E67" s="40">
        <f t="shared" si="4"/>
        <v>-6.4645193493531289E-2</v>
      </c>
    </row>
    <row r="68" spans="1:5">
      <c r="A68" s="33">
        <v>35277</v>
      </c>
      <c r="B68" s="34">
        <v>54</v>
      </c>
      <c r="C68" s="34"/>
      <c r="D68" s="35">
        <v>-4.1799999999999997E-2</v>
      </c>
      <c r="E68" s="40">
        <f t="shared" si="4"/>
        <v>-4.2698754533115245E-2</v>
      </c>
    </row>
    <row r="69" spans="1:5">
      <c r="A69" s="33">
        <v>35307</v>
      </c>
      <c r="B69" s="34">
        <v>55</v>
      </c>
      <c r="C69" s="34"/>
      <c r="D69" s="35">
        <v>5.6599999999999998E-2</v>
      </c>
      <c r="E69" s="40">
        <f t="shared" si="4"/>
        <v>5.5056205748078388E-2</v>
      </c>
    </row>
    <row r="70" spans="1:5">
      <c r="A70" s="33">
        <v>35338</v>
      </c>
      <c r="B70" s="34">
        <v>56</v>
      </c>
      <c r="C70" s="34"/>
      <c r="D70" s="35">
        <v>-8.6599999999999996E-2</v>
      </c>
      <c r="E70" s="40">
        <f t="shared" si="4"/>
        <v>-9.0581378231238477E-2</v>
      </c>
    </row>
    <row r="71" spans="1:5">
      <c r="A71" s="33">
        <v>35369</v>
      </c>
      <c r="B71" s="34">
        <v>57</v>
      </c>
      <c r="C71" s="34"/>
      <c r="D71" s="35">
        <v>7.22E-2</v>
      </c>
      <c r="E71" s="40">
        <f t="shared" si="4"/>
        <v>6.9712612411300348E-2</v>
      </c>
    </row>
    <row r="72" spans="1:5">
      <c r="A72" s="33">
        <v>35398</v>
      </c>
      <c r="B72" s="34">
        <v>58</v>
      </c>
      <c r="C72" s="34"/>
      <c r="D72" s="35">
        <v>8.4199999999999997E-2</v>
      </c>
      <c r="E72" s="40">
        <f t="shared" si="4"/>
        <v>8.0842387844100805E-2</v>
      </c>
    </row>
    <row r="73" spans="1:5">
      <c r="A73" s="33">
        <v>35430</v>
      </c>
      <c r="B73" s="34">
        <v>59</v>
      </c>
      <c r="C73" s="34"/>
      <c r="D73" s="35">
        <v>-4.2700000000000002E-2</v>
      </c>
      <c r="E73" s="40">
        <f t="shared" si="4"/>
        <v>-4.3638457029829492E-2</v>
      </c>
    </row>
    <row r="74" spans="1:5">
      <c r="A74" s="33">
        <v>35461</v>
      </c>
      <c r="B74" s="34">
        <v>60</v>
      </c>
      <c r="C74" s="34"/>
      <c r="D74" s="35">
        <v>9.5299999999999996E-2</v>
      </c>
      <c r="E74" s="40">
        <f t="shared" si="4"/>
        <v>9.1028298347563763E-2</v>
      </c>
    </row>
    <row r="75" spans="1:5">
      <c r="A75" s="33">
        <v>35489</v>
      </c>
      <c r="B75" s="34">
        <v>61</v>
      </c>
      <c r="C75" s="34"/>
      <c r="D75" s="35">
        <v>7.9600000000000004E-2</v>
      </c>
      <c r="E75" s="40">
        <f t="shared" si="4"/>
        <v>7.6590602161712637E-2</v>
      </c>
    </row>
    <row r="76" spans="1:5">
      <c r="A76" s="36">
        <v>35520</v>
      </c>
      <c r="B76" s="37">
        <v>62</v>
      </c>
      <c r="C76" s="37"/>
      <c r="D76" s="38">
        <v>-4.4600000000000001E-2</v>
      </c>
      <c r="E76" s="41">
        <f t="shared" si="4"/>
        <v>-4.5625178026275554E-2</v>
      </c>
    </row>
  </sheetData>
  <phoneticPr fontId="20" type="noConversion"/>
  <pageMargins left="0.75" right="0.75" top="1" bottom="1" header="0.5" footer="0.5"/>
  <pageSetup orientation="portrait" horizontalDpi="4294967295" r:id="rId1"/>
  <headerFooter alignWithMargins="0"/>
  <drawing r:id="rId2"/>
  <legacyDrawing r:id="rId3"/>
  <oleObjects>
    <oleObject progId="Equation.3" shapeId="10242" r:id="rId4"/>
  </oleObjec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5"/>
  <dimension ref="A1:P47"/>
  <sheetViews>
    <sheetView showGridLines="0" topLeftCell="A24" workbookViewId="0">
      <selection activeCell="C19" sqref="C19"/>
    </sheetView>
  </sheetViews>
  <sheetFormatPr defaultRowHeight="12.75"/>
  <cols>
    <col min="1" max="1" width="13.85546875" style="51" customWidth="1"/>
    <col min="2" max="2" width="9.7109375" style="51" customWidth="1"/>
    <col min="3" max="3" width="9.5703125" style="51" bestFit="1" customWidth="1"/>
    <col min="4" max="6" width="8.7109375" style="51" customWidth="1"/>
    <col min="7" max="11" width="9.140625" style="51"/>
    <col min="12" max="12" width="13.140625" style="51" customWidth="1"/>
    <col min="13" max="16384" width="9.140625" style="51"/>
  </cols>
  <sheetData>
    <row r="1" spans="1:16" ht="27.75">
      <c r="A1" s="59" t="s">
        <v>425</v>
      </c>
      <c r="B1" s="59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</row>
    <row r="2" spans="1:16">
      <c r="A2" s="50"/>
    </row>
    <row r="3" spans="1:16" ht="18.75">
      <c r="A3" s="457" t="s">
        <v>518</v>
      </c>
    </row>
    <row r="4" spans="1:16">
      <c r="A4" s="50"/>
    </row>
    <row r="5" spans="1:16" s="322" customFormat="1" ht="15.75">
      <c r="A5" s="321" t="s">
        <v>55</v>
      </c>
    </row>
    <row r="6" spans="1:16" s="322" customFormat="1">
      <c r="A6" s="475" t="s">
        <v>419</v>
      </c>
      <c r="B6" s="475"/>
      <c r="C6" s="475"/>
      <c r="D6" s="362">
        <v>1</v>
      </c>
    </row>
    <row r="7" spans="1:16" s="322" customFormat="1">
      <c r="A7" s="358" t="s">
        <v>480</v>
      </c>
      <c r="B7" s="361"/>
      <c r="C7" s="358"/>
      <c r="D7" s="363">
        <v>0.04</v>
      </c>
      <c r="E7" s="323"/>
    </row>
    <row r="8" spans="1:16" s="322" customFormat="1" ht="16.5">
      <c r="A8" s="475" t="s">
        <v>481</v>
      </c>
      <c r="B8" s="475"/>
      <c r="C8" s="475"/>
      <c r="D8" s="364">
        <f>EXP(D7)-1</f>
        <v>4.0810774192388211E-2</v>
      </c>
      <c r="E8" s="365" t="s">
        <v>424</v>
      </c>
      <c r="F8" s="324"/>
      <c r="G8" s="324"/>
      <c r="H8" s="324"/>
      <c r="I8" s="324"/>
      <c r="J8" s="324"/>
      <c r="K8" s="324"/>
      <c r="L8" s="304"/>
      <c r="M8" s="325"/>
      <c r="N8" s="325"/>
      <c r="O8" s="325"/>
      <c r="P8" s="325"/>
    </row>
    <row r="9" spans="1:16" s="322" customFormat="1" ht="15">
      <c r="A9" s="475" t="s">
        <v>420</v>
      </c>
      <c r="B9" s="475"/>
      <c r="C9" s="475"/>
      <c r="D9" s="362">
        <v>1</v>
      </c>
      <c r="J9" s="440"/>
      <c r="L9" s="327"/>
      <c r="M9" s="325"/>
      <c r="N9" s="325"/>
      <c r="O9" s="325"/>
      <c r="P9" s="325"/>
    </row>
    <row r="10" spans="1:16" s="322" customFormat="1" ht="15">
      <c r="J10" s="326"/>
      <c r="L10" s="327"/>
      <c r="M10" s="325"/>
      <c r="N10" s="325"/>
      <c r="O10" s="325"/>
      <c r="P10" s="325"/>
    </row>
    <row r="11" spans="1:16" s="322" customFormat="1" ht="15.75">
      <c r="A11" s="321" t="s">
        <v>421</v>
      </c>
      <c r="E11" s="328"/>
      <c r="J11" s="326"/>
    </row>
    <row r="12" spans="1:16" s="324" customFormat="1">
      <c r="A12" s="358" t="s">
        <v>56</v>
      </c>
      <c r="B12" s="358"/>
      <c r="C12" s="359">
        <f>$D$6*EXP($D$7*$D$9)</f>
        <v>1.0408107741923882</v>
      </c>
      <c r="J12" s="329"/>
    </row>
    <row r="13" spans="1:16" s="324" customFormat="1">
      <c r="A13" s="360" t="s">
        <v>422</v>
      </c>
      <c r="B13" s="360"/>
      <c r="C13" s="359">
        <f>$D$6*EXP(-$D$7*$D$9)</f>
        <v>0.96078943915232318</v>
      </c>
      <c r="E13" s="330"/>
    </row>
    <row r="14" spans="1:16" s="324" customFormat="1">
      <c r="C14" s="330"/>
      <c r="E14" s="330"/>
    </row>
    <row r="15" spans="1:16" s="324" customFormat="1">
      <c r="E15" s="330"/>
    </row>
    <row r="16" spans="1:16" s="324" customFormat="1">
      <c r="B16" s="331" t="s">
        <v>57</v>
      </c>
    </row>
    <row r="17" spans="1:9" s="324" customFormat="1" ht="13.5" thickBot="1">
      <c r="B17" s="332"/>
      <c r="C17" s="333" t="s">
        <v>423</v>
      </c>
      <c r="D17" s="334" t="s">
        <v>58</v>
      </c>
      <c r="I17" s="324" t="s">
        <v>59</v>
      </c>
    </row>
    <row r="18" spans="1:9" s="324" customFormat="1" ht="13.5" thickBot="1">
      <c r="B18" s="335"/>
      <c r="C18" s="336">
        <f>C12</f>
        <v>1.0408107741923882</v>
      </c>
      <c r="D18" s="337">
        <f>C13</f>
        <v>0.96078943915232318</v>
      </c>
      <c r="I18" s="324" t="str">
        <f>I17&amp;D7</f>
        <v>Rate = 0.04</v>
      </c>
    </row>
    <row r="19" spans="1:9" s="324" customFormat="1">
      <c r="B19" s="338">
        <v>1</v>
      </c>
      <c r="C19" s="339">
        <f t="dataTable" ref="C19:D28" dt2D="0" dtr="0" r1="D9"/>
        <v>1.0408107741923882</v>
      </c>
      <c r="D19" s="340">
        <v>0.96078943915232318</v>
      </c>
    </row>
    <row r="20" spans="1:9" s="324" customFormat="1">
      <c r="B20" s="338">
        <v>2</v>
      </c>
      <c r="C20" s="339">
        <v>1.0832870676749586</v>
      </c>
      <c r="D20" s="340">
        <v>0.92311634638663576</v>
      </c>
    </row>
    <row r="21" spans="1:9" s="324" customFormat="1">
      <c r="B21" s="338">
        <v>3</v>
      </c>
      <c r="C21" s="339">
        <v>1.1274968515793757</v>
      </c>
      <c r="D21" s="340">
        <v>0.88692043671715748</v>
      </c>
    </row>
    <row r="22" spans="1:9" s="324" customFormat="1">
      <c r="B22" s="338">
        <v>4</v>
      </c>
      <c r="C22" s="339">
        <v>1.1735108709918103</v>
      </c>
      <c r="D22" s="340">
        <v>0.85214378896621135</v>
      </c>
    </row>
    <row r="23" spans="1:9" s="324" customFormat="1">
      <c r="B23" s="338">
        <v>5</v>
      </c>
      <c r="C23" s="339">
        <v>1.2214027581601699</v>
      </c>
      <c r="D23" s="340">
        <v>0.81873075307798182</v>
      </c>
    </row>
    <row r="24" spans="1:9" s="324" customFormat="1">
      <c r="B24" s="338">
        <v>6</v>
      </c>
      <c r="C24" s="339">
        <v>1.2712491503214047</v>
      </c>
      <c r="D24" s="340">
        <v>0.78662786106655347</v>
      </c>
    </row>
    <row r="25" spans="1:9" s="324" customFormat="1">
      <c r="B25" s="338">
        <v>7</v>
      </c>
      <c r="C25" s="339">
        <v>1.3231298123374369</v>
      </c>
      <c r="D25" s="340">
        <v>0.75578374145572547</v>
      </c>
    </row>
    <row r="26" spans="1:9" s="324" customFormat="1">
      <c r="B26" s="338">
        <v>8</v>
      </c>
      <c r="C26" s="339">
        <v>1.3771277643359572</v>
      </c>
      <c r="D26" s="340">
        <v>0.72614903707369094</v>
      </c>
    </row>
    <row r="27" spans="1:9" s="324" customFormat="1">
      <c r="B27" s="338">
        <v>9</v>
      </c>
      <c r="C27" s="339">
        <v>1.4333294145603401</v>
      </c>
      <c r="D27" s="340">
        <v>0.69767632607103103</v>
      </c>
    </row>
    <row r="28" spans="1:9" s="324" customFormat="1">
      <c r="B28" s="341">
        <v>10</v>
      </c>
      <c r="C28" s="342">
        <v>1.4918246976412703</v>
      </c>
      <c r="D28" s="343">
        <v>0.67032004603563933</v>
      </c>
    </row>
    <row r="29" spans="1:9" s="324" customFormat="1">
      <c r="B29" s="344"/>
      <c r="C29" s="345"/>
      <c r="D29" s="345"/>
    </row>
    <row r="30" spans="1:9" s="324" customFormat="1">
      <c r="A30" s="331"/>
      <c r="B30" s="344"/>
      <c r="C30" s="345"/>
      <c r="D30" s="345"/>
    </row>
    <row r="31" spans="1:9" s="324" customFormat="1" ht="13.5" thickBot="1">
      <c r="B31" s="332"/>
      <c r="C31" s="346"/>
      <c r="D31" s="346"/>
      <c r="E31" s="346" t="s">
        <v>60</v>
      </c>
      <c r="F31" s="346"/>
      <c r="G31" s="346"/>
      <c r="H31" s="347"/>
    </row>
    <row r="32" spans="1:9" s="324" customFormat="1" ht="13.5" thickBot="1">
      <c r="B32" s="348">
        <f>C13</f>
        <v>0.96078943915232318</v>
      </c>
      <c r="C32" s="349">
        <v>0.03</v>
      </c>
      <c r="D32" s="350">
        <v>3.5000000000000003E-2</v>
      </c>
      <c r="E32" s="350">
        <v>0.04</v>
      </c>
      <c r="F32" s="350">
        <v>0.05</v>
      </c>
      <c r="G32" s="350">
        <v>5.5E-2</v>
      </c>
      <c r="H32" s="351">
        <v>0.06</v>
      </c>
    </row>
    <row r="33" spans="1:8" s="324" customFormat="1">
      <c r="B33" s="352">
        <v>1</v>
      </c>
      <c r="C33" s="353">
        <f t="dataTable" ref="C33:H42" dt2D="1" dtr="0" r1="D9" r2="D7" ca="1"/>
        <v>0.97044553354850815</v>
      </c>
      <c r="D33" s="353">
        <v>0.96560541625756646</v>
      </c>
      <c r="E33" s="353">
        <v>0.96078943915232318</v>
      </c>
      <c r="F33" s="353">
        <v>0.95122942450071402</v>
      </c>
      <c r="G33" s="353">
        <v>0.94648514795348382</v>
      </c>
      <c r="H33" s="354">
        <v>0.94176453358424872</v>
      </c>
    </row>
    <row r="34" spans="1:8" s="324" customFormat="1">
      <c r="B34" s="338">
        <v>2</v>
      </c>
      <c r="C34" s="353">
        <v>0.94176453358424872</v>
      </c>
      <c r="D34" s="353">
        <v>0.93239381990594827</v>
      </c>
      <c r="E34" s="353">
        <v>0.92311634638663576</v>
      </c>
      <c r="F34" s="353">
        <v>0.90483741803595952</v>
      </c>
      <c r="G34" s="353">
        <v>0.89583413529652822</v>
      </c>
      <c r="H34" s="354">
        <v>0.88692043671715748</v>
      </c>
    </row>
    <row r="35" spans="1:8" s="324" customFormat="1">
      <c r="B35" s="338">
        <v>3</v>
      </c>
      <c r="C35" s="353">
        <v>0.91393118527122819</v>
      </c>
      <c r="D35" s="353">
        <v>0.90032452258626561</v>
      </c>
      <c r="E35" s="353">
        <v>0.88692043671715748</v>
      </c>
      <c r="F35" s="353">
        <v>0.86070797642505781</v>
      </c>
      <c r="G35" s="353">
        <v>0.84789370408791587</v>
      </c>
      <c r="H35" s="354">
        <v>0.835270211411272</v>
      </c>
    </row>
    <row r="36" spans="1:8" s="324" customFormat="1">
      <c r="B36" s="338">
        <v>4</v>
      </c>
      <c r="C36" s="353">
        <v>0.88692043671715748</v>
      </c>
      <c r="D36" s="353">
        <v>0.86935823539880586</v>
      </c>
      <c r="E36" s="353">
        <v>0.85214378896621135</v>
      </c>
      <c r="F36" s="353">
        <v>0.81873075307798182</v>
      </c>
      <c r="G36" s="353">
        <v>0.80251879796247849</v>
      </c>
      <c r="H36" s="354">
        <v>0.78662786106655347</v>
      </c>
    </row>
    <row r="37" spans="1:8" s="324" customFormat="1">
      <c r="A37" s="329"/>
      <c r="B37" s="338">
        <v>5</v>
      </c>
      <c r="C37" s="353">
        <v>0.86070797642505781</v>
      </c>
      <c r="D37" s="353">
        <v>0.83945702076920736</v>
      </c>
      <c r="E37" s="353">
        <v>0.81873075307798182</v>
      </c>
      <c r="F37" s="353">
        <v>0.77880078307140488</v>
      </c>
      <c r="G37" s="353">
        <v>0.75957212322496848</v>
      </c>
      <c r="H37" s="354">
        <v>0.74081822068171788</v>
      </c>
    </row>
    <row r="38" spans="1:8" s="324" customFormat="1">
      <c r="B38" s="338">
        <v>6</v>
      </c>
      <c r="C38" s="353">
        <v>0.835270211411272</v>
      </c>
      <c r="D38" s="353">
        <v>0.81058424597018708</v>
      </c>
      <c r="E38" s="353">
        <v>0.78662786106655347</v>
      </c>
      <c r="F38" s="353">
        <v>0.74081822068171788</v>
      </c>
      <c r="G38" s="353">
        <v>0.71892373343192617</v>
      </c>
      <c r="H38" s="354">
        <v>0.69767632607103103</v>
      </c>
    </row>
    <row r="39" spans="1:8" s="324" customFormat="1">
      <c r="B39" s="338">
        <v>7</v>
      </c>
      <c r="C39" s="353">
        <v>0.81058424597018708</v>
      </c>
      <c r="D39" s="353">
        <v>0.78270453824186814</v>
      </c>
      <c r="E39" s="353">
        <v>0.75578374145572547</v>
      </c>
      <c r="F39" s="353">
        <v>0.70468808971871344</v>
      </c>
      <c r="G39" s="353">
        <v>0.68045063620458768</v>
      </c>
      <c r="H39" s="354">
        <v>0.65704681981505675</v>
      </c>
    </row>
    <row r="40" spans="1:8" s="324" customFormat="1">
      <c r="B40" s="338">
        <v>8</v>
      </c>
      <c r="C40" s="353">
        <v>0.78662786106655347</v>
      </c>
      <c r="D40" s="353">
        <v>0.75578374145572547</v>
      </c>
      <c r="E40" s="353">
        <v>0.72614903707369094</v>
      </c>
      <c r="F40" s="353">
        <v>0.67032004603563933</v>
      </c>
      <c r="G40" s="353">
        <v>0.64403642108314141</v>
      </c>
      <c r="H40" s="354">
        <v>0.61878339180614084</v>
      </c>
    </row>
    <row r="41" spans="1:8" s="324" customFormat="1">
      <c r="B41" s="338">
        <v>9</v>
      </c>
      <c r="C41" s="353">
        <v>0.76337949433685315</v>
      </c>
      <c r="D41" s="353">
        <v>0.72978887426905681</v>
      </c>
      <c r="E41" s="353">
        <v>0.69767632607103103</v>
      </c>
      <c r="F41" s="353">
        <v>0.63762815162177333</v>
      </c>
      <c r="G41" s="353">
        <v>0.60957090729630925</v>
      </c>
      <c r="H41" s="354">
        <v>0.58274825237398964</v>
      </c>
    </row>
    <row r="42" spans="1:8" s="324" customFormat="1">
      <c r="B42" s="341">
        <v>10</v>
      </c>
      <c r="C42" s="355">
        <v>0.74081822068171788</v>
      </c>
      <c r="D42" s="355">
        <v>0.70468808971871344</v>
      </c>
      <c r="E42" s="355">
        <v>0.67032004603563933</v>
      </c>
      <c r="F42" s="355">
        <v>0.60653065971263342</v>
      </c>
      <c r="G42" s="355">
        <v>0.57694981038048665</v>
      </c>
      <c r="H42" s="356">
        <v>0.54881163609402639</v>
      </c>
    </row>
    <row r="43" spans="1:8" s="324" customFormat="1">
      <c r="C43" s="357"/>
    </row>
    <row r="44" spans="1:8" s="324" customFormat="1">
      <c r="C44" s="357"/>
    </row>
    <row r="45" spans="1:8" s="324" customFormat="1">
      <c r="C45" s="357"/>
    </row>
    <row r="46" spans="1:8">
      <c r="C46" s="52"/>
    </row>
    <row r="47" spans="1:8">
      <c r="C47" s="52"/>
    </row>
  </sheetData>
  <mergeCells count="3">
    <mergeCell ref="A6:C6"/>
    <mergeCell ref="A8:C8"/>
    <mergeCell ref="A9:C9"/>
  </mergeCells>
  <phoneticPr fontId="20" type="noConversion"/>
  <pageMargins left="0.75" right="0.75" top="1" bottom="1" header="0.5" footer="0.5"/>
  <headerFooter alignWithMargins="0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2"/>
  <dimension ref="A1:N34"/>
  <sheetViews>
    <sheetView topLeftCell="A13" workbookViewId="0">
      <selection activeCell="G10" sqref="G10"/>
    </sheetView>
  </sheetViews>
  <sheetFormatPr defaultColWidth="10.28515625" defaultRowHeight="15"/>
  <cols>
    <col min="1" max="1" width="14.7109375" style="367" bestFit="1" customWidth="1"/>
    <col min="2" max="2" width="9.42578125" style="367" customWidth="1"/>
    <col min="3" max="3" width="11" style="367" bestFit="1" customWidth="1"/>
    <col min="4" max="4" width="11.5703125" style="367" bestFit="1" customWidth="1"/>
    <col min="5" max="5" width="9.42578125" style="367" customWidth="1"/>
    <col min="6" max="6" width="12.85546875" style="367" bestFit="1" customWidth="1"/>
    <col min="7" max="7" width="11.7109375" style="367" bestFit="1" customWidth="1"/>
    <col min="8" max="8" width="12.140625" style="367" customWidth="1"/>
    <col min="9" max="12" width="8.5703125" style="367" customWidth="1"/>
    <col min="13" max="13" width="10.5703125" style="367" customWidth="1"/>
    <col min="14" max="14" width="10.5703125" style="367" bestFit="1" customWidth="1"/>
    <col min="15" max="16384" width="10.28515625" style="367"/>
  </cols>
  <sheetData>
    <row r="1" spans="1:11" ht="27.75">
      <c r="A1" s="59" t="s">
        <v>445</v>
      </c>
      <c r="B1" s="59"/>
      <c r="C1" s="216"/>
      <c r="D1" s="216"/>
      <c r="E1" s="216"/>
      <c r="F1" s="216"/>
      <c r="G1" s="216"/>
      <c r="H1" s="216"/>
      <c r="I1" s="216"/>
      <c r="J1" s="216"/>
      <c r="K1" s="216"/>
    </row>
    <row r="3" spans="1:11">
      <c r="A3" s="458" t="s">
        <v>519</v>
      </c>
    </row>
    <row r="5" spans="1:11" s="366" customFormat="1" ht="15.75">
      <c r="A5" s="366" t="s">
        <v>48</v>
      </c>
      <c r="B5" s="366" t="s">
        <v>426</v>
      </c>
      <c r="C5" s="366" t="s">
        <v>194</v>
      </c>
      <c r="D5" s="366" t="s">
        <v>427</v>
      </c>
      <c r="E5" s="366" t="s">
        <v>428</v>
      </c>
      <c r="F5" s="366" t="s">
        <v>429</v>
      </c>
      <c r="G5" s="366" t="s">
        <v>430</v>
      </c>
    </row>
    <row r="6" spans="1:11">
      <c r="A6" s="367" t="s">
        <v>92</v>
      </c>
      <c r="B6" s="367">
        <v>2007</v>
      </c>
      <c r="C6" s="367" t="s">
        <v>431</v>
      </c>
      <c r="D6" s="367" t="s">
        <v>432</v>
      </c>
      <c r="E6" s="367">
        <v>2628</v>
      </c>
      <c r="F6" s="367">
        <v>5611</v>
      </c>
      <c r="G6" s="367" t="s">
        <v>433</v>
      </c>
    </row>
    <row r="7" spans="1:11">
      <c r="A7" s="367" t="s">
        <v>92</v>
      </c>
      <c r="B7" s="367">
        <v>2007</v>
      </c>
      <c r="C7" s="367" t="s">
        <v>434</v>
      </c>
      <c r="D7" s="367" t="s">
        <v>435</v>
      </c>
      <c r="E7" s="367">
        <v>8725</v>
      </c>
      <c r="F7" s="367">
        <v>6890</v>
      </c>
      <c r="G7" s="367" t="s">
        <v>436</v>
      </c>
    </row>
    <row r="8" spans="1:11">
      <c r="A8" s="367" t="s">
        <v>92</v>
      </c>
      <c r="B8" s="367">
        <v>2007</v>
      </c>
      <c r="C8" s="367" t="s">
        <v>437</v>
      </c>
      <c r="D8" s="367" t="s">
        <v>438</v>
      </c>
      <c r="E8" s="367">
        <v>6715</v>
      </c>
      <c r="F8" s="367">
        <v>2652</v>
      </c>
      <c r="G8" s="367" t="s">
        <v>439</v>
      </c>
    </row>
    <row r="9" spans="1:11">
      <c r="A9" s="367" t="s">
        <v>92</v>
      </c>
      <c r="B9" s="367">
        <v>2007</v>
      </c>
      <c r="C9" s="367" t="s">
        <v>431</v>
      </c>
      <c r="D9" s="367" t="s">
        <v>440</v>
      </c>
      <c r="E9" s="367">
        <v>4356</v>
      </c>
      <c r="F9" s="367">
        <v>5636</v>
      </c>
      <c r="G9" s="367" t="s">
        <v>441</v>
      </c>
    </row>
    <row r="10" spans="1:11">
      <c r="A10" s="367" t="s">
        <v>92</v>
      </c>
      <c r="B10" s="367">
        <v>2007</v>
      </c>
      <c r="C10" s="367" t="s">
        <v>442</v>
      </c>
      <c r="D10" s="367" t="s">
        <v>440</v>
      </c>
      <c r="E10" s="367">
        <v>9662</v>
      </c>
      <c r="F10" s="367">
        <v>3400</v>
      </c>
      <c r="G10" s="367" t="s">
        <v>436</v>
      </c>
    </row>
    <row r="11" spans="1:11">
      <c r="A11" s="367" t="s">
        <v>92</v>
      </c>
      <c r="B11" s="367">
        <v>2007</v>
      </c>
      <c r="C11" s="367" t="s">
        <v>437</v>
      </c>
      <c r="D11" s="367" t="s">
        <v>435</v>
      </c>
      <c r="E11" s="367">
        <v>1328</v>
      </c>
      <c r="F11" s="367">
        <v>2861</v>
      </c>
      <c r="G11" s="367" t="s">
        <v>433</v>
      </c>
    </row>
    <row r="12" spans="1:11">
      <c r="A12" s="367" t="s">
        <v>93</v>
      </c>
      <c r="B12" s="367">
        <v>2007</v>
      </c>
      <c r="C12" s="367" t="s">
        <v>434</v>
      </c>
      <c r="D12" s="367" t="s">
        <v>438</v>
      </c>
      <c r="E12" s="367">
        <v>3571</v>
      </c>
      <c r="F12" s="367">
        <v>5178</v>
      </c>
      <c r="G12" s="367" t="s">
        <v>439</v>
      </c>
    </row>
    <row r="13" spans="1:11">
      <c r="A13" s="367" t="s">
        <v>93</v>
      </c>
      <c r="B13" s="367">
        <v>2007</v>
      </c>
      <c r="C13" s="367" t="s">
        <v>431</v>
      </c>
      <c r="D13" s="367" t="s">
        <v>432</v>
      </c>
      <c r="E13" s="367">
        <v>6758</v>
      </c>
      <c r="F13" s="367">
        <v>7817</v>
      </c>
      <c r="G13" s="367" t="s">
        <v>439</v>
      </c>
    </row>
    <row r="14" spans="1:11">
      <c r="A14" s="367" t="s">
        <v>93</v>
      </c>
      <c r="B14" s="367">
        <v>2007</v>
      </c>
      <c r="C14" s="367" t="s">
        <v>434</v>
      </c>
      <c r="D14" s="367" t="s">
        <v>438</v>
      </c>
      <c r="E14" s="367">
        <v>4953</v>
      </c>
      <c r="F14" s="367">
        <v>5889</v>
      </c>
      <c r="G14" s="367" t="s">
        <v>433</v>
      </c>
    </row>
    <row r="15" spans="1:11">
      <c r="A15" s="367" t="s">
        <v>93</v>
      </c>
      <c r="B15" s="367">
        <v>2007</v>
      </c>
      <c r="C15" s="367" t="s">
        <v>442</v>
      </c>
      <c r="D15" s="367" t="s">
        <v>435</v>
      </c>
      <c r="E15" s="367">
        <v>4923</v>
      </c>
      <c r="F15" s="367">
        <v>124</v>
      </c>
      <c r="G15" s="367" t="s">
        <v>439</v>
      </c>
    </row>
    <row r="16" spans="1:11">
      <c r="A16" s="367" t="s">
        <v>93</v>
      </c>
      <c r="B16" s="367">
        <v>2007</v>
      </c>
      <c r="C16" s="367" t="s">
        <v>442</v>
      </c>
      <c r="D16" s="367" t="s">
        <v>440</v>
      </c>
      <c r="E16" s="367">
        <v>2666</v>
      </c>
      <c r="F16" s="367">
        <v>744</v>
      </c>
      <c r="G16" s="367" t="s">
        <v>433</v>
      </c>
    </row>
    <row r="17" spans="1:14">
      <c r="A17" s="367" t="s">
        <v>93</v>
      </c>
      <c r="B17" s="367">
        <v>2007</v>
      </c>
      <c r="C17" s="367" t="s">
        <v>437</v>
      </c>
      <c r="D17" s="367" t="s">
        <v>438</v>
      </c>
      <c r="E17" s="367">
        <v>1450</v>
      </c>
      <c r="F17" s="367">
        <v>234</v>
      </c>
      <c r="G17" s="367" t="s">
        <v>433</v>
      </c>
    </row>
    <row r="18" spans="1:14">
      <c r="H18" s="385"/>
      <c r="I18" s="385"/>
      <c r="J18" s="385"/>
      <c r="K18" s="385"/>
      <c r="L18" s="385"/>
      <c r="M18" s="385"/>
    </row>
    <row r="19" spans="1:14">
      <c r="H19" s="1"/>
      <c r="I19" s="1"/>
      <c r="J19" s="385"/>
      <c r="K19" s="385"/>
      <c r="L19" s="385"/>
      <c r="M19" s="385"/>
    </row>
    <row r="20" spans="1:14">
      <c r="H20" s="385"/>
      <c r="I20" s="385"/>
      <c r="J20" s="385"/>
      <c r="K20" s="385"/>
      <c r="L20" s="385"/>
      <c r="M20" s="385"/>
    </row>
    <row r="21" spans="1:14">
      <c r="A21" s="368" t="s">
        <v>443</v>
      </c>
      <c r="B21" s="368" t="s">
        <v>194</v>
      </c>
      <c r="C21" s="369"/>
      <c r="D21" s="369"/>
      <c r="E21" s="369"/>
      <c r="F21" s="370"/>
      <c r="H21" s="1"/>
      <c r="I21" s="1"/>
      <c r="J21" s="1"/>
      <c r="K21" s="1"/>
      <c r="L21" s="1"/>
      <c r="M21" s="1"/>
      <c r="N21"/>
    </row>
    <row r="22" spans="1:14">
      <c r="A22" s="368" t="s">
        <v>430</v>
      </c>
      <c r="B22" s="371" t="s">
        <v>434</v>
      </c>
      <c r="C22" s="372" t="s">
        <v>431</v>
      </c>
      <c r="D22" s="372" t="s">
        <v>442</v>
      </c>
      <c r="E22" s="372" t="s">
        <v>437</v>
      </c>
      <c r="F22" s="373" t="s">
        <v>444</v>
      </c>
      <c r="H22" s="1"/>
      <c r="I22" s="1"/>
      <c r="J22" s="1"/>
      <c r="K22" s="1"/>
      <c r="L22" s="1"/>
      <c r="M22" s="1"/>
      <c r="N22"/>
    </row>
    <row r="23" spans="1:14">
      <c r="A23" s="371" t="s">
        <v>441</v>
      </c>
      <c r="B23" s="374"/>
      <c r="C23" s="375">
        <v>4356</v>
      </c>
      <c r="D23" s="375"/>
      <c r="E23" s="375"/>
      <c r="F23" s="376">
        <v>4356</v>
      </c>
      <c r="H23" s="1"/>
      <c r="I23" s="386"/>
      <c r="J23" s="386"/>
      <c r="K23" s="386"/>
      <c r="L23" s="386"/>
      <c r="M23" s="386"/>
      <c r="N23"/>
    </row>
    <row r="24" spans="1:14">
      <c r="A24" s="377" t="s">
        <v>436</v>
      </c>
      <c r="B24" s="378">
        <v>8725</v>
      </c>
      <c r="C24" s="379"/>
      <c r="D24" s="379">
        <v>9662</v>
      </c>
      <c r="E24" s="379"/>
      <c r="F24" s="380">
        <v>18387</v>
      </c>
      <c r="H24" s="1"/>
      <c r="I24" s="386"/>
      <c r="J24" s="386"/>
      <c r="K24" s="386"/>
      <c r="L24" s="386"/>
      <c r="M24" s="386"/>
      <c r="N24"/>
    </row>
    <row r="25" spans="1:14">
      <c r="A25" s="377" t="s">
        <v>439</v>
      </c>
      <c r="B25" s="378">
        <v>3571</v>
      </c>
      <c r="C25" s="379">
        <v>6758</v>
      </c>
      <c r="D25" s="379">
        <v>4923</v>
      </c>
      <c r="E25" s="379">
        <v>6715</v>
      </c>
      <c r="F25" s="380">
        <v>21967</v>
      </c>
      <c r="H25" s="1"/>
      <c r="I25" s="1"/>
      <c r="J25" s="1"/>
      <c r="K25" s="1"/>
      <c r="L25" s="1"/>
      <c r="M25" s="1"/>
      <c r="N25"/>
    </row>
    <row r="26" spans="1:14">
      <c r="A26" s="377" t="s">
        <v>433</v>
      </c>
      <c r="B26" s="378">
        <v>4953</v>
      </c>
      <c r="C26" s="379">
        <v>2628</v>
      </c>
      <c r="D26" s="379">
        <v>2666</v>
      </c>
      <c r="E26" s="379">
        <v>2778</v>
      </c>
      <c r="F26" s="380">
        <v>13025</v>
      </c>
      <c r="H26" s="1"/>
      <c r="I26" s="1"/>
      <c r="J26" s="1"/>
      <c r="K26" s="1"/>
      <c r="L26" s="1"/>
      <c r="M26" s="1"/>
      <c r="N26"/>
    </row>
    <row r="27" spans="1:14">
      <c r="A27" s="381" t="s">
        <v>444</v>
      </c>
      <c r="B27" s="382">
        <v>17249</v>
      </c>
      <c r="C27" s="383">
        <v>13742</v>
      </c>
      <c r="D27" s="383">
        <v>17251</v>
      </c>
      <c r="E27" s="383">
        <v>9493</v>
      </c>
      <c r="F27" s="384">
        <v>57735</v>
      </c>
      <c r="H27"/>
      <c r="I27"/>
      <c r="J27"/>
      <c r="K27"/>
      <c r="L27"/>
      <c r="M27"/>
      <c r="N27"/>
    </row>
    <row r="28" spans="1:14">
      <c r="H28"/>
      <c r="I28"/>
      <c r="J28"/>
      <c r="K28"/>
      <c r="L28"/>
      <c r="M28"/>
      <c r="N28"/>
    </row>
    <row r="29" spans="1:14">
      <c r="H29"/>
      <c r="I29"/>
      <c r="J29"/>
      <c r="K29"/>
      <c r="L29"/>
      <c r="M29"/>
      <c r="N29"/>
    </row>
    <row r="30" spans="1:14">
      <c r="H30"/>
      <c r="I30"/>
      <c r="J30"/>
      <c r="K30"/>
      <c r="L30"/>
      <c r="M30"/>
      <c r="N30"/>
    </row>
    <row r="31" spans="1:14">
      <c r="H31"/>
      <c r="I31"/>
      <c r="J31"/>
      <c r="K31"/>
      <c r="L31"/>
      <c r="M31"/>
      <c r="N31"/>
    </row>
    <row r="32" spans="1:14">
      <c r="H32"/>
      <c r="I32"/>
      <c r="J32"/>
      <c r="K32"/>
      <c r="L32"/>
      <c r="M32"/>
      <c r="N32"/>
    </row>
    <row r="33" spans="8:14">
      <c r="H33"/>
      <c r="I33"/>
      <c r="J33"/>
      <c r="K33"/>
      <c r="L33"/>
      <c r="M33"/>
      <c r="N33"/>
    </row>
    <row r="34" spans="8:14">
      <c r="H34"/>
      <c r="I34"/>
      <c r="J34"/>
      <c r="K34"/>
      <c r="L34"/>
      <c r="M34"/>
      <c r="N34"/>
    </row>
  </sheetData>
  <phoneticPr fontId="53" type="noConversion"/>
  <pageMargins left="0.75" right="0.75" top="1" bottom="1" header="0.5" footer="0.5"/>
  <pageSetup paperSize="9" orientation="portrait" r:id="rId2"/>
  <headerFooter alignWithMargins="0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3"/>
  <dimension ref="A1:N54"/>
  <sheetViews>
    <sheetView topLeftCell="A17" workbookViewId="0">
      <selection activeCell="A6" sqref="A6"/>
    </sheetView>
  </sheetViews>
  <sheetFormatPr defaultColWidth="10.28515625" defaultRowHeight="15"/>
  <cols>
    <col min="1" max="1" width="14.7109375" style="367" bestFit="1" customWidth="1"/>
    <col min="2" max="2" width="9.42578125" style="367" customWidth="1"/>
    <col min="3" max="3" width="11" style="367" bestFit="1" customWidth="1"/>
    <col min="4" max="4" width="11.5703125" style="367" bestFit="1" customWidth="1"/>
    <col min="5" max="5" width="9.42578125" style="367" customWidth="1"/>
    <col min="6" max="6" width="12.85546875" style="367" bestFit="1" customWidth="1"/>
    <col min="7" max="7" width="11.7109375" style="367" bestFit="1" customWidth="1"/>
    <col min="8" max="8" width="12.140625" style="367" customWidth="1"/>
    <col min="9" max="12" width="8.5703125" style="367" customWidth="1"/>
    <col min="13" max="13" width="10.5703125" style="367" customWidth="1"/>
    <col min="14" max="14" width="10.5703125" style="367" bestFit="1" customWidth="1"/>
    <col min="15" max="16384" width="10.28515625" style="367"/>
  </cols>
  <sheetData>
    <row r="1" spans="1:11" ht="27.75">
      <c r="A1" s="59" t="s">
        <v>494</v>
      </c>
      <c r="B1" s="59"/>
      <c r="C1" s="216"/>
      <c r="D1" s="216"/>
      <c r="E1" s="216"/>
      <c r="F1" s="216"/>
      <c r="G1" s="216"/>
      <c r="H1" s="216"/>
      <c r="I1" s="216"/>
      <c r="J1" s="216"/>
      <c r="K1" s="216"/>
    </row>
    <row r="2" spans="1:11">
      <c r="A2" s="449"/>
      <c r="B2"/>
      <c r="C2"/>
      <c r="D2"/>
      <c r="E2"/>
      <c r="F2"/>
      <c r="G2"/>
      <c r="H2"/>
      <c r="I2"/>
      <c r="J2"/>
    </row>
    <row r="3" spans="1:11">
      <c r="A3" s="459" t="s">
        <v>520</v>
      </c>
      <c r="B3"/>
      <c r="C3"/>
      <c r="D3"/>
      <c r="E3"/>
      <c r="F3"/>
      <c r="G3"/>
      <c r="H3"/>
      <c r="I3"/>
      <c r="J3"/>
    </row>
    <row r="4" spans="1:11">
      <c r="A4" s="367" t="s">
        <v>521</v>
      </c>
      <c r="B4"/>
      <c r="C4"/>
      <c r="D4"/>
      <c r="E4"/>
      <c r="F4"/>
      <c r="G4"/>
      <c r="H4"/>
      <c r="I4"/>
      <c r="J4"/>
    </row>
    <row r="5" spans="1:11">
      <c r="A5" s="367" t="s">
        <v>522</v>
      </c>
      <c r="B5"/>
      <c r="C5"/>
      <c r="D5"/>
      <c r="E5"/>
      <c r="F5"/>
      <c r="G5"/>
      <c r="H5"/>
      <c r="I5"/>
      <c r="J5"/>
    </row>
    <row r="6" spans="1:11">
      <c r="A6" s="449"/>
      <c r="B6"/>
      <c r="C6"/>
      <c r="D6"/>
      <c r="E6"/>
      <c r="F6"/>
      <c r="G6"/>
      <c r="H6"/>
      <c r="I6"/>
      <c r="J6"/>
    </row>
    <row r="7" spans="1:11">
      <c r="A7" s="449" t="s">
        <v>506</v>
      </c>
      <c r="B7"/>
      <c r="C7"/>
      <c r="D7"/>
      <c r="E7"/>
      <c r="F7"/>
      <c r="G7"/>
      <c r="H7"/>
      <c r="I7"/>
      <c r="J7"/>
    </row>
    <row r="8" spans="1:11" s="366" customFormat="1" ht="15.75">
      <c r="A8" s="449"/>
      <c r="B8"/>
      <c r="C8"/>
      <c r="D8"/>
      <c r="E8"/>
      <c r="F8"/>
      <c r="G8"/>
      <c r="H8"/>
      <c r="I8"/>
      <c r="J8"/>
    </row>
    <row r="9" spans="1:11">
      <c r="A9" s="449" t="s">
        <v>503</v>
      </c>
      <c r="B9"/>
      <c r="C9"/>
      <c r="D9"/>
      <c r="E9"/>
      <c r="F9"/>
      <c r="G9"/>
      <c r="H9"/>
      <c r="I9"/>
      <c r="J9"/>
    </row>
    <row r="10" spans="1:11">
      <c r="A10" t="s">
        <v>504</v>
      </c>
      <c r="B10"/>
      <c r="C10"/>
      <c r="D10"/>
      <c r="E10"/>
      <c r="F10"/>
      <c r="G10"/>
      <c r="H10"/>
      <c r="I10" s="99" t="s">
        <v>495</v>
      </c>
      <c r="J10" s="11">
        <f>B23</f>
        <v>-1</v>
      </c>
    </row>
    <row r="11" spans="1:11">
      <c r="A11" t="s">
        <v>505</v>
      </c>
      <c r="B11"/>
      <c r="C11"/>
      <c r="D11"/>
      <c r="E11"/>
      <c r="F11"/>
      <c r="G11"/>
      <c r="H11"/>
      <c r="I11" s="99" t="s">
        <v>496</v>
      </c>
      <c r="J11" s="11">
        <f>B24</f>
        <v>5</v>
      </c>
    </row>
    <row r="12" spans="1:11">
      <c r="A12"/>
      <c r="B12"/>
      <c r="C12"/>
      <c r="D12"/>
      <c r="E12"/>
      <c r="F12"/>
      <c r="G12"/>
      <c r="H12"/>
      <c r="I12"/>
      <c r="J12"/>
    </row>
    <row r="13" spans="1:11" ht="15.75" thickBot="1">
      <c r="A13"/>
      <c r="B13"/>
      <c r="C13"/>
      <c r="D13"/>
      <c r="E13"/>
      <c r="F13"/>
      <c r="G13"/>
      <c r="H13"/>
      <c r="I13" s="450" t="s">
        <v>124</v>
      </c>
      <c r="J13" s="450" t="s">
        <v>497</v>
      </c>
    </row>
    <row r="14" spans="1:11">
      <c r="A14" s="451" t="s">
        <v>498</v>
      </c>
      <c r="B14" s="452"/>
      <c r="C14"/>
      <c r="D14"/>
      <c r="E14"/>
      <c r="F14"/>
      <c r="G14"/>
      <c r="H14"/>
      <c r="I14">
        <v>-1</v>
      </c>
      <c r="J14">
        <v>4</v>
      </c>
    </row>
    <row r="15" spans="1:11" ht="15.75">
      <c r="A15" s="453" t="s">
        <v>497</v>
      </c>
      <c r="B15" s="454">
        <f>B19^2-B19+2</f>
        <v>1.75</v>
      </c>
      <c r="C15"/>
      <c r="D15"/>
      <c r="E15"/>
      <c r="F15"/>
      <c r="G15"/>
      <c r="H15"/>
      <c r="I15">
        <v>-0.85</v>
      </c>
      <c r="J15">
        <v>3.5724999999999998</v>
      </c>
    </row>
    <row r="16" spans="1:11">
      <c r="A16"/>
      <c r="B16"/>
      <c r="C16"/>
      <c r="D16"/>
      <c r="E16"/>
      <c r="F16"/>
      <c r="G16"/>
      <c r="H16"/>
      <c r="I16">
        <v>-0.7</v>
      </c>
      <c r="J16">
        <v>3.19</v>
      </c>
    </row>
    <row r="17" spans="1:14">
      <c r="A17"/>
      <c r="B17"/>
      <c r="C17"/>
      <c r="D17"/>
      <c r="E17"/>
      <c r="F17"/>
      <c r="G17"/>
      <c r="H17"/>
      <c r="I17">
        <v>-0.55000000000000004</v>
      </c>
      <c r="J17">
        <v>2.8525</v>
      </c>
    </row>
    <row r="18" spans="1:14">
      <c r="A18" s="451" t="s">
        <v>499</v>
      </c>
      <c r="B18" s="452"/>
      <c r="C18"/>
      <c r="D18"/>
      <c r="E18"/>
      <c r="F18"/>
      <c r="G18"/>
      <c r="H18"/>
      <c r="I18">
        <v>-0.4</v>
      </c>
      <c r="J18">
        <v>2.56</v>
      </c>
      <c r="K18"/>
    </row>
    <row r="19" spans="1:14" ht="15.75">
      <c r="A19" s="453" t="s">
        <v>124</v>
      </c>
      <c r="B19" s="226">
        <v>0.4999999992439515</v>
      </c>
      <c r="C19"/>
      <c r="D19"/>
      <c r="E19"/>
      <c r="F19"/>
      <c r="G19"/>
      <c r="H19"/>
      <c r="I19">
        <v>-0.25</v>
      </c>
      <c r="J19">
        <v>2.3125</v>
      </c>
      <c r="K19"/>
    </row>
    <row r="20" spans="1:14">
      <c r="A20"/>
      <c r="B20"/>
      <c r="C20"/>
      <c r="D20"/>
      <c r="E20"/>
      <c r="F20"/>
      <c r="G20"/>
      <c r="H20"/>
      <c r="I20">
        <v>-9.9999999999999922E-2</v>
      </c>
      <c r="J20">
        <v>2.11</v>
      </c>
      <c r="K20"/>
    </row>
    <row r="21" spans="1:14">
      <c r="A21"/>
      <c r="B21"/>
      <c r="C21"/>
      <c r="D21"/>
      <c r="E21"/>
      <c r="F21"/>
      <c r="G21"/>
      <c r="H21"/>
      <c r="I21">
        <v>5.0000000000000072E-2</v>
      </c>
      <c r="J21">
        <v>1.9524999999999999</v>
      </c>
      <c r="K21"/>
      <c r="L21" s="385"/>
      <c r="M21" s="385"/>
    </row>
    <row r="22" spans="1:14">
      <c r="A22" s="451" t="s">
        <v>500</v>
      </c>
      <c r="B22" s="452"/>
      <c r="C22"/>
      <c r="D22"/>
      <c r="E22"/>
      <c r="F22"/>
      <c r="G22"/>
      <c r="H22"/>
      <c r="I22">
        <v>0.2</v>
      </c>
      <c r="J22">
        <v>1.84</v>
      </c>
      <c r="K22"/>
      <c r="L22" s="385"/>
      <c r="M22" s="385"/>
    </row>
    <row r="23" spans="1:14">
      <c r="A23" s="99" t="s">
        <v>502</v>
      </c>
      <c r="B23" s="116">
        <v>-1</v>
      </c>
      <c r="C23"/>
      <c r="D23"/>
      <c r="E23"/>
      <c r="F23"/>
      <c r="G23"/>
      <c r="H23"/>
      <c r="I23">
        <v>0.35</v>
      </c>
      <c r="J23">
        <v>1.7725</v>
      </c>
      <c r="K23"/>
      <c r="L23" s="385"/>
      <c r="M23" s="385"/>
    </row>
    <row r="24" spans="1:14">
      <c r="A24" s="99" t="s">
        <v>501</v>
      </c>
      <c r="B24" s="116">
        <v>5</v>
      </c>
      <c r="C24"/>
      <c r="D24"/>
      <c r="E24"/>
      <c r="F24"/>
      <c r="G24"/>
      <c r="H24"/>
      <c r="I24">
        <v>0.5</v>
      </c>
      <c r="J24">
        <v>1.75</v>
      </c>
      <c r="K24"/>
      <c r="L24" s="1"/>
      <c r="M24" s="1"/>
      <c r="N24"/>
    </row>
    <row r="25" spans="1:14">
      <c r="A25"/>
      <c r="B25"/>
      <c r="C25"/>
      <c r="D25"/>
      <c r="E25"/>
      <c r="F25"/>
      <c r="G25"/>
      <c r="H25"/>
      <c r="I25">
        <v>0.65</v>
      </c>
      <c r="J25">
        <v>1.7725</v>
      </c>
      <c r="K25" s="1"/>
      <c r="L25" s="1"/>
      <c r="M25" s="1"/>
      <c r="N25"/>
    </row>
    <row r="26" spans="1:14">
      <c r="A26"/>
      <c r="B26"/>
      <c r="C26"/>
      <c r="D26"/>
      <c r="E26"/>
      <c r="F26"/>
      <c r="G26"/>
      <c r="H26"/>
      <c r="I26">
        <v>0.8</v>
      </c>
      <c r="J26">
        <v>1.84</v>
      </c>
      <c r="K26" s="386"/>
      <c r="L26" s="386"/>
      <c r="M26" s="386"/>
      <c r="N26"/>
    </row>
    <row r="27" spans="1:14">
      <c r="A27"/>
      <c r="B27"/>
      <c r="C27"/>
      <c r="D27"/>
      <c r="E27"/>
      <c r="F27"/>
      <c r="G27"/>
      <c r="H27"/>
      <c r="I27">
        <v>0.95</v>
      </c>
      <c r="J27">
        <v>1.9524999999999999</v>
      </c>
      <c r="K27" s="386"/>
      <c r="L27" s="386"/>
      <c r="M27" s="386"/>
      <c r="N27"/>
    </row>
    <row r="28" spans="1:14">
      <c r="A28"/>
      <c r="B28"/>
      <c r="C28"/>
      <c r="D28"/>
      <c r="E28"/>
      <c r="F28"/>
      <c r="G28"/>
      <c r="H28"/>
      <c r="I28">
        <v>1.1000000000000001</v>
      </c>
      <c r="J28">
        <v>2.11</v>
      </c>
      <c r="K28" s="1"/>
      <c r="L28" s="1"/>
      <c r="M28" s="1"/>
      <c r="N28"/>
    </row>
    <row r="29" spans="1:14">
      <c r="A29"/>
      <c r="B29"/>
      <c r="C29"/>
      <c r="D29"/>
      <c r="E29"/>
      <c r="F29"/>
      <c r="G29"/>
      <c r="H29"/>
      <c r="I29">
        <v>1.25</v>
      </c>
      <c r="J29">
        <v>2.3125</v>
      </c>
      <c r="K29" s="1"/>
      <c r="L29" s="1"/>
      <c r="M29" s="1"/>
      <c r="N29"/>
    </row>
    <row r="30" spans="1:14">
      <c r="A30"/>
      <c r="B30"/>
      <c r="C30"/>
      <c r="D30"/>
      <c r="E30"/>
      <c r="F30"/>
      <c r="G30"/>
      <c r="H30"/>
      <c r="I30">
        <v>1.4</v>
      </c>
      <c r="J30">
        <v>2.56</v>
      </c>
      <c r="K30"/>
      <c r="L30"/>
      <c r="M30"/>
      <c r="N30"/>
    </row>
    <row r="31" spans="1:14">
      <c r="A31"/>
      <c r="B31"/>
      <c r="C31"/>
      <c r="D31"/>
      <c r="E31"/>
      <c r="F31"/>
      <c r="G31"/>
      <c r="H31"/>
      <c r="I31">
        <v>1.55</v>
      </c>
      <c r="J31">
        <v>2.8525</v>
      </c>
      <c r="K31"/>
      <c r="L31"/>
      <c r="M31"/>
      <c r="N31"/>
    </row>
    <row r="32" spans="1:14">
      <c r="A32"/>
      <c r="B32"/>
      <c r="C32" s="455"/>
      <c r="D32"/>
      <c r="E32"/>
      <c r="F32"/>
      <c r="G32"/>
      <c r="H32"/>
      <c r="I32">
        <v>1.7</v>
      </c>
      <c r="J32">
        <v>3.19</v>
      </c>
      <c r="K32"/>
      <c r="L32"/>
      <c r="M32"/>
      <c r="N32"/>
    </row>
    <row r="33" spans="1:14">
      <c r="A33"/>
      <c r="B33"/>
      <c r="C33" s="8"/>
      <c r="D33"/>
      <c r="E33"/>
      <c r="F33"/>
      <c r="G33"/>
      <c r="H33"/>
      <c r="I33">
        <v>1.85</v>
      </c>
      <c r="J33">
        <v>3.5724999999999998</v>
      </c>
      <c r="K33"/>
      <c r="L33"/>
      <c r="M33"/>
      <c r="N33"/>
    </row>
    <row r="34" spans="1:14">
      <c r="A34"/>
      <c r="B34"/>
      <c r="C34" s="8"/>
      <c r="D34"/>
      <c r="E34"/>
      <c r="F34"/>
      <c r="G34"/>
      <c r="H34"/>
      <c r="I34">
        <v>2</v>
      </c>
      <c r="J34">
        <v>4</v>
      </c>
      <c r="K34"/>
      <c r="L34"/>
      <c r="M34"/>
      <c r="N34"/>
    </row>
    <row r="35" spans="1:14">
      <c r="A35"/>
      <c r="B35"/>
      <c r="C35" s="8"/>
      <c r="D35"/>
      <c r="E35"/>
      <c r="F35"/>
      <c r="G35"/>
      <c r="H35"/>
      <c r="I35">
        <v>2.15</v>
      </c>
      <c r="J35">
        <v>4.4725000000000001</v>
      </c>
      <c r="K35"/>
      <c r="L35"/>
      <c r="M35"/>
      <c r="N35"/>
    </row>
    <row r="36" spans="1:14">
      <c r="A36"/>
      <c r="B36"/>
      <c r="C36" s="8"/>
      <c r="D36"/>
      <c r="E36"/>
      <c r="F36"/>
      <c r="G36"/>
      <c r="H36"/>
      <c r="I36">
        <v>2.2999999999999998</v>
      </c>
      <c r="J36">
        <v>4.99</v>
      </c>
      <c r="K36"/>
      <c r="L36"/>
      <c r="M36"/>
      <c r="N36"/>
    </row>
    <row r="37" spans="1:14">
      <c r="A37"/>
      <c r="B37"/>
      <c r="C37" s="8"/>
      <c r="D37"/>
      <c r="E37"/>
      <c r="F37"/>
      <c r="G37"/>
      <c r="H37"/>
      <c r="I37">
        <v>2.4500000000000002</v>
      </c>
      <c r="J37">
        <v>5.5525000000000002</v>
      </c>
      <c r="K37"/>
      <c r="L37"/>
      <c r="M37"/>
      <c r="N37"/>
    </row>
    <row r="38" spans="1:14">
      <c r="A38"/>
      <c r="B38"/>
      <c r="C38" s="8"/>
      <c r="D38"/>
      <c r="E38"/>
      <c r="F38"/>
      <c r="G38"/>
      <c r="H38"/>
      <c r="I38">
        <v>2.6</v>
      </c>
      <c r="J38">
        <v>6.16</v>
      </c>
    </row>
    <row r="39" spans="1:14">
      <c r="A39"/>
      <c r="B39"/>
      <c r="C39" s="8"/>
      <c r="D39"/>
      <c r="E39"/>
      <c r="F39"/>
      <c r="G39"/>
      <c r="H39"/>
      <c r="I39">
        <v>2.75</v>
      </c>
      <c r="J39">
        <v>6.8125</v>
      </c>
    </row>
    <row r="40" spans="1:14">
      <c r="A40"/>
      <c r="B40"/>
      <c r="C40" s="8"/>
      <c r="D40"/>
      <c r="E40"/>
      <c r="F40"/>
      <c r="G40"/>
      <c r="H40"/>
      <c r="I40">
        <v>2.9</v>
      </c>
      <c r="J40">
        <v>7.51</v>
      </c>
    </row>
    <row r="41" spans="1:14">
      <c r="A41"/>
      <c r="B41"/>
      <c r="C41" s="8"/>
      <c r="D41"/>
      <c r="E41"/>
      <c r="F41"/>
      <c r="G41"/>
      <c r="H41"/>
      <c r="I41">
        <v>3.05</v>
      </c>
      <c r="J41">
        <v>8.2524999999999942</v>
      </c>
    </row>
    <row r="42" spans="1:14">
      <c r="A42"/>
      <c r="B42"/>
      <c r="C42" s="8"/>
      <c r="D42"/>
      <c r="E42"/>
      <c r="F42"/>
      <c r="G42"/>
      <c r="H42"/>
      <c r="I42">
        <v>3.2</v>
      </c>
      <c r="J42">
        <v>9.0399999999999938</v>
      </c>
    </row>
    <row r="43" spans="1:14">
      <c r="A43"/>
      <c r="B43"/>
      <c r="C43" s="8"/>
      <c r="D43"/>
      <c r="E43"/>
      <c r="F43"/>
      <c r="G43"/>
      <c r="H43"/>
      <c r="I43">
        <v>3.35</v>
      </c>
      <c r="J43">
        <v>9.8724999999999916</v>
      </c>
    </row>
    <row r="44" spans="1:14">
      <c r="A44"/>
      <c r="B44"/>
      <c r="C44" s="456"/>
      <c r="D44"/>
      <c r="E44"/>
      <c r="F44"/>
      <c r="G44"/>
      <c r="H44"/>
      <c r="I44">
        <v>3.5</v>
      </c>
      <c r="J44">
        <v>10.75</v>
      </c>
    </row>
    <row r="45" spans="1:14">
      <c r="A45"/>
      <c r="B45"/>
      <c r="C45"/>
      <c r="D45"/>
      <c r="E45"/>
      <c r="F45"/>
      <c r="G45"/>
      <c r="H45"/>
      <c r="I45">
        <v>3.65</v>
      </c>
      <c r="J45">
        <v>11.672499999999999</v>
      </c>
    </row>
    <row r="46" spans="1:14">
      <c r="A46"/>
      <c r="B46"/>
      <c r="C46"/>
      <c r="D46"/>
      <c r="E46"/>
      <c r="F46"/>
      <c r="G46"/>
      <c r="H46"/>
      <c r="I46">
        <v>3.8</v>
      </c>
      <c r="J46">
        <v>12.64</v>
      </c>
    </row>
    <row r="47" spans="1:14">
      <c r="A47"/>
      <c r="B47"/>
      <c r="C47"/>
      <c r="D47"/>
      <c r="E47"/>
      <c r="F47"/>
      <c r="G47"/>
      <c r="H47"/>
      <c r="I47">
        <v>3.95</v>
      </c>
      <c r="J47">
        <v>13.6525</v>
      </c>
    </row>
    <row r="48" spans="1:14">
      <c r="A48"/>
      <c r="B48"/>
      <c r="C48"/>
      <c r="D48"/>
      <c r="E48"/>
      <c r="F48"/>
      <c r="G48"/>
      <c r="H48"/>
      <c r="I48">
        <v>4.0999999999999996</v>
      </c>
      <c r="J48">
        <v>14.71</v>
      </c>
    </row>
    <row r="49" spans="1:10">
      <c r="A49"/>
      <c r="B49"/>
      <c r="C49"/>
      <c r="D49"/>
      <c r="E49"/>
      <c r="F49"/>
      <c r="G49"/>
      <c r="H49"/>
      <c r="I49">
        <v>4.25</v>
      </c>
      <c r="J49">
        <v>15.8125</v>
      </c>
    </row>
    <row r="50" spans="1:10">
      <c r="A50"/>
      <c r="B50"/>
      <c r="C50"/>
      <c r="D50"/>
      <c r="E50"/>
      <c r="F50"/>
      <c r="G50"/>
      <c r="H50"/>
      <c r="I50">
        <v>4.4000000000000004</v>
      </c>
      <c r="J50">
        <v>16.96</v>
      </c>
    </row>
    <row r="51" spans="1:10">
      <c r="A51"/>
      <c r="B51"/>
      <c r="C51"/>
      <c r="D51"/>
      <c r="E51"/>
      <c r="F51"/>
      <c r="G51"/>
      <c r="H51"/>
      <c r="I51">
        <v>4.55</v>
      </c>
      <c r="J51">
        <v>18.1525</v>
      </c>
    </row>
    <row r="52" spans="1:10">
      <c r="A52"/>
      <c r="B52"/>
      <c r="C52"/>
      <c r="D52"/>
      <c r="E52"/>
      <c r="F52"/>
      <c r="G52"/>
      <c r="H52"/>
      <c r="I52">
        <v>4.7</v>
      </c>
      <c r="J52">
        <v>19.39</v>
      </c>
    </row>
    <row r="53" spans="1:10">
      <c r="A53"/>
      <c r="B53"/>
      <c r="C53"/>
      <c r="D53"/>
      <c r="E53"/>
      <c r="F53"/>
      <c r="G53"/>
      <c r="H53"/>
      <c r="I53">
        <v>4.8499999999999996</v>
      </c>
      <c r="J53">
        <v>20.672499999999999</v>
      </c>
    </row>
    <row r="54" spans="1:10">
      <c r="A54"/>
      <c r="B54"/>
      <c r="C54"/>
      <c r="D54"/>
      <c r="E54"/>
      <c r="F54"/>
      <c r="G54"/>
      <c r="H54"/>
      <c r="I54">
        <v>5</v>
      </c>
      <c r="J54">
        <v>22</v>
      </c>
    </row>
  </sheetData>
  <phoneticPr fontId="53" type="noConversion"/>
  <pageMargins left="0.75" right="0.75" top="1" bottom="1" header="0.5" footer="0.5"/>
  <pageSetup paperSize="9" orientation="portrait" r:id="rId1"/>
  <headerFooter alignWithMargins="0"/>
  <drawing r:id="rId2"/>
  <legacyDrawing r:id="rId3"/>
  <oleObjects>
    <oleObject progId="Equation.3" shapeId="30724" r:id="rId4"/>
  </oleObjec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IU259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0" sqref="F10"/>
    </sheetView>
  </sheetViews>
  <sheetFormatPr defaultRowHeight="12.75"/>
  <cols>
    <col min="1" max="1" width="13.28515625" customWidth="1"/>
    <col min="3" max="3" width="11" customWidth="1"/>
    <col min="6" max="6" width="10.7109375" customWidth="1"/>
  </cols>
  <sheetData>
    <row r="1" spans="1:255" ht="27.75">
      <c r="A1" s="59" t="s">
        <v>482</v>
      </c>
      <c r="B1" s="59"/>
      <c r="C1" s="216"/>
      <c r="D1" s="216"/>
      <c r="E1" s="216"/>
      <c r="F1" s="216"/>
      <c r="G1" s="216"/>
      <c r="H1" s="216"/>
      <c r="I1" s="216"/>
      <c r="J1" s="216"/>
      <c r="K1" s="216"/>
    </row>
    <row r="3" spans="1:255" ht="18">
      <c r="A3" s="460" t="s">
        <v>485</v>
      </c>
      <c r="B3" s="445" t="s">
        <v>483</v>
      </c>
      <c r="C3" s="220"/>
      <c r="D3" s="220"/>
      <c r="E3" s="220"/>
      <c r="F3" s="220"/>
      <c r="G3" s="228"/>
      <c r="H3" s="220"/>
      <c r="I3" s="220"/>
      <c r="J3" s="220"/>
      <c r="K3" s="220"/>
    </row>
    <row r="4" spans="1:255" ht="18">
      <c r="A4" s="460" t="s">
        <v>523</v>
      </c>
      <c r="B4" s="445" t="s">
        <v>524</v>
      </c>
      <c r="C4" s="220"/>
      <c r="D4" s="220"/>
      <c r="E4" s="220"/>
      <c r="F4" s="220"/>
      <c r="G4" s="228"/>
      <c r="H4" s="220"/>
      <c r="I4" s="220"/>
      <c r="J4" s="220"/>
      <c r="K4" s="220"/>
    </row>
    <row r="5" spans="1:255" ht="15.75">
      <c r="A5" s="5"/>
    </row>
    <row r="6" spans="1:255" ht="24">
      <c r="A6" s="441" t="s">
        <v>17</v>
      </c>
      <c r="B6" s="441" t="s">
        <v>18</v>
      </c>
      <c r="C6" s="441" t="s">
        <v>19</v>
      </c>
      <c r="D6" s="441" t="s">
        <v>20</v>
      </c>
      <c r="IU6" s="446" t="s">
        <v>484</v>
      </c>
    </row>
    <row r="7" spans="1:255">
      <c r="A7" s="442" t="s">
        <v>25</v>
      </c>
      <c r="B7" s="443">
        <v>16000</v>
      </c>
      <c r="C7" s="444">
        <v>3</v>
      </c>
      <c r="D7" s="444">
        <v>19</v>
      </c>
      <c r="IU7" s="189">
        <v>1</v>
      </c>
    </row>
    <row r="8" spans="1:255">
      <c r="A8" s="442" t="s">
        <v>24</v>
      </c>
      <c r="B8" s="443">
        <v>25000</v>
      </c>
      <c r="C8" s="444">
        <v>3</v>
      </c>
      <c r="D8" s="444">
        <v>45</v>
      </c>
      <c r="IU8" s="189">
        <v>2</v>
      </c>
    </row>
    <row r="9" spans="1:255">
      <c r="A9" s="442" t="s">
        <v>23</v>
      </c>
      <c r="B9" s="443">
        <v>28500</v>
      </c>
      <c r="C9" s="442">
        <v>9</v>
      </c>
      <c r="D9" s="444">
        <v>126</v>
      </c>
      <c r="IU9" s="189">
        <v>3</v>
      </c>
    </row>
    <row r="10" spans="1:255">
      <c r="A10" s="442" t="s">
        <v>22</v>
      </c>
      <c r="B10" s="443">
        <v>30000</v>
      </c>
      <c r="C10" s="444">
        <v>7</v>
      </c>
      <c r="D10" s="444">
        <v>129</v>
      </c>
      <c r="IU10" s="189">
        <v>4</v>
      </c>
    </row>
    <row r="11" spans="1:255">
      <c r="A11" s="442" t="s">
        <v>24</v>
      </c>
      <c r="B11" s="443">
        <v>50000</v>
      </c>
      <c r="C11" s="442">
        <v>12</v>
      </c>
      <c r="D11" s="444">
        <v>199</v>
      </c>
      <c r="IU11" s="189">
        <v>5</v>
      </c>
    </row>
    <row r="12" spans="1:255">
      <c r="A12" s="442" t="s">
        <v>27</v>
      </c>
      <c r="B12" s="443">
        <v>50000</v>
      </c>
      <c r="C12" s="442">
        <v>12</v>
      </c>
      <c r="D12" s="444">
        <v>150</v>
      </c>
      <c r="IU12" s="189">
        <v>6</v>
      </c>
    </row>
    <row r="13" spans="1:255">
      <c r="A13" s="442" t="s">
        <v>28</v>
      </c>
      <c r="B13" s="443">
        <v>35000</v>
      </c>
      <c r="C13" s="442">
        <v>12</v>
      </c>
      <c r="D13" s="444">
        <v>320</v>
      </c>
      <c r="IU13" s="189">
        <v>7</v>
      </c>
    </row>
    <row r="14" spans="1:255">
      <c r="A14" s="442" t="s">
        <v>29</v>
      </c>
      <c r="B14" s="443">
        <v>50000</v>
      </c>
      <c r="C14" s="442">
        <v>8</v>
      </c>
      <c r="D14" s="444">
        <v>23</v>
      </c>
      <c r="IU14" s="189">
        <v>8</v>
      </c>
    </row>
    <row r="15" spans="1:255">
      <c r="A15" s="442" t="s">
        <v>24</v>
      </c>
      <c r="B15" s="443">
        <v>50000</v>
      </c>
      <c r="C15" s="442">
        <v>12</v>
      </c>
      <c r="D15" s="444">
        <v>150</v>
      </c>
      <c r="IU15" s="189">
        <v>9</v>
      </c>
    </row>
    <row r="16" spans="1:255">
      <c r="A16" s="442" t="s">
        <v>30</v>
      </c>
      <c r="B16" s="443">
        <v>35000</v>
      </c>
      <c r="C16" s="442">
        <v>8</v>
      </c>
      <c r="D16" s="444">
        <v>1000</v>
      </c>
      <c r="IU16" s="189">
        <v>10</v>
      </c>
    </row>
    <row r="17" spans="1:255">
      <c r="A17" s="442" t="s">
        <v>31</v>
      </c>
      <c r="B17" s="443">
        <v>35000</v>
      </c>
      <c r="C17" s="442">
        <v>8</v>
      </c>
      <c r="D17" s="444">
        <v>199</v>
      </c>
      <c r="IU17" s="189">
        <v>11</v>
      </c>
    </row>
    <row r="18" spans="1:255">
      <c r="A18" s="442" t="s">
        <v>32</v>
      </c>
      <c r="B18" s="443">
        <v>28000</v>
      </c>
      <c r="C18" s="442">
        <v>8</v>
      </c>
      <c r="D18" s="444">
        <v>250</v>
      </c>
      <c r="IU18" s="189">
        <v>12</v>
      </c>
    </row>
    <row r="19" spans="1:255">
      <c r="A19" s="442" t="s">
        <v>24</v>
      </c>
      <c r="B19" s="443">
        <v>28000</v>
      </c>
      <c r="C19" s="442">
        <v>8</v>
      </c>
      <c r="D19" s="444">
        <v>270</v>
      </c>
      <c r="IU19" s="189">
        <v>13</v>
      </c>
    </row>
    <row r="20" spans="1:255">
      <c r="A20" s="442" t="s">
        <v>33</v>
      </c>
      <c r="B20" s="443">
        <v>28000</v>
      </c>
      <c r="C20" s="442">
        <v>12</v>
      </c>
      <c r="D20" s="444">
        <v>280</v>
      </c>
      <c r="IU20" s="189">
        <v>14</v>
      </c>
    </row>
    <row r="21" spans="1:255">
      <c r="A21" s="442" t="s">
        <v>24</v>
      </c>
      <c r="B21" s="443">
        <v>50000</v>
      </c>
      <c r="C21" s="442">
        <v>3</v>
      </c>
      <c r="D21" s="444">
        <v>300</v>
      </c>
      <c r="IU21" s="189">
        <v>15</v>
      </c>
    </row>
    <row r="22" spans="1:255">
      <c r="A22" s="442" t="s">
        <v>34</v>
      </c>
      <c r="B22" s="443">
        <v>26000</v>
      </c>
      <c r="C22" s="442">
        <v>5</v>
      </c>
      <c r="D22" s="444">
        <v>320</v>
      </c>
      <c r="IU22" s="189">
        <v>16</v>
      </c>
    </row>
    <row r="23" spans="1:255">
      <c r="A23" s="442" t="s">
        <v>35</v>
      </c>
      <c r="B23" s="443">
        <v>45000</v>
      </c>
      <c r="C23" s="442">
        <v>12</v>
      </c>
      <c r="D23" s="444">
        <v>199</v>
      </c>
    </row>
    <row r="24" spans="1:255">
      <c r="A24" s="442" t="s">
        <v>21</v>
      </c>
      <c r="B24" s="443">
        <v>50000</v>
      </c>
      <c r="C24" s="442">
        <v>12</v>
      </c>
      <c r="D24" s="444">
        <v>234</v>
      </c>
    </row>
    <row r="25" spans="1:255" ht="15">
      <c r="A25" s="6"/>
    </row>
    <row r="26" spans="1:255">
      <c r="A26" s="10"/>
      <c r="B26" s="9"/>
      <c r="C26" s="10"/>
      <c r="D26" s="9"/>
    </row>
    <row r="27" spans="1:255">
      <c r="A27" s="10"/>
      <c r="B27" s="9"/>
      <c r="C27" s="10"/>
      <c r="D27" s="9"/>
    </row>
    <row r="28" spans="1:255">
      <c r="A28" s="10"/>
      <c r="B28" s="9"/>
      <c r="C28" s="10"/>
      <c r="D28" s="9"/>
    </row>
    <row r="29" spans="1:255">
      <c r="A29" s="10"/>
      <c r="B29" s="9"/>
      <c r="C29" s="10"/>
      <c r="D29" s="9"/>
    </row>
    <row r="30" spans="1:255">
      <c r="A30" s="10"/>
      <c r="B30" s="9"/>
      <c r="C30" s="10"/>
      <c r="D30" s="9"/>
    </row>
    <row r="31" spans="1:255">
      <c r="A31" s="10"/>
      <c r="B31" s="9"/>
      <c r="C31" s="10"/>
      <c r="D31" s="9"/>
    </row>
    <row r="32" spans="1:255">
      <c r="A32" s="10"/>
      <c r="B32" s="9"/>
      <c r="C32" s="10"/>
      <c r="D32" s="9"/>
    </row>
    <row r="33" spans="1:4">
      <c r="A33" s="10"/>
      <c r="B33" s="9"/>
      <c r="C33" s="10"/>
      <c r="D33" s="9"/>
    </row>
    <row r="34" spans="1:4">
      <c r="A34" s="10"/>
      <c r="B34" s="9"/>
      <c r="C34" s="10"/>
      <c r="D34" s="9"/>
    </row>
    <row r="35" spans="1:4">
      <c r="A35" s="10"/>
      <c r="B35" s="9"/>
      <c r="C35" s="10"/>
      <c r="D35" s="9"/>
    </row>
    <row r="36" spans="1:4">
      <c r="A36" s="10"/>
      <c r="B36" s="9"/>
      <c r="C36" s="10"/>
      <c r="D36" s="9"/>
    </row>
    <row r="37" spans="1:4">
      <c r="A37" s="10"/>
      <c r="B37" s="9"/>
      <c r="C37" s="10"/>
      <c r="D37" s="9"/>
    </row>
    <row r="38" spans="1:4">
      <c r="A38" s="10"/>
      <c r="B38" s="9"/>
      <c r="C38" s="10"/>
      <c r="D38" s="9"/>
    </row>
    <row r="39" spans="1:4">
      <c r="A39" s="10"/>
      <c r="B39" s="9"/>
      <c r="C39" s="10"/>
      <c r="D39" s="9"/>
    </row>
    <row r="40" spans="1:4">
      <c r="A40" s="10"/>
      <c r="B40" s="9"/>
      <c r="C40" s="10"/>
      <c r="D40" s="9"/>
    </row>
    <row r="41" spans="1:4">
      <c r="A41" s="10"/>
      <c r="B41" s="9"/>
      <c r="C41" s="10"/>
      <c r="D41" s="9"/>
    </row>
    <row r="42" spans="1:4">
      <c r="A42" s="10"/>
      <c r="B42" s="9"/>
      <c r="C42" s="10"/>
      <c r="D42" s="9"/>
    </row>
    <row r="43" spans="1:4">
      <c r="A43" s="10"/>
      <c r="B43" s="9"/>
      <c r="C43" s="10"/>
      <c r="D43" s="9"/>
    </row>
    <row r="44" spans="1:4">
      <c r="A44" s="10"/>
      <c r="B44" s="9"/>
      <c r="C44" s="10"/>
      <c r="D44" s="9"/>
    </row>
    <row r="45" spans="1:4">
      <c r="A45" s="10"/>
      <c r="B45" s="9"/>
      <c r="C45" s="10"/>
      <c r="D45" s="9"/>
    </row>
    <row r="46" spans="1:4">
      <c r="A46" s="10"/>
      <c r="B46" s="9"/>
      <c r="C46" s="10"/>
      <c r="D46" s="9"/>
    </row>
    <row r="47" spans="1:4">
      <c r="A47" s="10"/>
      <c r="B47" s="9"/>
      <c r="C47" s="10"/>
      <c r="D47" s="9"/>
    </row>
    <row r="48" spans="1:4">
      <c r="A48" s="10"/>
      <c r="B48" s="9"/>
      <c r="C48" s="10"/>
      <c r="D48" s="9"/>
    </row>
    <row r="49" spans="1:4">
      <c r="A49" s="10"/>
      <c r="B49" s="9"/>
      <c r="C49" s="10"/>
      <c r="D49" s="9"/>
    </row>
    <row r="50" spans="1:4">
      <c r="A50" s="10"/>
      <c r="B50" s="9"/>
      <c r="C50" s="10"/>
      <c r="D50" s="9"/>
    </row>
    <row r="51" spans="1:4">
      <c r="A51" s="10"/>
      <c r="B51" s="9"/>
      <c r="C51" s="10"/>
      <c r="D51" s="9"/>
    </row>
    <row r="52" spans="1:4">
      <c r="A52" s="10"/>
      <c r="B52" s="9"/>
      <c r="C52" s="10"/>
      <c r="D52" s="9"/>
    </row>
    <row r="53" spans="1:4">
      <c r="A53" s="10"/>
      <c r="B53" s="9"/>
      <c r="C53" s="10"/>
      <c r="D53" s="9"/>
    </row>
    <row r="54" spans="1:4">
      <c r="A54" s="10"/>
      <c r="B54" s="9"/>
      <c r="C54" s="10"/>
      <c r="D54" s="9"/>
    </row>
    <row r="55" spans="1:4">
      <c r="A55" s="10"/>
      <c r="B55" s="9"/>
      <c r="C55" s="10"/>
      <c r="D55" s="9"/>
    </row>
    <row r="56" spans="1:4">
      <c r="A56" s="10"/>
      <c r="B56" s="9"/>
      <c r="C56" s="10"/>
      <c r="D56" s="9"/>
    </row>
    <row r="57" spans="1:4">
      <c r="A57" s="10"/>
      <c r="B57" s="9"/>
      <c r="C57" s="10"/>
      <c r="D57" s="9"/>
    </row>
    <row r="58" spans="1:4">
      <c r="A58" s="10"/>
      <c r="B58" s="9"/>
      <c r="C58" s="10"/>
      <c r="D58" s="9"/>
    </row>
    <row r="59" spans="1:4">
      <c r="A59" s="10"/>
      <c r="B59" s="9"/>
      <c r="C59" s="10"/>
      <c r="D59" s="9"/>
    </row>
    <row r="60" spans="1:4">
      <c r="A60" s="10"/>
      <c r="B60" s="9"/>
      <c r="C60" s="10"/>
      <c r="D60" s="9"/>
    </row>
    <row r="61" spans="1:4">
      <c r="A61" s="10"/>
      <c r="B61" s="9"/>
      <c r="C61" s="10"/>
      <c r="D61" s="9"/>
    </row>
    <row r="62" spans="1:4">
      <c r="A62" s="10"/>
      <c r="B62" s="9"/>
      <c r="C62" s="10"/>
      <c r="D62" s="9"/>
    </row>
    <row r="63" spans="1:4">
      <c r="A63" s="10"/>
      <c r="B63" s="9"/>
      <c r="C63" s="10"/>
      <c r="D63" s="9"/>
    </row>
    <row r="64" spans="1:4">
      <c r="A64" s="10"/>
      <c r="B64" s="9"/>
      <c r="C64" s="10"/>
      <c r="D64" s="9"/>
    </row>
    <row r="65" spans="1:4">
      <c r="A65" s="10"/>
      <c r="B65" s="9"/>
      <c r="C65" s="10"/>
      <c r="D65" s="9"/>
    </row>
    <row r="66" spans="1:4">
      <c r="A66" s="10"/>
      <c r="B66" s="9"/>
      <c r="C66" s="10"/>
      <c r="D66" s="9"/>
    </row>
    <row r="67" spans="1:4">
      <c r="A67" s="10"/>
      <c r="B67" s="9"/>
      <c r="C67" s="10"/>
      <c r="D67" s="9"/>
    </row>
    <row r="68" spans="1:4">
      <c r="A68" s="10"/>
      <c r="B68" s="9"/>
      <c r="C68" s="10"/>
      <c r="D68" s="9"/>
    </row>
    <row r="69" spans="1:4">
      <c r="A69" s="10"/>
      <c r="B69" s="9"/>
      <c r="C69" s="10"/>
      <c r="D69" s="9"/>
    </row>
    <row r="70" spans="1:4">
      <c r="A70" s="10"/>
      <c r="B70" s="9"/>
      <c r="C70" s="10"/>
      <c r="D70" s="9"/>
    </row>
    <row r="71" spans="1:4">
      <c r="A71" s="10"/>
      <c r="B71" s="9"/>
      <c r="C71" s="10"/>
      <c r="D71" s="9"/>
    </row>
    <row r="72" spans="1:4">
      <c r="A72" s="10"/>
      <c r="B72" s="9"/>
      <c r="C72" s="10"/>
      <c r="D72" s="9"/>
    </row>
    <row r="73" spans="1:4">
      <c r="A73" s="10"/>
      <c r="B73" s="9"/>
      <c r="C73" s="10"/>
      <c r="D73" s="9"/>
    </row>
    <row r="74" spans="1:4">
      <c r="A74" s="10"/>
      <c r="B74" s="9"/>
      <c r="C74" s="10"/>
      <c r="D74" s="9"/>
    </row>
    <row r="75" spans="1:4">
      <c r="A75" s="10"/>
      <c r="B75" s="9"/>
      <c r="C75" s="10"/>
      <c r="D75" s="9"/>
    </row>
    <row r="76" spans="1:4">
      <c r="A76" s="10"/>
      <c r="B76" s="9"/>
      <c r="C76" s="10"/>
      <c r="D76" s="9"/>
    </row>
    <row r="77" spans="1:4">
      <c r="A77" s="10"/>
      <c r="B77" s="9"/>
      <c r="C77" s="10"/>
      <c r="D77" s="9"/>
    </row>
    <row r="78" spans="1:4">
      <c r="A78" s="10"/>
      <c r="B78" s="9"/>
      <c r="C78" s="10"/>
      <c r="D78" s="9"/>
    </row>
    <row r="79" spans="1:4">
      <c r="A79" s="10"/>
      <c r="B79" s="9"/>
      <c r="C79" s="10"/>
      <c r="D79" s="9"/>
    </row>
    <row r="80" spans="1:4">
      <c r="A80" s="10"/>
      <c r="B80" s="9"/>
      <c r="C80" s="10"/>
      <c r="D80" s="9"/>
    </row>
    <row r="81" spans="1:4">
      <c r="A81" s="10"/>
      <c r="B81" s="9"/>
      <c r="C81" s="10"/>
      <c r="D81" s="9"/>
    </row>
    <row r="82" spans="1:4">
      <c r="A82" s="10"/>
      <c r="B82" s="9"/>
      <c r="C82" s="10"/>
      <c r="D82" s="9"/>
    </row>
    <row r="83" spans="1:4">
      <c r="A83" s="10"/>
      <c r="B83" s="9"/>
      <c r="C83" s="10"/>
      <c r="D83" s="9"/>
    </row>
    <row r="84" spans="1:4">
      <c r="A84" s="10"/>
      <c r="B84" s="9"/>
      <c r="C84" s="10"/>
      <c r="D84" s="9"/>
    </row>
    <row r="85" spans="1:4">
      <c r="A85" s="10"/>
      <c r="B85" s="9"/>
      <c r="C85" s="10"/>
      <c r="D85" s="9"/>
    </row>
    <row r="86" spans="1:4">
      <c r="A86" s="10"/>
      <c r="B86" s="9"/>
      <c r="C86" s="10"/>
      <c r="D86" s="9"/>
    </row>
    <row r="87" spans="1:4">
      <c r="A87" s="10"/>
      <c r="B87" s="9"/>
      <c r="C87" s="10"/>
      <c r="D87" s="9"/>
    </row>
    <row r="88" spans="1:4">
      <c r="A88" s="10"/>
      <c r="B88" s="9"/>
      <c r="C88" s="10"/>
      <c r="D88" s="9"/>
    </row>
    <row r="89" spans="1:4">
      <c r="A89" s="10"/>
      <c r="B89" s="9"/>
      <c r="C89" s="10"/>
      <c r="D89" s="9"/>
    </row>
    <row r="90" spans="1:4">
      <c r="A90" s="10"/>
      <c r="B90" s="9"/>
      <c r="C90" s="10"/>
      <c r="D90" s="9"/>
    </row>
    <row r="91" spans="1:4">
      <c r="A91" s="10"/>
      <c r="B91" s="9"/>
      <c r="C91" s="10"/>
      <c r="D91" s="9"/>
    </row>
    <row r="92" spans="1:4">
      <c r="A92" s="10"/>
      <c r="B92" s="9"/>
      <c r="C92" s="10"/>
      <c r="D92" s="9"/>
    </row>
    <row r="93" spans="1:4">
      <c r="A93" s="10"/>
      <c r="B93" s="9"/>
      <c r="C93" s="10"/>
      <c r="D93" s="9"/>
    </row>
    <row r="94" spans="1:4">
      <c r="A94" s="10"/>
      <c r="B94" s="9"/>
      <c r="C94" s="10"/>
      <c r="D94" s="9"/>
    </row>
    <row r="95" spans="1:4">
      <c r="A95" s="10"/>
      <c r="B95" s="9"/>
      <c r="C95" s="10"/>
      <c r="D95" s="9"/>
    </row>
    <row r="96" spans="1:4">
      <c r="A96" s="10"/>
      <c r="B96" s="9"/>
      <c r="C96" s="10"/>
      <c r="D96" s="9"/>
    </row>
    <row r="97" spans="1:4">
      <c r="A97" s="10"/>
      <c r="B97" s="9"/>
      <c r="C97" s="10"/>
      <c r="D97" s="9"/>
    </row>
    <row r="98" spans="1:4">
      <c r="A98" s="10"/>
      <c r="B98" s="9"/>
      <c r="C98" s="10"/>
      <c r="D98" s="9"/>
    </row>
    <row r="99" spans="1:4">
      <c r="A99" s="10"/>
      <c r="B99" s="9"/>
      <c r="C99" s="10"/>
      <c r="D99" s="9"/>
    </row>
    <row r="100" spans="1:4">
      <c r="A100" s="10"/>
      <c r="B100" s="9"/>
      <c r="C100" s="10"/>
      <c r="D100" s="9"/>
    </row>
    <row r="101" spans="1:4">
      <c r="A101" s="10"/>
      <c r="B101" s="9"/>
      <c r="C101" s="10"/>
      <c r="D101" s="9"/>
    </row>
    <row r="102" spans="1:4">
      <c r="A102" s="10"/>
      <c r="B102" s="9"/>
      <c r="C102" s="10"/>
      <c r="D102" s="9"/>
    </row>
    <row r="103" spans="1:4">
      <c r="A103" s="10"/>
      <c r="B103" s="9"/>
      <c r="C103" s="10"/>
      <c r="D103" s="9"/>
    </row>
    <row r="104" spans="1:4">
      <c r="A104" s="10"/>
      <c r="B104" s="9"/>
      <c r="C104" s="10"/>
      <c r="D104" s="9"/>
    </row>
    <row r="105" spans="1:4">
      <c r="A105" s="10"/>
      <c r="B105" s="9"/>
      <c r="C105" s="10"/>
      <c r="D105" s="9"/>
    </row>
    <row r="106" spans="1:4">
      <c r="A106" s="10"/>
      <c r="B106" s="9"/>
      <c r="C106" s="10"/>
      <c r="D106" s="9"/>
    </row>
    <row r="107" spans="1:4">
      <c r="A107" s="10"/>
      <c r="B107" s="9"/>
      <c r="C107" s="10"/>
      <c r="D107" s="9"/>
    </row>
    <row r="108" spans="1:4">
      <c r="A108" s="10"/>
      <c r="B108" s="9"/>
      <c r="C108" s="10"/>
      <c r="D108" s="9"/>
    </row>
    <row r="109" spans="1:4">
      <c r="A109" s="10"/>
      <c r="B109" s="9"/>
      <c r="C109" s="10"/>
      <c r="D109" s="9"/>
    </row>
    <row r="110" spans="1:4">
      <c r="A110" s="10"/>
      <c r="B110" s="9"/>
      <c r="C110" s="10"/>
      <c r="D110" s="9"/>
    </row>
    <row r="111" spans="1:4">
      <c r="A111" s="10"/>
      <c r="B111" s="9"/>
      <c r="C111" s="10"/>
      <c r="D111" s="9"/>
    </row>
    <row r="112" spans="1:4">
      <c r="A112" s="10"/>
      <c r="B112" s="9"/>
      <c r="C112" s="10"/>
      <c r="D112" s="9"/>
    </row>
    <row r="113" spans="1:4">
      <c r="A113" s="10"/>
      <c r="B113" s="9"/>
      <c r="C113" s="10"/>
      <c r="D113" s="9"/>
    </row>
    <row r="114" spans="1:4">
      <c r="A114" s="10"/>
      <c r="B114" s="9"/>
      <c r="C114" s="10"/>
      <c r="D114" s="9"/>
    </row>
    <row r="115" spans="1:4">
      <c r="A115" s="10"/>
      <c r="B115" s="9"/>
      <c r="C115" s="10"/>
      <c r="D115" s="9"/>
    </row>
    <row r="116" spans="1:4">
      <c r="A116" s="10"/>
      <c r="B116" s="9"/>
      <c r="C116" s="10"/>
      <c r="D116" s="9"/>
    </row>
    <row r="117" spans="1:4">
      <c r="A117" s="10"/>
      <c r="B117" s="9"/>
      <c r="C117" s="10"/>
      <c r="D117" s="9"/>
    </row>
    <row r="118" spans="1:4">
      <c r="A118" s="10"/>
      <c r="B118" s="9"/>
      <c r="C118" s="10"/>
      <c r="D118" s="9"/>
    </row>
    <row r="119" spans="1:4">
      <c r="A119" s="10"/>
      <c r="B119" s="9"/>
      <c r="C119" s="10"/>
      <c r="D119" s="9"/>
    </row>
    <row r="120" spans="1:4">
      <c r="A120" s="10"/>
      <c r="B120" s="9"/>
      <c r="C120" s="10"/>
      <c r="D120" s="9"/>
    </row>
    <row r="121" spans="1:4">
      <c r="A121" s="10"/>
      <c r="B121" s="9"/>
      <c r="C121" s="10"/>
      <c r="D121" s="9"/>
    </row>
    <row r="122" spans="1:4">
      <c r="A122" s="10"/>
      <c r="B122" s="9"/>
      <c r="C122" s="10"/>
      <c r="D122" s="9"/>
    </row>
    <row r="123" spans="1:4">
      <c r="A123" s="10"/>
      <c r="B123" s="9"/>
      <c r="C123" s="10"/>
      <c r="D123" s="9"/>
    </row>
    <row r="124" spans="1:4">
      <c r="A124" s="10"/>
      <c r="B124" s="9"/>
      <c r="C124" s="10"/>
      <c r="D124" s="9"/>
    </row>
    <row r="125" spans="1:4">
      <c r="A125" s="10"/>
      <c r="B125" s="9"/>
      <c r="C125" s="10"/>
      <c r="D125" s="9"/>
    </row>
    <row r="126" spans="1:4">
      <c r="A126" s="10"/>
      <c r="B126" s="9"/>
      <c r="C126" s="10"/>
      <c r="D126" s="9"/>
    </row>
    <row r="127" spans="1:4">
      <c r="A127" s="10"/>
      <c r="B127" s="9"/>
      <c r="C127" s="10"/>
      <c r="D127" s="9"/>
    </row>
    <row r="128" spans="1:4">
      <c r="A128" s="10"/>
      <c r="B128" s="9"/>
      <c r="C128" s="10"/>
      <c r="D128" s="9"/>
    </row>
    <row r="129" spans="1:4">
      <c r="A129" s="10"/>
      <c r="B129" s="9"/>
      <c r="C129" s="10"/>
      <c r="D129" s="9"/>
    </row>
    <row r="130" spans="1:4">
      <c r="A130" s="10"/>
      <c r="B130" s="9"/>
      <c r="C130" s="10"/>
      <c r="D130" s="9"/>
    </row>
    <row r="131" spans="1:4">
      <c r="A131" s="10"/>
      <c r="B131" s="9"/>
      <c r="C131" s="10"/>
      <c r="D131" s="9"/>
    </row>
    <row r="132" spans="1:4">
      <c r="A132" s="10"/>
      <c r="B132" s="9"/>
      <c r="C132" s="10"/>
      <c r="D132" s="9"/>
    </row>
    <row r="133" spans="1:4">
      <c r="A133" s="10"/>
      <c r="B133" s="9"/>
      <c r="C133" s="10"/>
      <c r="D133" s="9"/>
    </row>
    <row r="134" spans="1:4">
      <c r="A134" s="10"/>
      <c r="B134" s="9"/>
      <c r="C134" s="10"/>
      <c r="D134" s="9"/>
    </row>
    <row r="135" spans="1:4">
      <c r="A135" s="10"/>
      <c r="B135" s="9"/>
      <c r="C135" s="10"/>
      <c r="D135" s="9"/>
    </row>
    <row r="136" spans="1:4">
      <c r="A136" s="10"/>
      <c r="B136" s="9"/>
      <c r="C136" s="10"/>
      <c r="D136" s="9"/>
    </row>
    <row r="137" spans="1:4">
      <c r="A137" s="10"/>
      <c r="B137" s="9"/>
      <c r="C137" s="10"/>
      <c r="D137" s="9"/>
    </row>
    <row r="138" spans="1:4">
      <c r="A138" s="10"/>
      <c r="B138" s="9"/>
      <c r="C138" s="10"/>
      <c r="D138" s="9"/>
    </row>
    <row r="139" spans="1:4">
      <c r="A139" s="10"/>
      <c r="B139" s="9"/>
      <c r="C139" s="10"/>
      <c r="D139" s="9"/>
    </row>
    <row r="140" spans="1:4">
      <c r="A140" s="10"/>
      <c r="B140" s="9"/>
      <c r="C140" s="10"/>
      <c r="D140" s="9"/>
    </row>
    <row r="141" spans="1:4">
      <c r="A141" s="10"/>
      <c r="B141" s="9"/>
      <c r="C141" s="10"/>
      <c r="D141" s="9"/>
    </row>
    <row r="142" spans="1:4">
      <c r="A142" s="10"/>
      <c r="B142" s="9"/>
      <c r="C142" s="10"/>
      <c r="D142" s="9"/>
    </row>
    <row r="143" spans="1:4">
      <c r="A143" s="10"/>
      <c r="B143" s="9"/>
      <c r="C143" s="10"/>
      <c r="D143" s="9"/>
    </row>
    <row r="144" spans="1:4">
      <c r="A144" s="10"/>
      <c r="B144" s="9"/>
      <c r="C144" s="10"/>
      <c r="D144" s="9"/>
    </row>
    <row r="145" spans="1:4">
      <c r="A145" s="10"/>
      <c r="B145" s="9"/>
      <c r="C145" s="10"/>
      <c r="D145" s="9"/>
    </row>
    <row r="146" spans="1:4">
      <c r="A146" s="10"/>
      <c r="B146" s="9"/>
      <c r="C146" s="10"/>
      <c r="D146" s="9"/>
    </row>
    <row r="147" spans="1:4">
      <c r="A147" s="10"/>
      <c r="B147" s="9"/>
      <c r="C147" s="10"/>
      <c r="D147" s="9"/>
    </row>
    <row r="148" spans="1:4">
      <c r="A148" s="10"/>
      <c r="B148" s="9"/>
      <c r="C148" s="10"/>
      <c r="D148" s="9"/>
    </row>
    <row r="149" spans="1:4">
      <c r="A149" s="10"/>
      <c r="B149" s="9"/>
      <c r="C149" s="10"/>
      <c r="D149" s="9"/>
    </row>
    <row r="150" spans="1:4">
      <c r="A150" s="10"/>
      <c r="B150" s="9"/>
      <c r="C150" s="10"/>
      <c r="D150" s="9"/>
    </row>
    <row r="151" spans="1:4">
      <c r="A151" s="10"/>
      <c r="B151" s="9"/>
      <c r="C151" s="10"/>
      <c r="D151" s="9"/>
    </row>
    <row r="152" spans="1:4">
      <c r="A152" s="10"/>
      <c r="B152" s="9"/>
      <c r="C152" s="10"/>
      <c r="D152" s="9"/>
    </row>
    <row r="153" spans="1:4">
      <c r="A153" s="10"/>
      <c r="B153" s="9"/>
      <c r="C153" s="10"/>
      <c r="D153" s="9"/>
    </row>
    <row r="154" spans="1:4">
      <c r="A154" s="10"/>
      <c r="B154" s="9"/>
      <c r="C154" s="10"/>
      <c r="D154" s="9"/>
    </row>
    <row r="155" spans="1:4">
      <c r="A155" s="10"/>
      <c r="B155" s="9"/>
      <c r="C155" s="10"/>
      <c r="D155" s="9"/>
    </row>
    <row r="156" spans="1:4">
      <c r="A156" s="10"/>
      <c r="B156" s="9"/>
      <c r="C156" s="10"/>
      <c r="D156" s="9"/>
    </row>
    <row r="157" spans="1:4">
      <c r="A157" s="10"/>
      <c r="B157" s="9"/>
      <c r="C157" s="10"/>
      <c r="D157" s="9"/>
    </row>
    <row r="158" spans="1:4">
      <c r="A158" s="10"/>
      <c r="B158" s="9"/>
      <c r="C158" s="10"/>
      <c r="D158" s="9"/>
    </row>
    <row r="159" spans="1:4">
      <c r="A159" s="10"/>
      <c r="B159" s="9"/>
      <c r="C159" s="10"/>
      <c r="D159" s="9"/>
    </row>
    <row r="160" spans="1:4">
      <c r="A160" s="10"/>
      <c r="B160" s="9"/>
      <c r="C160" s="10"/>
      <c r="D160" s="9"/>
    </row>
    <row r="161" spans="1:4">
      <c r="A161" s="10"/>
      <c r="B161" s="9"/>
      <c r="C161" s="10"/>
      <c r="D161" s="9"/>
    </row>
    <row r="162" spans="1:4">
      <c r="A162" s="10"/>
      <c r="B162" s="9"/>
      <c r="C162" s="10"/>
      <c r="D162" s="9"/>
    </row>
    <row r="163" spans="1:4">
      <c r="A163" s="10"/>
      <c r="B163" s="9"/>
      <c r="C163" s="10"/>
      <c r="D163" s="9"/>
    </row>
    <row r="164" spans="1:4">
      <c r="A164" s="10"/>
      <c r="B164" s="9"/>
      <c r="C164" s="10"/>
      <c r="D164" s="9"/>
    </row>
    <row r="165" spans="1:4">
      <c r="A165" s="10"/>
      <c r="B165" s="9"/>
      <c r="C165" s="10"/>
      <c r="D165" s="9"/>
    </row>
    <row r="166" spans="1:4">
      <c r="A166" s="10"/>
      <c r="B166" s="9"/>
      <c r="C166" s="10"/>
      <c r="D166" s="9"/>
    </row>
    <row r="167" spans="1:4">
      <c r="A167" s="10"/>
      <c r="B167" s="9"/>
      <c r="C167" s="10"/>
      <c r="D167" s="9"/>
    </row>
    <row r="168" spans="1:4">
      <c r="A168" s="10"/>
      <c r="B168" s="9"/>
      <c r="C168" s="10"/>
      <c r="D168" s="9"/>
    </row>
    <row r="169" spans="1:4">
      <c r="A169" s="10"/>
      <c r="B169" s="9"/>
      <c r="C169" s="10"/>
      <c r="D169" s="9"/>
    </row>
    <row r="170" spans="1:4">
      <c r="A170" s="10"/>
      <c r="B170" s="9"/>
      <c r="C170" s="10"/>
      <c r="D170" s="9"/>
    </row>
    <row r="171" spans="1:4">
      <c r="A171" s="10"/>
      <c r="B171" s="9"/>
      <c r="C171" s="10"/>
      <c r="D171" s="9"/>
    </row>
    <row r="172" spans="1:4">
      <c r="A172" s="10"/>
      <c r="B172" s="9"/>
      <c r="C172" s="10"/>
      <c r="D172" s="9"/>
    </row>
    <row r="173" spans="1:4">
      <c r="A173" s="10"/>
      <c r="B173" s="9"/>
      <c r="C173" s="10"/>
      <c r="D173" s="9"/>
    </row>
    <row r="174" spans="1:4">
      <c r="A174" s="10"/>
      <c r="B174" s="9"/>
      <c r="C174" s="10"/>
      <c r="D174" s="9"/>
    </row>
    <row r="175" spans="1:4">
      <c r="A175" s="10"/>
      <c r="B175" s="9"/>
      <c r="C175" s="10"/>
      <c r="D175" s="9"/>
    </row>
    <row r="176" spans="1:4">
      <c r="A176" s="10"/>
      <c r="B176" s="9"/>
      <c r="C176" s="10"/>
      <c r="D176" s="9"/>
    </row>
    <row r="177" spans="1:4">
      <c r="A177" s="10"/>
      <c r="B177" s="9"/>
      <c r="C177" s="10"/>
      <c r="D177" s="9"/>
    </row>
    <row r="178" spans="1:4">
      <c r="A178" s="10"/>
      <c r="B178" s="9"/>
      <c r="C178" s="10"/>
      <c r="D178" s="9"/>
    </row>
    <row r="179" spans="1:4">
      <c r="A179" s="10"/>
      <c r="B179" s="9"/>
      <c r="C179" s="10"/>
      <c r="D179" s="9"/>
    </row>
    <row r="180" spans="1:4">
      <c r="A180" s="10"/>
      <c r="B180" s="9"/>
      <c r="C180" s="10"/>
      <c r="D180" s="9"/>
    </row>
    <row r="181" spans="1:4">
      <c r="A181" s="10"/>
      <c r="B181" s="9"/>
      <c r="C181" s="10"/>
      <c r="D181" s="9"/>
    </row>
    <row r="182" spans="1:4">
      <c r="A182" s="10"/>
      <c r="B182" s="9"/>
      <c r="C182" s="10"/>
      <c r="D182" s="9"/>
    </row>
    <row r="183" spans="1:4">
      <c r="A183" s="10"/>
      <c r="B183" s="9"/>
      <c r="C183" s="10"/>
      <c r="D183" s="9"/>
    </row>
    <row r="184" spans="1:4">
      <c r="A184" s="10"/>
      <c r="B184" s="9"/>
      <c r="C184" s="10"/>
      <c r="D184" s="9"/>
    </row>
    <row r="185" spans="1:4">
      <c r="A185" s="10"/>
      <c r="B185" s="9"/>
      <c r="C185" s="10"/>
      <c r="D185" s="9"/>
    </row>
    <row r="186" spans="1:4">
      <c r="A186" s="10"/>
      <c r="B186" s="9"/>
      <c r="C186" s="10"/>
      <c r="D186" s="9"/>
    </row>
    <row r="187" spans="1:4">
      <c r="A187" s="10"/>
      <c r="B187" s="9"/>
      <c r="C187" s="10"/>
      <c r="D187" s="9"/>
    </row>
    <row r="188" spans="1:4">
      <c r="A188" s="10"/>
      <c r="B188" s="9"/>
      <c r="C188" s="10"/>
      <c r="D188" s="9"/>
    </row>
    <row r="189" spans="1:4">
      <c r="A189" s="10"/>
      <c r="B189" s="9"/>
      <c r="C189" s="10"/>
      <c r="D189" s="9"/>
    </row>
    <row r="190" spans="1:4">
      <c r="A190" s="10"/>
      <c r="B190" s="9"/>
      <c r="C190" s="10"/>
      <c r="D190" s="9"/>
    </row>
    <row r="191" spans="1:4">
      <c r="A191" s="10"/>
      <c r="B191" s="9"/>
      <c r="C191" s="10"/>
      <c r="D191" s="9"/>
    </row>
    <row r="192" spans="1:4">
      <c r="A192" s="10"/>
      <c r="B192" s="9"/>
      <c r="C192" s="10"/>
      <c r="D192" s="9"/>
    </row>
    <row r="193" spans="1:4">
      <c r="A193" s="10"/>
      <c r="B193" s="9"/>
      <c r="C193" s="10"/>
      <c r="D193" s="9"/>
    </row>
    <row r="194" spans="1:4">
      <c r="A194" s="10"/>
      <c r="B194" s="9"/>
      <c r="C194" s="10"/>
      <c r="D194" s="9"/>
    </row>
    <row r="195" spans="1:4">
      <c r="A195" s="10"/>
      <c r="B195" s="9"/>
      <c r="C195" s="10"/>
      <c r="D195" s="9"/>
    </row>
    <row r="196" spans="1:4">
      <c r="A196" s="10"/>
      <c r="B196" s="9"/>
      <c r="C196" s="10"/>
      <c r="D196" s="9"/>
    </row>
    <row r="197" spans="1:4">
      <c r="A197" s="10"/>
      <c r="B197" s="9"/>
      <c r="C197" s="10"/>
      <c r="D197" s="9"/>
    </row>
    <row r="198" spans="1:4">
      <c r="A198" s="10"/>
      <c r="B198" s="9"/>
      <c r="C198" s="10"/>
      <c r="D198" s="9"/>
    </row>
    <row r="199" spans="1:4">
      <c r="A199" s="10"/>
      <c r="B199" s="9"/>
      <c r="C199" s="10"/>
      <c r="D199" s="9"/>
    </row>
    <row r="200" spans="1:4">
      <c r="A200" s="10"/>
      <c r="B200" s="9"/>
      <c r="C200" s="10"/>
      <c r="D200" s="9"/>
    </row>
    <row r="201" spans="1:4">
      <c r="A201" s="10"/>
      <c r="B201" s="9"/>
      <c r="C201" s="10"/>
      <c r="D201" s="9"/>
    </row>
    <row r="202" spans="1:4">
      <c r="A202" s="10"/>
      <c r="B202" s="9"/>
      <c r="C202" s="10"/>
      <c r="D202" s="9"/>
    </row>
    <row r="203" spans="1:4">
      <c r="A203" s="10"/>
      <c r="B203" s="9"/>
      <c r="C203" s="10"/>
      <c r="D203" s="9"/>
    </row>
    <row r="204" spans="1:4">
      <c r="A204" s="10"/>
      <c r="B204" s="9"/>
      <c r="C204" s="10"/>
      <c r="D204" s="9"/>
    </row>
    <row r="205" spans="1:4">
      <c r="A205" s="10"/>
      <c r="B205" s="9"/>
      <c r="C205" s="10"/>
      <c r="D205" s="9"/>
    </row>
    <row r="206" spans="1:4">
      <c r="A206" s="10"/>
      <c r="B206" s="9"/>
      <c r="C206" s="10"/>
      <c r="D206" s="9"/>
    </row>
    <row r="207" spans="1:4">
      <c r="A207" s="10"/>
      <c r="B207" s="9"/>
      <c r="C207" s="10"/>
      <c r="D207" s="9"/>
    </row>
    <row r="208" spans="1:4">
      <c r="A208" s="10"/>
      <c r="B208" s="9"/>
      <c r="C208" s="10"/>
      <c r="D208" s="9"/>
    </row>
    <row r="209" spans="1:4">
      <c r="A209" s="10"/>
      <c r="B209" s="9"/>
      <c r="C209" s="10"/>
      <c r="D209" s="9"/>
    </row>
    <row r="210" spans="1:4">
      <c r="A210" s="10"/>
      <c r="B210" s="9"/>
      <c r="C210" s="10"/>
      <c r="D210" s="9"/>
    </row>
    <row r="211" spans="1:4">
      <c r="A211" s="10"/>
      <c r="B211" s="9"/>
      <c r="C211" s="10"/>
      <c r="D211" s="9"/>
    </row>
    <row r="212" spans="1:4">
      <c r="A212" s="10"/>
      <c r="B212" s="9"/>
      <c r="C212" s="10"/>
      <c r="D212" s="9"/>
    </row>
    <row r="213" spans="1:4">
      <c r="A213" s="10"/>
      <c r="B213" s="9"/>
      <c r="C213" s="10"/>
      <c r="D213" s="9"/>
    </row>
    <row r="214" spans="1:4">
      <c r="A214" s="10"/>
      <c r="B214" s="9"/>
      <c r="C214" s="10"/>
      <c r="D214" s="9"/>
    </row>
    <row r="215" spans="1:4">
      <c r="A215" s="10"/>
      <c r="B215" s="9"/>
      <c r="C215" s="10"/>
      <c r="D215" s="9"/>
    </row>
    <row r="216" spans="1:4">
      <c r="A216" s="10"/>
      <c r="B216" s="9"/>
      <c r="C216" s="10"/>
      <c r="D216" s="9"/>
    </row>
    <row r="217" spans="1:4">
      <c r="A217" s="10"/>
      <c r="B217" s="9"/>
      <c r="C217" s="10"/>
      <c r="D217" s="9"/>
    </row>
    <row r="218" spans="1:4">
      <c r="A218" s="10"/>
      <c r="B218" s="9"/>
      <c r="C218" s="10"/>
      <c r="D218" s="9"/>
    </row>
    <row r="219" spans="1:4">
      <c r="A219" s="10"/>
      <c r="B219" s="9"/>
      <c r="C219" s="10"/>
      <c r="D219" s="9"/>
    </row>
    <row r="220" spans="1:4">
      <c r="A220" s="10"/>
      <c r="B220" s="9"/>
      <c r="C220" s="10"/>
      <c r="D220" s="9"/>
    </row>
    <row r="221" spans="1:4">
      <c r="A221" s="10"/>
      <c r="B221" s="9"/>
      <c r="C221" s="10"/>
      <c r="D221" s="9"/>
    </row>
    <row r="222" spans="1:4">
      <c r="A222" s="10"/>
      <c r="B222" s="9"/>
      <c r="C222" s="10"/>
      <c r="D222" s="9"/>
    </row>
    <row r="223" spans="1:4">
      <c r="A223" s="10"/>
      <c r="B223" s="9"/>
      <c r="C223" s="10"/>
      <c r="D223" s="9"/>
    </row>
    <row r="224" spans="1:4">
      <c r="A224" s="10"/>
      <c r="B224" s="9"/>
      <c r="C224" s="10"/>
      <c r="D224" s="9"/>
    </row>
    <row r="225" spans="1:4">
      <c r="A225" s="10"/>
      <c r="B225" s="9"/>
      <c r="C225" s="10"/>
      <c r="D225" s="9"/>
    </row>
    <row r="226" spans="1:4">
      <c r="A226" s="10"/>
      <c r="B226" s="9"/>
      <c r="C226" s="10"/>
      <c r="D226" s="9"/>
    </row>
    <row r="227" spans="1:4">
      <c r="A227" s="10"/>
      <c r="B227" s="9"/>
      <c r="C227" s="10"/>
      <c r="D227" s="9"/>
    </row>
    <row r="228" spans="1:4">
      <c r="A228" s="10"/>
      <c r="B228" s="9"/>
      <c r="C228" s="10"/>
      <c r="D228" s="9"/>
    </row>
    <row r="229" spans="1:4">
      <c r="A229" s="10"/>
      <c r="B229" s="9"/>
      <c r="C229" s="10"/>
      <c r="D229" s="9"/>
    </row>
    <row r="230" spans="1:4">
      <c r="A230" s="10"/>
      <c r="B230" s="9"/>
      <c r="C230" s="10"/>
      <c r="D230" s="9"/>
    </row>
    <row r="231" spans="1:4">
      <c r="A231" s="10"/>
      <c r="B231" s="9"/>
      <c r="C231" s="10"/>
      <c r="D231" s="9"/>
    </row>
    <row r="232" spans="1:4">
      <c r="A232" s="10"/>
      <c r="B232" s="9"/>
      <c r="C232" s="10"/>
      <c r="D232" s="9"/>
    </row>
    <row r="233" spans="1:4">
      <c r="A233" s="10"/>
      <c r="B233" s="9"/>
      <c r="C233" s="10"/>
      <c r="D233" s="9"/>
    </row>
    <row r="234" spans="1:4">
      <c r="A234" s="10"/>
      <c r="B234" s="9"/>
      <c r="C234" s="10"/>
      <c r="D234" s="9"/>
    </row>
    <row r="235" spans="1:4">
      <c r="A235" s="10"/>
      <c r="B235" s="9"/>
      <c r="C235" s="10"/>
      <c r="D235" s="9"/>
    </row>
    <row r="236" spans="1:4">
      <c r="A236" s="10"/>
      <c r="B236" s="9"/>
      <c r="C236" s="10"/>
      <c r="D236" s="9"/>
    </row>
    <row r="237" spans="1:4">
      <c r="A237" s="10"/>
      <c r="B237" s="9"/>
      <c r="C237" s="10"/>
      <c r="D237" s="9"/>
    </row>
    <row r="238" spans="1:4">
      <c r="A238" s="10"/>
      <c r="B238" s="9"/>
      <c r="C238" s="10"/>
      <c r="D238" s="9"/>
    </row>
    <row r="239" spans="1:4">
      <c r="A239" s="10"/>
      <c r="B239" s="9"/>
      <c r="C239" s="10"/>
      <c r="D239" s="9"/>
    </row>
    <row r="240" spans="1:4">
      <c r="A240" s="10"/>
      <c r="B240" s="9"/>
      <c r="C240" s="10"/>
      <c r="D240" s="9"/>
    </row>
    <row r="241" spans="1:4">
      <c r="A241" s="10"/>
      <c r="B241" s="9"/>
      <c r="C241" s="10"/>
      <c r="D241" s="9"/>
    </row>
    <row r="242" spans="1:4">
      <c r="A242" s="10"/>
      <c r="B242" s="9"/>
      <c r="C242" s="10"/>
      <c r="D242" s="9"/>
    </row>
    <row r="243" spans="1:4">
      <c r="A243" s="10"/>
      <c r="B243" s="9"/>
      <c r="C243" s="10"/>
      <c r="D243" s="9"/>
    </row>
    <row r="244" spans="1:4">
      <c r="A244" s="10"/>
      <c r="B244" s="9"/>
      <c r="C244" s="10"/>
      <c r="D244" s="9"/>
    </row>
    <row r="245" spans="1:4">
      <c r="A245" s="10"/>
      <c r="B245" s="9"/>
      <c r="C245" s="10"/>
      <c r="D245" s="9"/>
    </row>
    <row r="246" spans="1:4">
      <c r="A246" s="10"/>
      <c r="B246" s="9"/>
      <c r="C246" s="10"/>
      <c r="D246" s="9"/>
    </row>
    <row r="247" spans="1:4">
      <c r="A247" s="10"/>
      <c r="B247" s="9"/>
      <c r="C247" s="10"/>
      <c r="D247" s="9"/>
    </row>
    <row r="248" spans="1:4">
      <c r="A248" s="10"/>
      <c r="B248" s="9"/>
      <c r="C248" s="10"/>
      <c r="D248" s="9"/>
    </row>
    <row r="249" spans="1:4">
      <c r="A249" s="10"/>
      <c r="B249" s="9"/>
      <c r="C249" s="10"/>
      <c r="D249" s="9"/>
    </row>
    <row r="250" spans="1:4">
      <c r="A250" s="10"/>
      <c r="B250" s="9"/>
      <c r="C250" s="10"/>
      <c r="D250" s="9"/>
    </row>
    <row r="251" spans="1:4">
      <c r="A251" s="10"/>
      <c r="B251" s="9"/>
      <c r="C251" s="10"/>
      <c r="D251" s="9"/>
    </row>
    <row r="252" spans="1:4">
      <c r="A252" s="10"/>
      <c r="B252" s="9"/>
      <c r="C252" s="10"/>
      <c r="D252" s="9"/>
    </row>
    <row r="253" spans="1:4">
      <c r="A253" s="10"/>
      <c r="B253" s="9"/>
      <c r="C253" s="10"/>
      <c r="D253" s="9"/>
    </row>
    <row r="254" spans="1:4">
      <c r="A254" s="10"/>
      <c r="B254" s="9"/>
      <c r="C254" s="10"/>
      <c r="D254" s="9"/>
    </row>
    <row r="255" spans="1:4">
      <c r="A255" s="10"/>
      <c r="B255" s="9"/>
      <c r="C255" s="10"/>
      <c r="D255" s="9"/>
    </row>
    <row r="256" spans="1:4">
      <c r="A256" s="10"/>
      <c r="B256" s="9"/>
      <c r="C256" s="10"/>
      <c r="D256" s="9"/>
    </row>
    <row r="257" spans="1:4">
      <c r="A257" s="10"/>
      <c r="B257" s="9"/>
      <c r="C257" s="10"/>
      <c r="D257" s="9"/>
    </row>
    <row r="258" spans="1:4">
      <c r="A258" s="10"/>
      <c r="B258" s="9"/>
      <c r="C258" s="10"/>
      <c r="D258" s="9"/>
    </row>
    <row r="259" spans="1:4">
      <c r="A259" s="10"/>
      <c r="B259" s="9"/>
      <c r="C259" s="10"/>
      <c r="D259" s="9"/>
    </row>
  </sheetData>
  <autoFilter ref="A6:D24"/>
  <phoneticPr fontId="20" type="noConversion"/>
  <dataValidations count="1">
    <dataValidation type="list" allowBlank="1" showInputMessage="1" showErrorMessage="1" sqref="C7:C24">
      <formula1>$IU$7:$IU$22</formula1>
    </dataValidation>
  </dataValidations>
  <pageMargins left="0.75" right="0.75" top="1" bottom="1" header="0.5" footer="0.5"/>
  <pageSetup paperSize="9" orientation="portrait" horizontalDpi="0" verticalDpi="0" r:id="rId1"/>
  <headerFooter alignWithMargins="0">
    <oddHeader>&amp;A</oddHeader>
    <oddFooter>Page &amp;P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0"/>
  <dimension ref="A1:M519"/>
  <sheetViews>
    <sheetView topLeftCell="A10" workbookViewId="0">
      <selection activeCell="M20" sqref="M20"/>
    </sheetView>
  </sheetViews>
  <sheetFormatPr defaultRowHeight="12.75"/>
  <cols>
    <col min="5" max="5" width="11.42578125" bestFit="1" customWidth="1"/>
  </cols>
  <sheetData>
    <row r="1" spans="1:13" ht="27">
      <c r="A1" s="403" t="s">
        <v>473</v>
      </c>
      <c r="B1" s="403"/>
      <c r="C1" s="404"/>
      <c r="D1" s="404"/>
      <c r="E1" s="404"/>
      <c r="F1" s="404"/>
      <c r="G1" s="404"/>
      <c r="H1" s="404"/>
      <c r="I1" s="404"/>
      <c r="J1" s="404"/>
      <c r="K1" s="404"/>
      <c r="L1" s="404"/>
      <c r="M1" s="404"/>
    </row>
    <row r="4" spans="1:13" ht="18.75">
      <c r="B4" s="434" t="s">
        <v>474</v>
      </c>
      <c r="I4" s="1"/>
      <c r="J4" s="1"/>
      <c r="K4" s="1"/>
      <c r="L4" s="1"/>
    </row>
    <row r="5" spans="1:13">
      <c r="I5" s="1"/>
      <c r="J5" s="1"/>
      <c r="K5" s="1"/>
      <c r="L5" s="1"/>
    </row>
    <row r="6" spans="1:13" ht="18.75">
      <c r="B6" s="433" t="s">
        <v>475</v>
      </c>
      <c r="I6" s="1"/>
      <c r="J6" s="1"/>
      <c r="K6" s="1"/>
      <c r="L6" s="1"/>
    </row>
    <row r="7" spans="1:13">
      <c r="I7" s="1"/>
      <c r="J7" s="1"/>
      <c r="K7" s="1"/>
      <c r="L7" s="1"/>
    </row>
    <row r="8" spans="1:13">
      <c r="I8" s="1"/>
      <c r="J8" s="1"/>
      <c r="K8" s="1"/>
      <c r="L8" s="1"/>
    </row>
    <row r="9" spans="1:13">
      <c r="I9" s="1"/>
      <c r="J9" s="1"/>
      <c r="K9" s="1"/>
      <c r="L9" s="1"/>
    </row>
    <row r="10" spans="1:13">
      <c r="I10" s="1"/>
      <c r="J10" s="1"/>
      <c r="K10" s="1"/>
      <c r="L10" s="1"/>
    </row>
    <row r="11" spans="1:13">
      <c r="I11" s="1"/>
      <c r="J11" s="1"/>
      <c r="K11" s="1"/>
      <c r="L11" s="1"/>
    </row>
    <row r="12" spans="1:13">
      <c r="I12" s="1"/>
      <c r="J12" s="1"/>
      <c r="K12" s="1"/>
      <c r="L12" s="1"/>
    </row>
    <row r="13" spans="1:13">
      <c r="I13" s="1"/>
      <c r="J13" s="1"/>
      <c r="K13" s="1"/>
      <c r="L13" s="1"/>
    </row>
    <row r="14" spans="1:13">
      <c r="I14" s="1"/>
      <c r="J14" s="1"/>
      <c r="K14" s="1"/>
      <c r="L14" s="1"/>
    </row>
    <row r="15" spans="1:13">
      <c r="I15" s="1"/>
      <c r="J15" s="1"/>
      <c r="K15" s="1"/>
      <c r="L15" s="1"/>
    </row>
    <row r="16" spans="1:13">
      <c r="I16" s="1"/>
      <c r="J16" s="1"/>
      <c r="K16" s="1"/>
      <c r="L16" s="1"/>
    </row>
    <row r="19" spans="1:6">
      <c r="B19" s="155" t="s">
        <v>476</v>
      </c>
      <c r="C19" s="155" t="s">
        <v>477</v>
      </c>
    </row>
    <row r="20" spans="1:6">
      <c r="A20">
        <v>1</v>
      </c>
      <c r="B20" s="438">
        <f t="shared" ref="B20:B83" ca="1" si="0">RAND()</f>
        <v>0.28161266930136941</v>
      </c>
      <c r="C20" s="438"/>
    </row>
    <row r="21" spans="1:6">
      <c r="A21">
        <v>2</v>
      </c>
      <c r="B21" s="438">
        <f t="shared" ca="1" si="0"/>
        <v>0.71188705803854679</v>
      </c>
      <c r="C21" s="438"/>
    </row>
    <row r="22" spans="1:6">
      <c r="A22">
        <v>3</v>
      </c>
      <c r="B22" s="438">
        <f t="shared" ca="1" si="0"/>
        <v>0.21899796507661451</v>
      </c>
      <c r="C22" s="438"/>
      <c r="E22" s="155" t="s">
        <v>478</v>
      </c>
      <c r="F22" s="438">
        <f>MAX(C20:C519)</f>
        <v>0</v>
      </c>
    </row>
    <row r="23" spans="1:6">
      <c r="A23">
        <v>4</v>
      </c>
      <c r="B23" s="438">
        <f t="shared" ca="1" si="0"/>
        <v>0.18096583362727103</v>
      </c>
      <c r="C23" s="438"/>
      <c r="E23" s="155" t="s">
        <v>479</v>
      </c>
      <c r="F23" s="438">
        <f>MIN(C20:C519)</f>
        <v>0</v>
      </c>
    </row>
    <row r="24" spans="1:6">
      <c r="A24">
        <v>5</v>
      </c>
      <c r="B24" s="438">
        <f t="shared" ca="1" si="0"/>
        <v>7.5188562944030757E-2</v>
      </c>
      <c r="C24" s="438"/>
    </row>
    <row r="25" spans="1:6">
      <c r="A25">
        <v>6</v>
      </c>
      <c r="B25" s="438">
        <f t="shared" ca="1" si="0"/>
        <v>0.99934775182856117</v>
      </c>
      <c r="C25" s="438"/>
    </row>
    <row r="26" spans="1:6">
      <c r="A26">
        <v>7</v>
      </c>
      <c r="B26" s="438">
        <f t="shared" ca="1" si="0"/>
        <v>0.28606662899401969</v>
      </c>
      <c r="C26" s="438"/>
      <c r="E26" s="293" t="s">
        <v>399</v>
      </c>
      <c r="F26" s="293" t="s">
        <v>400</v>
      </c>
    </row>
    <row r="27" spans="1:6">
      <c r="A27">
        <v>8</v>
      </c>
      <c r="B27" s="438">
        <f t="shared" ca="1" si="0"/>
        <v>0.54906035233036388</v>
      </c>
      <c r="C27" s="438"/>
      <c r="E27" s="435">
        <v>-3</v>
      </c>
      <c r="F27" s="317">
        <f t="array" ref="F27:F39">FREQUENCY(C20:C519,E27:E39)</f>
        <v>0</v>
      </c>
    </row>
    <row r="28" spans="1:6">
      <c r="A28">
        <v>9</v>
      </c>
      <c r="B28" s="438">
        <f t="shared" ca="1" si="0"/>
        <v>0.89940064323202873</v>
      </c>
      <c r="C28" s="438"/>
      <c r="E28" s="435">
        <v>-2.5</v>
      </c>
      <c r="F28" s="317">
        <v>0</v>
      </c>
    </row>
    <row r="29" spans="1:6">
      <c r="A29">
        <v>10</v>
      </c>
      <c r="B29" s="438">
        <f t="shared" ca="1" si="0"/>
        <v>0.84020075884389733</v>
      </c>
      <c r="C29" s="438"/>
      <c r="E29" s="435">
        <v>-2</v>
      </c>
      <c r="F29" s="317">
        <v>0</v>
      </c>
    </row>
    <row r="30" spans="1:6">
      <c r="A30">
        <v>11</v>
      </c>
      <c r="B30" s="438">
        <f t="shared" ca="1" si="0"/>
        <v>0.30777654945236699</v>
      </c>
      <c r="C30" s="438"/>
      <c r="E30" s="435">
        <v>-1.5</v>
      </c>
      <c r="F30" s="317">
        <v>0</v>
      </c>
    </row>
    <row r="31" spans="1:6">
      <c r="A31">
        <v>12</v>
      </c>
      <c r="B31" s="438">
        <f t="shared" ca="1" si="0"/>
        <v>0.34044172922633908</v>
      </c>
      <c r="C31" s="438"/>
      <c r="E31" s="435">
        <v>-1</v>
      </c>
      <c r="F31" s="317">
        <v>0</v>
      </c>
    </row>
    <row r="32" spans="1:6">
      <c r="A32">
        <v>13</v>
      </c>
      <c r="B32" s="438">
        <f t="shared" ca="1" si="0"/>
        <v>0.91895258745110253</v>
      </c>
      <c r="C32" s="438"/>
      <c r="E32" s="435">
        <v>-0.5</v>
      </c>
      <c r="F32" s="317">
        <v>0</v>
      </c>
    </row>
    <row r="33" spans="1:6">
      <c r="A33">
        <v>14</v>
      </c>
      <c r="B33" s="438">
        <f t="shared" ca="1" si="0"/>
        <v>0.26439852491273208</v>
      </c>
      <c r="C33" s="438"/>
      <c r="E33" s="435">
        <v>0</v>
      </c>
      <c r="F33" s="317">
        <v>0</v>
      </c>
    </row>
    <row r="34" spans="1:6">
      <c r="A34">
        <v>15</v>
      </c>
      <c r="B34" s="438">
        <f t="shared" ca="1" si="0"/>
        <v>0.40834908191447727</v>
      </c>
      <c r="C34" s="438"/>
      <c r="E34" s="435">
        <v>0.5</v>
      </c>
      <c r="F34" s="317">
        <v>0</v>
      </c>
    </row>
    <row r="35" spans="1:6">
      <c r="A35">
        <v>16</v>
      </c>
      <c r="B35" s="438">
        <f t="shared" ca="1" si="0"/>
        <v>0.88163182696858833</v>
      </c>
      <c r="C35" s="438"/>
      <c r="E35" s="435">
        <v>1</v>
      </c>
      <c r="F35" s="317">
        <v>0</v>
      </c>
    </row>
    <row r="36" spans="1:6">
      <c r="A36">
        <v>17</v>
      </c>
      <c r="B36" s="438">
        <f t="shared" ca="1" si="0"/>
        <v>0.96240553305742815</v>
      </c>
      <c r="C36" s="438"/>
      <c r="E36" s="435">
        <v>1.5</v>
      </c>
      <c r="F36" s="317">
        <v>0</v>
      </c>
    </row>
    <row r="37" spans="1:6">
      <c r="A37">
        <v>18</v>
      </c>
      <c r="B37" s="438">
        <f t="shared" ca="1" si="0"/>
        <v>0.96715995910934627</v>
      </c>
      <c r="C37" s="438"/>
      <c r="E37" s="435">
        <v>2</v>
      </c>
      <c r="F37" s="317">
        <v>0</v>
      </c>
    </row>
    <row r="38" spans="1:6">
      <c r="A38">
        <v>19</v>
      </c>
      <c r="B38" s="438">
        <f t="shared" ca="1" si="0"/>
        <v>0.21427977828466105</v>
      </c>
      <c r="C38" s="438"/>
      <c r="E38" s="436">
        <v>2.5</v>
      </c>
      <c r="F38" s="439">
        <v>0</v>
      </c>
    </row>
    <row r="39" spans="1:6">
      <c r="A39">
        <v>20</v>
      </c>
      <c r="B39" s="438">
        <f t="shared" ca="1" si="0"/>
        <v>2.9454417033753622E-2</v>
      </c>
      <c r="C39" s="438"/>
      <c r="E39" s="435">
        <v>3</v>
      </c>
      <c r="F39" s="317">
        <v>0</v>
      </c>
    </row>
    <row r="40" spans="1:6">
      <c r="A40">
        <v>21</v>
      </c>
      <c r="B40" s="438">
        <f t="shared" ca="1" si="0"/>
        <v>0.6522818785465212</v>
      </c>
      <c r="C40" s="438"/>
      <c r="E40" s="437"/>
      <c r="F40" s="25"/>
    </row>
    <row r="41" spans="1:6">
      <c r="A41">
        <v>22</v>
      </c>
      <c r="B41" s="438">
        <f t="shared" ca="1" si="0"/>
        <v>0.68500326902574415</v>
      </c>
      <c r="C41" s="438"/>
      <c r="E41" s="437"/>
      <c r="F41" s="25"/>
    </row>
    <row r="42" spans="1:6">
      <c r="A42">
        <v>23</v>
      </c>
      <c r="B42" s="438">
        <f t="shared" ca="1" si="0"/>
        <v>0.13234205739314131</v>
      </c>
      <c r="C42" s="438"/>
      <c r="E42" s="437"/>
      <c r="F42" s="25"/>
    </row>
    <row r="43" spans="1:6">
      <c r="A43">
        <v>24</v>
      </c>
      <c r="B43" s="438">
        <f t="shared" ca="1" si="0"/>
        <v>0.82519694435729463</v>
      </c>
      <c r="C43" s="438"/>
    </row>
    <row r="44" spans="1:6">
      <c r="A44">
        <v>25</v>
      </c>
      <c r="B44" s="438">
        <f t="shared" ca="1" si="0"/>
        <v>0.91356239456041144</v>
      </c>
      <c r="C44" s="438"/>
    </row>
    <row r="45" spans="1:6">
      <c r="A45">
        <v>26</v>
      </c>
      <c r="B45" s="438">
        <f t="shared" ca="1" si="0"/>
        <v>5.6037715139896083E-2</v>
      </c>
      <c r="C45" s="438"/>
    </row>
    <row r="46" spans="1:6">
      <c r="A46">
        <v>27</v>
      </c>
      <c r="B46" s="438">
        <f t="shared" ca="1" si="0"/>
        <v>0.60682732527686079</v>
      </c>
      <c r="C46" s="438"/>
    </row>
    <row r="47" spans="1:6">
      <c r="A47">
        <v>28</v>
      </c>
      <c r="B47" s="438">
        <f t="shared" ca="1" si="0"/>
        <v>0.68250610604440864</v>
      </c>
      <c r="C47" s="438"/>
    </row>
    <row r="48" spans="1:6">
      <c r="A48">
        <v>29</v>
      </c>
      <c r="B48" s="438">
        <f t="shared" ca="1" si="0"/>
        <v>0.1343293782506767</v>
      </c>
      <c r="C48" s="438"/>
    </row>
    <row r="49" spans="1:3">
      <c r="A49">
        <v>30</v>
      </c>
      <c r="B49" s="438">
        <f t="shared" ca="1" si="0"/>
        <v>0.52695919876773289</v>
      </c>
      <c r="C49" s="438"/>
    </row>
    <row r="50" spans="1:3">
      <c r="A50">
        <v>31</v>
      </c>
      <c r="B50" s="438">
        <f t="shared" ca="1" si="0"/>
        <v>0.80424681821804622</v>
      </c>
      <c r="C50" s="438"/>
    </row>
    <row r="51" spans="1:3">
      <c r="A51">
        <v>32</v>
      </c>
      <c r="B51" s="438">
        <f t="shared" ca="1" si="0"/>
        <v>0.20137749987469178</v>
      </c>
      <c r="C51" s="438"/>
    </row>
    <row r="52" spans="1:3">
      <c r="A52">
        <v>33</v>
      </c>
      <c r="B52" s="438">
        <f t="shared" ca="1" si="0"/>
        <v>0.55088509200976166</v>
      </c>
      <c r="C52" s="438"/>
    </row>
    <row r="53" spans="1:3">
      <c r="A53">
        <v>34</v>
      </c>
      <c r="B53" s="438">
        <f t="shared" ca="1" si="0"/>
        <v>0.25512119900058816</v>
      </c>
      <c r="C53" s="438"/>
    </row>
    <row r="54" spans="1:3">
      <c r="A54">
        <v>35</v>
      </c>
      <c r="B54" s="438">
        <f t="shared" ca="1" si="0"/>
        <v>0.85806692905147441</v>
      </c>
      <c r="C54" s="438"/>
    </row>
    <row r="55" spans="1:3">
      <c r="A55">
        <v>36</v>
      </c>
      <c r="B55" s="438">
        <f t="shared" ca="1" si="0"/>
        <v>0.2677290162277246</v>
      </c>
      <c r="C55" s="438"/>
    </row>
    <row r="56" spans="1:3">
      <c r="A56">
        <v>37</v>
      </c>
      <c r="B56" s="438">
        <f t="shared" ca="1" si="0"/>
        <v>0.81599911906770606</v>
      </c>
      <c r="C56" s="438"/>
    </row>
    <row r="57" spans="1:3">
      <c r="A57">
        <v>38</v>
      </c>
      <c r="B57" s="438">
        <f t="shared" ca="1" si="0"/>
        <v>0.84247829496144822</v>
      </c>
      <c r="C57" s="438"/>
    </row>
    <row r="58" spans="1:3">
      <c r="A58">
        <v>39</v>
      </c>
      <c r="B58" s="438">
        <f t="shared" ca="1" si="0"/>
        <v>0.51549918733152111</v>
      </c>
      <c r="C58" s="438"/>
    </row>
    <row r="59" spans="1:3">
      <c r="A59">
        <v>40</v>
      </c>
      <c r="B59" s="438">
        <f t="shared" ca="1" si="0"/>
        <v>0.94642346118747001</v>
      </c>
      <c r="C59" s="438"/>
    </row>
    <row r="60" spans="1:3">
      <c r="A60">
        <v>41</v>
      </c>
      <c r="B60" s="438">
        <f t="shared" ca="1" si="0"/>
        <v>0.7586170692045604</v>
      </c>
      <c r="C60" s="438"/>
    </row>
    <row r="61" spans="1:3">
      <c r="A61">
        <v>42</v>
      </c>
      <c r="B61" s="438">
        <f t="shared" ca="1" si="0"/>
        <v>2.2444870644715564E-2</v>
      </c>
      <c r="C61" s="438"/>
    </row>
    <row r="62" spans="1:3">
      <c r="A62">
        <v>43</v>
      </c>
      <c r="B62" s="438">
        <f t="shared" ca="1" si="0"/>
        <v>0.88741223755003507</v>
      </c>
      <c r="C62" s="438"/>
    </row>
    <row r="63" spans="1:3">
      <c r="A63">
        <v>44</v>
      </c>
      <c r="B63" s="438">
        <f t="shared" ca="1" si="0"/>
        <v>0.47718065967425316</v>
      </c>
      <c r="C63" s="438"/>
    </row>
    <row r="64" spans="1:3">
      <c r="A64">
        <v>45</v>
      </c>
      <c r="B64" s="438">
        <f t="shared" ca="1" si="0"/>
        <v>0.8826656299995943</v>
      </c>
      <c r="C64" s="438"/>
    </row>
    <row r="65" spans="1:3">
      <c r="A65">
        <v>46</v>
      </c>
      <c r="B65" s="438">
        <f t="shared" ca="1" si="0"/>
        <v>0.10972902708417642</v>
      </c>
      <c r="C65" s="438"/>
    </row>
    <row r="66" spans="1:3">
      <c r="A66">
        <v>47</v>
      </c>
      <c r="B66" s="438">
        <f t="shared" ca="1" si="0"/>
        <v>0.59987220328558433</v>
      </c>
      <c r="C66" s="438"/>
    </row>
    <row r="67" spans="1:3">
      <c r="A67">
        <v>48</v>
      </c>
      <c r="B67" s="438">
        <f t="shared" ca="1" si="0"/>
        <v>0.2007372887820924</v>
      </c>
      <c r="C67" s="438"/>
    </row>
    <row r="68" spans="1:3">
      <c r="A68">
        <v>49</v>
      </c>
      <c r="B68" s="438">
        <f t="shared" ca="1" si="0"/>
        <v>0.44084444934371581</v>
      </c>
      <c r="C68" s="438"/>
    </row>
    <row r="69" spans="1:3">
      <c r="A69">
        <v>50</v>
      </c>
      <c r="B69" s="438">
        <f t="shared" ca="1" si="0"/>
        <v>0.43318129229639912</v>
      </c>
      <c r="C69" s="438"/>
    </row>
    <row r="70" spans="1:3">
      <c r="A70">
        <v>51</v>
      </c>
      <c r="B70" s="438">
        <f t="shared" ca="1" si="0"/>
        <v>1.8599530308193835E-2</v>
      </c>
      <c r="C70" s="438"/>
    </row>
    <row r="71" spans="1:3">
      <c r="A71">
        <v>52</v>
      </c>
      <c r="B71" s="438">
        <f t="shared" ca="1" si="0"/>
        <v>0.45237100988320922</v>
      </c>
      <c r="C71" s="438"/>
    </row>
    <row r="72" spans="1:3">
      <c r="A72">
        <v>53</v>
      </c>
      <c r="B72" s="438">
        <f t="shared" ca="1" si="0"/>
        <v>0.73546947389444561</v>
      </c>
      <c r="C72" s="438"/>
    </row>
    <row r="73" spans="1:3">
      <c r="A73">
        <v>54</v>
      </c>
      <c r="B73" s="438">
        <f t="shared" ca="1" si="0"/>
        <v>0.37495621920794431</v>
      </c>
      <c r="C73" s="438"/>
    </row>
    <row r="74" spans="1:3">
      <c r="A74">
        <v>55</v>
      </c>
      <c r="B74" s="438">
        <f t="shared" ca="1" si="0"/>
        <v>0.99448185058960314</v>
      </c>
      <c r="C74" s="438"/>
    </row>
    <row r="75" spans="1:3">
      <c r="A75">
        <v>56</v>
      </c>
      <c r="B75" s="438">
        <f t="shared" ca="1" si="0"/>
        <v>4.6630372351400107E-2</v>
      </c>
      <c r="C75" s="438"/>
    </row>
    <row r="76" spans="1:3">
      <c r="A76">
        <v>57</v>
      </c>
      <c r="B76" s="438">
        <f t="shared" ca="1" si="0"/>
        <v>0.11958585226687202</v>
      </c>
      <c r="C76" s="438"/>
    </row>
    <row r="77" spans="1:3">
      <c r="A77">
        <v>58</v>
      </c>
      <c r="B77" s="438">
        <f t="shared" ca="1" si="0"/>
        <v>0.70058944900027953</v>
      </c>
      <c r="C77" s="438"/>
    </row>
    <row r="78" spans="1:3">
      <c r="A78">
        <v>59</v>
      </c>
      <c r="B78" s="438">
        <f t="shared" ca="1" si="0"/>
        <v>0.80808772489929925</v>
      </c>
      <c r="C78" s="438"/>
    </row>
    <row r="79" spans="1:3">
      <c r="A79">
        <v>60</v>
      </c>
      <c r="B79" s="438">
        <f t="shared" ca="1" si="0"/>
        <v>0.45379381499518878</v>
      </c>
      <c r="C79" s="438"/>
    </row>
    <row r="80" spans="1:3">
      <c r="A80">
        <v>61</v>
      </c>
      <c r="B80" s="438">
        <f t="shared" ca="1" si="0"/>
        <v>0.85944698757271265</v>
      </c>
      <c r="C80" s="438"/>
    </row>
    <row r="81" spans="1:3">
      <c r="A81">
        <v>62</v>
      </c>
      <c r="B81" s="438">
        <f t="shared" ca="1" si="0"/>
        <v>0.49205955221206921</v>
      </c>
      <c r="C81" s="438"/>
    </row>
    <row r="82" spans="1:3">
      <c r="A82">
        <v>63</v>
      </c>
      <c r="B82" s="438">
        <f t="shared" ca="1" si="0"/>
        <v>0.8244049948125971</v>
      </c>
      <c r="C82" s="438"/>
    </row>
    <row r="83" spans="1:3">
      <c r="A83">
        <v>64</v>
      </c>
      <c r="B83" s="438">
        <f t="shared" ca="1" si="0"/>
        <v>0.93961068235376466</v>
      </c>
      <c r="C83" s="438"/>
    </row>
    <row r="84" spans="1:3">
      <c r="A84">
        <v>65</v>
      </c>
      <c r="B84" s="438">
        <f t="shared" ref="B84:B147" ca="1" si="1">RAND()</f>
        <v>0.83167898467037227</v>
      </c>
      <c r="C84" s="438"/>
    </row>
    <row r="85" spans="1:3">
      <c r="A85">
        <v>66</v>
      </c>
      <c r="B85" s="438">
        <f t="shared" ca="1" si="1"/>
        <v>0.67642016613042433</v>
      </c>
      <c r="C85" s="438"/>
    </row>
    <row r="86" spans="1:3">
      <c r="A86">
        <v>67</v>
      </c>
      <c r="B86" s="438">
        <f t="shared" ca="1" si="1"/>
        <v>0.52835896977183161</v>
      </c>
      <c r="C86" s="438"/>
    </row>
    <row r="87" spans="1:3">
      <c r="A87">
        <v>68</v>
      </c>
      <c r="B87" s="438">
        <f t="shared" ca="1" si="1"/>
        <v>0.98210427369763931</v>
      </c>
      <c r="C87" s="438"/>
    </row>
    <row r="88" spans="1:3">
      <c r="A88">
        <v>69</v>
      </c>
      <c r="B88" s="438">
        <f t="shared" ca="1" si="1"/>
        <v>0.71485798743703555</v>
      </c>
      <c r="C88" s="438"/>
    </row>
    <row r="89" spans="1:3">
      <c r="A89">
        <v>70</v>
      </c>
      <c r="B89" s="438">
        <f t="shared" ca="1" si="1"/>
        <v>0.11376373854675936</v>
      </c>
      <c r="C89" s="438"/>
    </row>
    <row r="90" spans="1:3">
      <c r="A90">
        <v>71</v>
      </c>
      <c r="B90" s="438">
        <f t="shared" ca="1" si="1"/>
        <v>0.75132388352230417</v>
      </c>
      <c r="C90" s="438"/>
    </row>
    <row r="91" spans="1:3">
      <c r="A91">
        <v>72</v>
      </c>
      <c r="B91" s="438">
        <f t="shared" ca="1" si="1"/>
        <v>0.62195891055166563</v>
      </c>
      <c r="C91" s="438"/>
    </row>
    <row r="92" spans="1:3">
      <c r="A92">
        <v>73</v>
      </c>
      <c r="B92" s="438">
        <f t="shared" ca="1" si="1"/>
        <v>0.71861049630912266</v>
      </c>
      <c r="C92" s="438"/>
    </row>
    <row r="93" spans="1:3">
      <c r="A93">
        <v>74</v>
      </c>
      <c r="B93" s="438">
        <f t="shared" ca="1" si="1"/>
        <v>0.95610919519532622</v>
      </c>
      <c r="C93" s="438"/>
    </row>
    <row r="94" spans="1:3">
      <c r="A94">
        <v>75</v>
      </c>
      <c r="B94" s="438">
        <f t="shared" ca="1" si="1"/>
        <v>0.25577228757606019</v>
      </c>
      <c r="C94" s="438"/>
    </row>
    <row r="95" spans="1:3">
      <c r="A95">
        <v>76</v>
      </c>
      <c r="B95" s="438">
        <f t="shared" ca="1" si="1"/>
        <v>0.57911050222071947</v>
      </c>
      <c r="C95" s="438"/>
    </row>
    <row r="96" spans="1:3">
      <c r="A96">
        <v>77</v>
      </c>
      <c r="B96" s="438">
        <f t="shared" ca="1" si="1"/>
        <v>0.55638800542922162</v>
      </c>
      <c r="C96" s="438"/>
    </row>
    <row r="97" spans="1:3">
      <c r="A97">
        <v>78</v>
      </c>
      <c r="B97" s="438">
        <f t="shared" ca="1" si="1"/>
        <v>0.18111279522775003</v>
      </c>
      <c r="C97" s="438"/>
    </row>
    <row r="98" spans="1:3">
      <c r="A98">
        <v>79</v>
      </c>
      <c r="B98" s="438">
        <f t="shared" ca="1" si="1"/>
        <v>0.79576647753677321</v>
      </c>
      <c r="C98" s="438"/>
    </row>
    <row r="99" spans="1:3">
      <c r="A99">
        <v>80</v>
      </c>
      <c r="B99" s="438">
        <f t="shared" ca="1" si="1"/>
        <v>0.96090541938157914</v>
      </c>
      <c r="C99" s="438"/>
    </row>
    <row r="100" spans="1:3">
      <c r="A100">
        <v>81</v>
      </c>
      <c r="B100" s="438">
        <f t="shared" ca="1" si="1"/>
        <v>8.1623082803490954E-2</v>
      </c>
      <c r="C100" s="438"/>
    </row>
    <row r="101" spans="1:3">
      <c r="A101">
        <v>82</v>
      </c>
      <c r="B101" s="438">
        <f t="shared" ca="1" si="1"/>
        <v>0.86268056640140411</v>
      </c>
      <c r="C101" s="438"/>
    </row>
    <row r="102" spans="1:3">
      <c r="A102">
        <v>83</v>
      </c>
      <c r="B102" s="438">
        <f t="shared" ca="1" si="1"/>
        <v>0.59302513178698035</v>
      </c>
      <c r="C102" s="438"/>
    </row>
    <row r="103" spans="1:3">
      <c r="A103">
        <v>84</v>
      </c>
      <c r="B103" s="438">
        <f t="shared" ca="1" si="1"/>
        <v>0.39779069771950848</v>
      </c>
      <c r="C103" s="438"/>
    </row>
    <row r="104" spans="1:3">
      <c r="A104">
        <v>85</v>
      </c>
      <c r="B104" s="438">
        <f t="shared" ca="1" si="1"/>
        <v>0.1057391344413201</v>
      </c>
      <c r="C104" s="438"/>
    </row>
    <row r="105" spans="1:3">
      <c r="A105">
        <v>86</v>
      </c>
      <c r="B105" s="438">
        <f t="shared" ca="1" si="1"/>
        <v>0.80145708288215567</v>
      </c>
      <c r="C105" s="438"/>
    </row>
    <row r="106" spans="1:3">
      <c r="A106">
        <v>87</v>
      </c>
      <c r="B106" s="438">
        <f t="shared" ca="1" si="1"/>
        <v>0.49408657587328708</v>
      </c>
      <c r="C106" s="438"/>
    </row>
    <row r="107" spans="1:3">
      <c r="A107">
        <v>88</v>
      </c>
      <c r="B107" s="438">
        <f t="shared" ca="1" si="1"/>
        <v>0.49767867024119194</v>
      </c>
      <c r="C107" s="438"/>
    </row>
    <row r="108" spans="1:3">
      <c r="A108">
        <v>89</v>
      </c>
      <c r="B108" s="438">
        <f t="shared" ca="1" si="1"/>
        <v>0.75852857613611846</v>
      </c>
      <c r="C108" s="438"/>
    </row>
    <row r="109" spans="1:3">
      <c r="A109">
        <v>90</v>
      </c>
      <c r="B109" s="438">
        <f t="shared" ca="1" si="1"/>
        <v>7.5232047529830259E-2</v>
      </c>
      <c r="C109" s="438"/>
    </row>
    <row r="110" spans="1:3">
      <c r="A110">
        <v>91</v>
      </c>
      <c r="B110" s="438">
        <f t="shared" ca="1" si="1"/>
        <v>9.1135668647069012E-2</v>
      </c>
      <c r="C110" s="438"/>
    </row>
    <row r="111" spans="1:3">
      <c r="A111">
        <v>92</v>
      </c>
      <c r="B111" s="438">
        <f t="shared" ca="1" si="1"/>
        <v>0.49287902566964803</v>
      </c>
      <c r="C111" s="438"/>
    </row>
    <row r="112" spans="1:3">
      <c r="A112">
        <v>93</v>
      </c>
      <c r="B112" s="438">
        <f t="shared" ca="1" si="1"/>
        <v>0.33652658429417404</v>
      </c>
      <c r="C112" s="438"/>
    </row>
    <row r="113" spans="1:3">
      <c r="A113">
        <v>94</v>
      </c>
      <c r="B113" s="438">
        <f t="shared" ca="1" si="1"/>
        <v>0.13167600687045145</v>
      </c>
      <c r="C113" s="438"/>
    </row>
    <row r="114" spans="1:3">
      <c r="A114">
        <v>95</v>
      </c>
      <c r="B114" s="438">
        <f t="shared" ca="1" si="1"/>
        <v>0.10386872726011642</v>
      </c>
      <c r="C114" s="438"/>
    </row>
    <row r="115" spans="1:3">
      <c r="A115">
        <v>96</v>
      </c>
      <c r="B115" s="438">
        <f t="shared" ca="1" si="1"/>
        <v>0.47762067291499699</v>
      </c>
      <c r="C115" s="438"/>
    </row>
    <row r="116" spans="1:3">
      <c r="A116">
        <v>97</v>
      </c>
      <c r="B116" s="438">
        <f t="shared" ca="1" si="1"/>
        <v>0.67875276713036947</v>
      </c>
      <c r="C116" s="438"/>
    </row>
    <row r="117" spans="1:3">
      <c r="A117">
        <v>98</v>
      </c>
      <c r="B117" s="438">
        <f t="shared" ca="1" si="1"/>
        <v>0.51994110142546734</v>
      </c>
      <c r="C117" s="438"/>
    </row>
    <row r="118" spans="1:3">
      <c r="A118">
        <v>99</v>
      </c>
      <c r="B118" s="438">
        <f t="shared" ca="1" si="1"/>
        <v>0.35336040662389046</v>
      </c>
      <c r="C118" s="438"/>
    </row>
    <row r="119" spans="1:3">
      <c r="A119">
        <v>100</v>
      </c>
      <c r="B119" s="438">
        <f t="shared" ca="1" si="1"/>
        <v>0.54959907028453259</v>
      </c>
      <c r="C119" s="438"/>
    </row>
    <row r="120" spans="1:3">
      <c r="A120">
        <v>101</v>
      </c>
      <c r="B120" s="438">
        <f t="shared" ca="1" si="1"/>
        <v>5.509481609693001E-2</v>
      </c>
      <c r="C120" s="438"/>
    </row>
    <row r="121" spans="1:3">
      <c r="A121">
        <v>102</v>
      </c>
      <c r="B121" s="438">
        <f t="shared" ca="1" si="1"/>
        <v>0.90387696883592805</v>
      </c>
      <c r="C121" s="438"/>
    </row>
    <row r="122" spans="1:3">
      <c r="A122">
        <v>103</v>
      </c>
      <c r="B122" s="438">
        <f t="shared" ca="1" si="1"/>
        <v>0.50521901284277915</v>
      </c>
      <c r="C122" s="438"/>
    </row>
    <row r="123" spans="1:3">
      <c r="A123">
        <v>104</v>
      </c>
      <c r="B123" s="438">
        <f t="shared" ca="1" si="1"/>
        <v>0.96258994770819695</v>
      </c>
      <c r="C123" s="438"/>
    </row>
    <row r="124" spans="1:3">
      <c r="A124">
        <v>105</v>
      </c>
      <c r="B124" s="438">
        <f t="shared" ca="1" si="1"/>
        <v>0.18362100190844011</v>
      </c>
      <c r="C124" s="438"/>
    </row>
    <row r="125" spans="1:3">
      <c r="A125">
        <v>106</v>
      </c>
      <c r="B125" s="438">
        <f t="shared" ca="1" si="1"/>
        <v>0.91105580092280913</v>
      </c>
      <c r="C125" s="438"/>
    </row>
    <row r="126" spans="1:3">
      <c r="A126">
        <v>107</v>
      </c>
      <c r="B126" s="438">
        <f t="shared" ca="1" si="1"/>
        <v>0.66682988093418172</v>
      </c>
      <c r="C126" s="438"/>
    </row>
    <row r="127" spans="1:3">
      <c r="A127">
        <v>108</v>
      </c>
      <c r="B127" s="438">
        <f t="shared" ca="1" si="1"/>
        <v>0.97233532678947476</v>
      </c>
      <c r="C127" s="438"/>
    </row>
    <row r="128" spans="1:3">
      <c r="A128">
        <v>109</v>
      </c>
      <c r="B128" s="438">
        <f t="shared" ca="1" si="1"/>
        <v>0.39971089814685623</v>
      </c>
      <c r="C128" s="438"/>
    </row>
    <row r="129" spans="1:3">
      <c r="A129">
        <v>110</v>
      </c>
      <c r="B129" s="438">
        <f t="shared" ca="1" si="1"/>
        <v>0.52739825563674358</v>
      </c>
      <c r="C129" s="438"/>
    </row>
    <row r="130" spans="1:3">
      <c r="A130">
        <v>111</v>
      </c>
      <c r="B130" s="438">
        <f t="shared" ca="1" si="1"/>
        <v>0.81888005519934826</v>
      </c>
      <c r="C130" s="438"/>
    </row>
    <row r="131" spans="1:3">
      <c r="A131">
        <v>112</v>
      </c>
      <c r="B131" s="438">
        <f t="shared" ca="1" si="1"/>
        <v>0.41005781900030946</v>
      </c>
      <c r="C131" s="438"/>
    </row>
    <row r="132" spans="1:3">
      <c r="A132">
        <v>113</v>
      </c>
      <c r="B132" s="438">
        <f t="shared" ca="1" si="1"/>
        <v>0.68209050971514329</v>
      </c>
      <c r="C132" s="438"/>
    </row>
    <row r="133" spans="1:3">
      <c r="A133">
        <v>114</v>
      </c>
      <c r="B133" s="438">
        <f t="shared" ca="1" si="1"/>
        <v>0.43186840604713383</v>
      </c>
      <c r="C133" s="438"/>
    </row>
    <row r="134" spans="1:3">
      <c r="A134">
        <v>115</v>
      </c>
      <c r="B134" s="438">
        <f t="shared" ca="1" si="1"/>
        <v>0.51457188934313036</v>
      </c>
      <c r="C134" s="438"/>
    </row>
    <row r="135" spans="1:3">
      <c r="A135">
        <v>116</v>
      </c>
      <c r="B135" s="438">
        <f t="shared" ca="1" si="1"/>
        <v>0.98421591369801442</v>
      </c>
      <c r="C135" s="438"/>
    </row>
    <row r="136" spans="1:3">
      <c r="A136">
        <v>117</v>
      </c>
      <c r="B136" s="438">
        <f t="shared" ca="1" si="1"/>
        <v>0.1676435083508887</v>
      </c>
      <c r="C136" s="438"/>
    </row>
    <row r="137" spans="1:3">
      <c r="A137">
        <v>118</v>
      </c>
      <c r="B137" s="438">
        <f t="shared" ca="1" si="1"/>
        <v>0.69388568457551703</v>
      </c>
      <c r="C137" s="438"/>
    </row>
    <row r="138" spans="1:3">
      <c r="A138">
        <v>119</v>
      </c>
      <c r="B138" s="438">
        <f t="shared" ca="1" si="1"/>
        <v>0.76788532814960253</v>
      </c>
      <c r="C138" s="438"/>
    </row>
    <row r="139" spans="1:3">
      <c r="A139">
        <v>120</v>
      </c>
      <c r="B139" s="438">
        <f t="shared" ca="1" si="1"/>
        <v>0.52004035587865971</v>
      </c>
      <c r="C139" s="438"/>
    </row>
    <row r="140" spans="1:3">
      <c r="A140">
        <v>121</v>
      </c>
      <c r="B140" s="438">
        <f t="shared" ca="1" si="1"/>
        <v>9.1177790065254172E-2</v>
      </c>
      <c r="C140" s="438"/>
    </row>
    <row r="141" spans="1:3">
      <c r="A141">
        <v>122</v>
      </c>
      <c r="B141" s="438">
        <f t="shared" ca="1" si="1"/>
        <v>0.19274574655480858</v>
      </c>
      <c r="C141" s="438"/>
    </row>
    <row r="142" spans="1:3">
      <c r="A142">
        <v>123</v>
      </c>
      <c r="B142" s="438">
        <f t="shared" ca="1" si="1"/>
        <v>0.25096142060856641</v>
      </c>
      <c r="C142" s="438"/>
    </row>
    <row r="143" spans="1:3">
      <c r="A143">
        <v>124</v>
      </c>
      <c r="B143" s="438">
        <f t="shared" ca="1" si="1"/>
        <v>0.74822763355474042</v>
      </c>
      <c r="C143" s="438"/>
    </row>
    <row r="144" spans="1:3">
      <c r="A144">
        <v>125</v>
      </c>
      <c r="B144" s="438">
        <f t="shared" ca="1" si="1"/>
        <v>0.57278864315177169</v>
      </c>
      <c r="C144" s="438"/>
    </row>
    <row r="145" spans="1:3">
      <c r="A145">
        <v>126</v>
      </c>
      <c r="B145" s="438">
        <f t="shared" ca="1" si="1"/>
        <v>0.8879465345225408</v>
      </c>
      <c r="C145" s="438"/>
    </row>
    <row r="146" spans="1:3">
      <c r="A146">
        <v>127</v>
      </c>
      <c r="B146" s="438">
        <f t="shared" ca="1" si="1"/>
        <v>0.39663748834134727</v>
      </c>
      <c r="C146" s="438"/>
    </row>
    <row r="147" spans="1:3">
      <c r="A147">
        <v>128</v>
      </c>
      <c r="B147" s="438">
        <f t="shared" ca="1" si="1"/>
        <v>0.62101596272644954</v>
      </c>
      <c r="C147" s="438"/>
    </row>
    <row r="148" spans="1:3">
      <c r="A148">
        <v>129</v>
      </c>
      <c r="B148" s="438">
        <f t="shared" ref="B148:B211" ca="1" si="2">RAND()</f>
        <v>0.681606083448135</v>
      </c>
      <c r="C148" s="438"/>
    </row>
    <row r="149" spans="1:3">
      <c r="A149">
        <v>130</v>
      </c>
      <c r="B149" s="438">
        <f t="shared" ca="1" si="2"/>
        <v>0.65252217542846758</v>
      </c>
      <c r="C149" s="438"/>
    </row>
    <row r="150" spans="1:3">
      <c r="A150">
        <v>131</v>
      </c>
      <c r="B150" s="438">
        <f t="shared" ca="1" si="2"/>
        <v>0.26660500427681733</v>
      </c>
      <c r="C150" s="438"/>
    </row>
    <row r="151" spans="1:3">
      <c r="A151">
        <v>132</v>
      </c>
      <c r="B151" s="438">
        <f t="shared" ca="1" si="2"/>
        <v>8.8345349375249516E-2</v>
      </c>
      <c r="C151" s="438"/>
    </row>
    <row r="152" spans="1:3">
      <c r="A152">
        <v>133</v>
      </c>
      <c r="B152" s="438">
        <f t="shared" ca="1" si="2"/>
        <v>0.51107479109326404</v>
      </c>
      <c r="C152" s="438"/>
    </row>
    <row r="153" spans="1:3">
      <c r="A153">
        <v>134</v>
      </c>
      <c r="B153" s="438">
        <f t="shared" ca="1" si="2"/>
        <v>0.55038249730058064</v>
      </c>
      <c r="C153" s="438"/>
    </row>
    <row r="154" spans="1:3">
      <c r="A154">
        <v>135</v>
      </c>
      <c r="B154" s="438">
        <f t="shared" ca="1" si="2"/>
        <v>0.56881053012638128</v>
      </c>
      <c r="C154" s="438"/>
    </row>
    <row r="155" spans="1:3">
      <c r="A155">
        <v>136</v>
      </c>
      <c r="B155" s="438">
        <f t="shared" ca="1" si="2"/>
        <v>5.9448539679078927E-2</v>
      </c>
      <c r="C155" s="438"/>
    </row>
    <row r="156" spans="1:3">
      <c r="A156">
        <v>137</v>
      </c>
      <c r="B156" s="438">
        <f t="shared" ca="1" si="2"/>
        <v>0.29235271616403402</v>
      </c>
      <c r="C156" s="438"/>
    </row>
    <row r="157" spans="1:3">
      <c r="A157">
        <v>138</v>
      </c>
      <c r="B157" s="438">
        <f t="shared" ca="1" si="2"/>
        <v>0.93972223159544677</v>
      </c>
      <c r="C157" s="438"/>
    </row>
    <row r="158" spans="1:3">
      <c r="A158">
        <v>139</v>
      </c>
      <c r="B158" s="438">
        <f t="shared" ca="1" si="2"/>
        <v>0.39949917440740368</v>
      </c>
      <c r="C158" s="438"/>
    </row>
    <row r="159" spans="1:3">
      <c r="A159">
        <v>140</v>
      </c>
      <c r="B159" s="438">
        <f t="shared" ca="1" si="2"/>
        <v>0.62908442704413225</v>
      </c>
      <c r="C159" s="438"/>
    </row>
    <row r="160" spans="1:3">
      <c r="A160">
        <v>141</v>
      </c>
      <c r="B160" s="438">
        <f t="shared" ca="1" si="2"/>
        <v>0.19828603022471381</v>
      </c>
      <c r="C160" s="438"/>
    </row>
    <row r="161" spans="1:3">
      <c r="A161">
        <v>142</v>
      </c>
      <c r="B161" s="438">
        <f t="shared" ca="1" si="2"/>
        <v>0.7597039619699224</v>
      </c>
      <c r="C161" s="438"/>
    </row>
    <row r="162" spans="1:3">
      <c r="A162">
        <v>143</v>
      </c>
      <c r="B162" s="438">
        <f t="shared" ca="1" si="2"/>
        <v>6.6882625619673952E-2</v>
      </c>
      <c r="C162" s="438"/>
    </row>
    <row r="163" spans="1:3">
      <c r="A163">
        <v>144</v>
      </c>
      <c r="B163" s="438">
        <f t="shared" ca="1" si="2"/>
        <v>0.75345620992440177</v>
      </c>
      <c r="C163" s="438"/>
    </row>
    <row r="164" spans="1:3">
      <c r="A164">
        <v>145</v>
      </c>
      <c r="B164" s="438">
        <f t="shared" ca="1" si="2"/>
        <v>0.28598318286451652</v>
      </c>
      <c r="C164" s="438"/>
    </row>
    <row r="165" spans="1:3">
      <c r="A165">
        <v>146</v>
      </c>
      <c r="B165" s="438">
        <f t="shared" ca="1" si="2"/>
        <v>6.7702295569252335E-2</v>
      </c>
      <c r="C165" s="438"/>
    </row>
    <row r="166" spans="1:3">
      <c r="A166">
        <v>147</v>
      </c>
      <c r="B166" s="438">
        <f t="shared" ca="1" si="2"/>
        <v>0.56689702760318217</v>
      </c>
      <c r="C166" s="438"/>
    </row>
    <row r="167" spans="1:3">
      <c r="A167">
        <v>148</v>
      </c>
      <c r="B167" s="438">
        <f t="shared" ca="1" si="2"/>
        <v>0.45987952262689547</v>
      </c>
      <c r="C167" s="438"/>
    </row>
    <row r="168" spans="1:3">
      <c r="A168">
        <v>149</v>
      </c>
      <c r="B168" s="438">
        <f t="shared" ca="1" si="2"/>
        <v>0.25630891115441035</v>
      </c>
      <c r="C168" s="438"/>
    </row>
    <row r="169" spans="1:3">
      <c r="A169">
        <v>150</v>
      </c>
      <c r="B169" s="438">
        <f t="shared" ca="1" si="2"/>
        <v>0.15639373038756976</v>
      </c>
      <c r="C169" s="438"/>
    </row>
    <row r="170" spans="1:3">
      <c r="A170">
        <v>151</v>
      </c>
      <c r="B170" s="438">
        <f t="shared" ca="1" si="2"/>
        <v>0.38144022134186528</v>
      </c>
      <c r="C170" s="438"/>
    </row>
    <row r="171" spans="1:3">
      <c r="A171">
        <v>152</v>
      </c>
      <c r="B171" s="438">
        <f t="shared" ca="1" si="2"/>
        <v>0.40398488700298163</v>
      </c>
      <c r="C171" s="438"/>
    </row>
    <row r="172" spans="1:3">
      <c r="A172">
        <v>153</v>
      </c>
      <c r="B172" s="438">
        <f t="shared" ca="1" si="2"/>
        <v>0.7574745800658409</v>
      </c>
      <c r="C172" s="438"/>
    </row>
    <row r="173" spans="1:3">
      <c r="A173">
        <v>154</v>
      </c>
      <c r="B173" s="438">
        <f t="shared" ca="1" si="2"/>
        <v>0.26477909781269227</v>
      </c>
      <c r="C173" s="438"/>
    </row>
    <row r="174" spans="1:3">
      <c r="A174">
        <v>155</v>
      </c>
      <c r="B174" s="438">
        <f t="shared" ca="1" si="2"/>
        <v>0.10829014863217967</v>
      </c>
      <c r="C174" s="438"/>
    </row>
    <row r="175" spans="1:3">
      <c r="A175">
        <v>156</v>
      </c>
      <c r="B175" s="438">
        <f t="shared" ca="1" si="2"/>
        <v>0.67566995945235497</v>
      </c>
      <c r="C175" s="438"/>
    </row>
    <row r="176" spans="1:3">
      <c r="A176">
        <v>157</v>
      </c>
      <c r="B176" s="438">
        <f t="shared" ca="1" si="2"/>
        <v>0.30863658431644736</v>
      </c>
      <c r="C176" s="438"/>
    </row>
    <row r="177" spans="1:3">
      <c r="A177">
        <v>158</v>
      </c>
      <c r="B177" s="438">
        <f t="shared" ca="1" si="2"/>
        <v>0.6103152184140872</v>
      </c>
      <c r="C177" s="438"/>
    </row>
    <row r="178" spans="1:3">
      <c r="A178">
        <v>159</v>
      </c>
      <c r="B178" s="438">
        <f t="shared" ca="1" si="2"/>
        <v>0.90652419454515276</v>
      </c>
      <c r="C178" s="438"/>
    </row>
    <row r="179" spans="1:3">
      <c r="A179">
        <v>160</v>
      </c>
      <c r="B179" s="438">
        <f t="shared" ca="1" si="2"/>
        <v>0.48516562142263542</v>
      </c>
      <c r="C179" s="438"/>
    </row>
    <row r="180" spans="1:3">
      <c r="A180">
        <v>161</v>
      </c>
      <c r="B180" s="438">
        <f t="shared" ca="1" si="2"/>
        <v>3.7276385685825364E-2</v>
      </c>
      <c r="C180" s="438"/>
    </row>
    <row r="181" spans="1:3">
      <c r="A181">
        <v>162</v>
      </c>
      <c r="B181" s="438">
        <f t="shared" ca="1" si="2"/>
        <v>0.7365127617788636</v>
      </c>
      <c r="C181" s="438"/>
    </row>
    <row r="182" spans="1:3">
      <c r="A182">
        <v>163</v>
      </c>
      <c r="B182" s="438">
        <f t="shared" ca="1" si="2"/>
        <v>8.0583689955960658E-2</v>
      </c>
      <c r="C182" s="438"/>
    </row>
    <row r="183" spans="1:3">
      <c r="A183">
        <v>164</v>
      </c>
      <c r="B183" s="438">
        <f t="shared" ca="1" si="2"/>
        <v>0.85865664009784592</v>
      </c>
      <c r="C183" s="438"/>
    </row>
    <row r="184" spans="1:3">
      <c r="A184">
        <v>165</v>
      </c>
      <c r="B184" s="438">
        <f t="shared" ca="1" si="2"/>
        <v>0.78020202832978391</v>
      </c>
      <c r="C184" s="438"/>
    </row>
    <row r="185" spans="1:3">
      <c r="A185">
        <v>166</v>
      </c>
      <c r="B185" s="438">
        <f t="shared" ca="1" si="2"/>
        <v>0.41116277302399862</v>
      </c>
      <c r="C185" s="438"/>
    </row>
    <row r="186" spans="1:3">
      <c r="A186">
        <v>167</v>
      </c>
      <c r="B186" s="438">
        <f t="shared" ca="1" si="2"/>
        <v>0.46008610136353179</v>
      </c>
      <c r="C186" s="438"/>
    </row>
    <row r="187" spans="1:3">
      <c r="A187">
        <v>168</v>
      </c>
      <c r="B187" s="438">
        <f t="shared" ca="1" si="2"/>
        <v>0.55040888740115212</v>
      </c>
      <c r="C187" s="438"/>
    </row>
    <row r="188" spans="1:3">
      <c r="A188">
        <v>169</v>
      </c>
      <c r="B188" s="438">
        <f t="shared" ca="1" si="2"/>
        <v>0.83197352021939652</v>
      </c>
      <c r="C188" s="438"/>
    </row>
    <row r="189" spans="1:3">
      <c r="A189">
        <v>170</v>
      </c>
      <c r="B189" s="438">
        <f t="shared" ca="1" si="2"/>
        <v>0.79857607952355592</v>
      </c>
      <c r="C189" s="438"/>
    </row>
    <row r="190" spans="1:3">
      <c r="A190">
        <v>171</v>
      </c>
      <c r="B190" s="438">
        <f t="shared" ca="1" si="2"/>
        <v>0.30115723951707563</v>
      </c>
      <c r="C190" s="438"/>
    </row>
    <row r="191" spans="1:3">
      <c r="A191">
        <v>172</v>
      </c>
      <c r="B191" s="438">
        <f t="shared" ca="1" si="2"/>
        <v>0.37518515820168519</v>
      </c>
      <c r="C191" s="438"/>
    </row>
    <row r="192" spans="1:3">
      <c r="A192">
        <v>173</v>
      </c>
      <c r="B192" s="438">
        <f t="shared" ca="1" si="2"/>
        <v>0.93070084223285954</v>
      </c>
      <c r="C192" s="438"/>
    </row>
    <row r="193" spans="1:3">
      <c r="A193">
        <v>174</v>
      </c>
      <c r="B193" s="438">
        <f t="shared" ca="1" si="2"/>
        <v>0.37611999575101951</v>
      </c>
      <c r="C193" s="438"/>
    </row>
    <row r="194" spans="1:3">
      <c r="A194">
        <v>175</v>
      </c>
      <c r="B194" s="438">
        <f t="shared" ca="1" si="2"/>
        <v>0.76285952894781239</v>
      </c>
      <c r="C194" s="438"/>
    </row>
    <row r="195" spans="1:3">
      <c r="A195">
        <v>176</v>
      </c>
      <c r="B195" s="438">
        <f t="shared" ca="1" si="2"/>
        <v>0.71667969966581224</v>
      </c>
      <c r="C195" s="438"/>
    </row>
    <row r="196" spans="1:3">
      <c r="A196">
        <v>177</v>
      </c>
      <c r="B196" s="438">
        <f t="shared" ca="1" si="2"/>
        <v>0.49993280655022732</v>
      </c>
      <c r="C196" s="438"/>
    </row>
    <row r="197" spans="1:3">
      <c r="A197">
        <v>178</v>
      </c>
      <c r="B197" s="438">
        <f t="shared" ca="1" si="2"/>
        <v>0.46743457124752608</v>
      </c>
      <c r="C197" s="438"/>
    </row>
    <row r="198" spans="1:3">
      <c r="A198">
        <v>179</v>
      </c>
      <c r="B198" s="438">
        <f t="shared" ca="1" si="2"/>
        <v>0.48578444017084377</v>
      </c>
      <c r="C198" s="438"/>
    </row>
    <row r="199" spans="1:3">
      <c r="A199">
        <v>180</v>
      </c>
      <c r="B199" s="438">
        <f t="shared" ca="1" si="2"/>
        <v>9.5007406611999912E-2</v>
      </c>
      <c r="C199" s="438"/>
    </row>
    <row r="200" spans="1:3">
      <c r="A200">
        <v>181</v>
      </c>
      <c r="B200" s="438">
        <f t="shared" ca="1" si="2"/>
        <v>0.46691738661284443</v>
      </c>
      <c r="C200" s="438"/>
    </row>
    <row r="201" spans="1:3">
      <c r="A201">
        <v>182</v>
      </c>
      <c r="B201" s="438">
        <f t="shared" ca="1" si="2"/>
        <v>0.34376744266187842</v>
      </c>
      <c r="C201" s="438"/>
    </row>
    <row r="202" spans="1:3">
      <c r="A202">
        <v>183</v>
      </c>
      <c r="B202" s="438">
        <f t="shared" ca="1" si="2"/>
        <v>0.13904653474819728</v>
      </c>
      <c r="C202" s="438"/>
    </row>
    <row r="203" spans="1:3">
      <c r="A203">
        <v>184</v>
      </c>
      <c r="B203" s="438">
        <f t="shared" ca="1" si="2"/>
        <v>0.93608601146895687</v>
      </c>
      <c r="C203" s="438"/>
    </row>
    <row r="204" spans="1:3">
      <c r="A204">
        <v>185</v>
      </c>
      <c r="B204" s="438">
        <f t="shared" ca="1" si="2"/>
        <v>0.6020315600355739</v>
      </c>
      <c r="C204" s="438"/>
    </row>
    <row r="205" spans="1:3">
      <c r="A205">
        <v>186</v>
      </c>
      <c r="B205" s="438">
        <f t="shared" ca="1" si="2"/>
        <v>0.9443059339583515</v>
      </c>
      <c r="C205" s="438"/>
    </row>
    <row r="206" spans="1:3">
      <c r="A206">
        <v>187</v>
      </c>
      <c r="B206" s="438">
        <f t="shared" ca="1" si="2"/>
        <v>0.83790775591504918</v>
      </c>
      <c r="C206" s="438"/>
    </row>
    <row r="207" spans="1:3">
      <c r="A207">
        <v>188</v>
      </c>
      <c r="B207" s="438">
        <f t="shared" ca="1" si="2"/>
        <v>0.28764696319058469</v>
      </c>
      <c r="C207" s="438"/>
    </row>
    <row r="208" spans="1:3">
      <c r="A208">
        <v>189</v>
      </c>
      <c r="B208" s="438">
        <f t="shared" ca="1" si="2"/>
        <v>0.22438997413829975</v>
      </c>
      <c r="C208" s="438"/>
    </row>
    <row r="209" spans="1:3">
      <c r="A209">
        <v>190</v>
      </c>
      <c r="B209" s="438">
        <f t="shared" ca="1" si="2"/>
        <v>0.85777593319823842</v>
      </c>
      <c r="C209" s="438"/>
    </row>
    <row r="210" spans="1:3">
      <c r="A210">
        <v>191</v>
      </c>
      <c r="B210" s="438">
        <f t="shared" ca="1" si="2"/>
        <v>0.813505872119902</v>
      </c>
      <c r="C210" s="438"/>
    </row>
    <row r="211" spans="1:3">
      <c r="A211">
        <v>192</v>
      </c>
      <c r="B211" s="438">
        <f t="shared" ca="1" si="2"/>
        <v>0.88471186356167841</v>
      </c>
      <c r="C211" s="438"/>
    </row>
    <row r="212" spans="1:3">
      <c r="A212">
        <v>193</v>
      </c>
      <c r="B212" s="438">
        <f t="shared" ref="B212:B275" ca="1" si="3">RAND()</f>
        <v>0.50918933478703376</v>
      </c>
      <c r="C212" s="438"/>
    </row>
    <row r="213" spans="1:3">
      <c r="A213">
        <v>194</v>
      </c>
      <c r="B213" s="438">
        <f t="shared" ca="1" si="3"/>
        <v>0.7016059062958746</v>
      </c>
      <c r="C213" s="438"/>
    </row>
    <row r="214" spans="1:3">
      <c r="A214">
        <v>195</v>
      </c>
      <c r="B214" s="438">
        <f t="shared" ca="1" si="3"/>
        <v>5.4036332890739835E-2</v>
      </c>
      <c r="C214" s="438"/>
    </row>
    <row r="215" spans="1:3">
      <c r="A215">
        <v>196</v>
      </c>
      <c r="B215" s="438">
        <f t="shared" ca="1" si="3"/>
        <v>0.88490829182163422</v>
      </c>
      <c r="C215" s="438"/>
    </row>
    <row r="216" spans="1:3">
      <c r="A216">
        <v>197</v>
      </c>
      <c r="B216" s="438">
        <f t="shared" ca="1" si="3"/>
        <v>4.3329969467732043E-2</v>
      </c>
      <c r="C216" s="438"/>
    </row>
    <row r="217" spans="1:3">
      <c r="A217">
        <v>198</v>
      </c>
      <c r="B217" s="438">
        <f t="shared" ca="1" si="3"/>
        <v>0.41196414150704364</v>
      </c>
      <c r="C217" s="438"/>
    </row>
    <row r="218" spans="1:3">
      <c r="A218">
        <v>199</v>
      </c>
      <c r="B218" s="438">
        <f t="shared" ca="1" si="3"/>
        <v>0.98388455018214938</v>
      </c>
      <c r="C218" s="438"/>
    </row>
    <row r="219" spans="1:3">
      <c r="A219">
        <v>200</v>
      </c>
      <c r="B219" s="438">
        <f t="shared" ca="1" si="3"/>
        <v>4.855862129313504E-2</v>
      </c>
      <c r="C219" s="438"/>
    </row>
    <row r="220" spans="1:3">
      <c r="A220">
        <v>201</v>
      </c>
      <c r="B220" s="438">
        <f t="shared" ca="1" si="3"/>
        <v>0.8519294643694173</v>
      </c>
      <c r="C220" s="438"/>
    </row>
    <row r="221" spans="1:3">
      <c r="A221">
        <v>202</v>
      </c>
      <c r="B221" s="438">
        <f t="shared" ca="1" si="3"/>
        <v>0.11431145398206555</v>
      </c>
      <c r="C221" s="438"/>
    </row>
    <row r="222" spans="1:3">
      <c r="A222">
        <v>203</v>
      </c>
      <c r="B222" s="438">
        <f t="shared" ca="1" si="3"/>
        <v>0.26263873504397406</v>
      </c>
      <c r="C222" s="438"/>
    </row>
    <row r="223" spans="1:3">
      <c r="A223">
        <v>204</v>
      </c>
      <c r="B223" s="438">
        <f t="shared" ca="1" si="3"/>
        <v>0.30715792711071788</v>
      </c>
      <c r="C223" s="438"/>
    </row>
    <row r="224" spans="1:3">
      <c r="A224">
        <v>205</v>
      </c>
      <c r="B224" s="438">
        <f t="shared" ca="1" si="3"/>
        <v>3.596033014742428E-3</v>
      </c>
      <c r="C224" s="438"/>
    </row>
    <row r="225" spans="1:3">
      <c r="A225">
        <v>206</v>
      </c>
      <c r="B225" s="438">
        <f t="shared" ca="1" si="3"/>
        <v>0.17240033704797431</v>
      </c>
      <c r="C225" s="438"/>
    </row>
    <row r="226" spans="1:3">
      <c r="A226">
        <v>207</v>
      </c>
      <c r="B226" s="438">
        <f t="shared" ca="1" si="3"/>
        <v>0.38627438961972516</v>
      </c>
      <c r="C226" s="438"/>
    </row>
    <row r="227" spans="1:3">
      <c r="A227">
        <v>208</v>
      </c>
      <c r="B227" s="438">
        <f t="shared" ca="1" si="3"/>
        <v>0.90952883102371818</v>
      </c>
      <c r="C227" s="438"/>
    </row>
    <row r="228" spans="1:3">
      <c r="A228">
        <v>209</v>
      </c>
      <c r="B228" s="438">
        <f t="shared" ca="1" si="3"/>
        <v>0.43623797266361852</v>
      </c>
      <c r="C228" s="438"/>
    </row>
    <row r="229" spans="1:3">
      <c r="A229">
        <v>210</v>
      </c>
      <c r="B229" s="438">
        <f t="shared" ca="1" si="3"/>
        <v>0.62575707558731253</v>
      </c>
      <c r="C229" s="438"/>
    </row>
    <row r="230" spans="1:3">
      <c r="A230">
        <v>211</v>
      </c>
      <c r="B230" s="438">
        <f t="shared" ca="1" si="3"/>
        <v>8.7227016401508095E-2</v>
      </c>
      <c r="C230" s="438"/>
    </row>
    <row r="231" spans="1:3">
      <c r="A231">
        <v>212</v>
      </c>
      <c r="B231" s="438">
        <f t="shared" ca="1" si="3"/>
        <v>0.24740250463890145</v>
      </c>
      <c r="C231" s="438"/>
    </row>
    <row r="232" spans="1:3">
      <c r="A232">
        <v>213</v>
      </c>
      <c r="B232" s="438">
        <f t="shared" ca="1" si="3"/>
        <v>0.75202665311035366</v>
      </c>
      <c r="C232" s="438"/>
    </row>
    <row r="233" spans="1:3">
      <c r="A233">
        <v>214</v>
      </c>
      <c r="B233" s="438">
        <f t="shared" ca="1" si="3"/>
        <v>0.13647540606212449</v>
      </c>
      <c r="C233" s="438"/>
    </row>
    <row r="234" spans="1:3">
      <c r="A234">
        <v>215</v>
      </c>
      <c r="B234" s="438">
        <f t="shared" ca="1" si="3"/>
        <v>0.3907146377213202</v>
      </c>
      <c r="C234" s="438"/>
    </row>
    <row r="235" spans="1:3">
      <c r="A235">
        <v>216</v>
      </c>
      <c r="B235" s="438">
        <f t="shared" ca="1" si="3"/>
        <v>0.2003210910434392</v>
      </c>
      <c r="C235" s="438"/>
    </row>
    <row r="236" spans="1:3">
      <c r="A236">
        <v>217</v>
      </c>
      <c r="B236" s="438">
        <f t="shared" ca="1" si="3"/>
        <v>0.5060112871568041</v>
      </c>
      <c r="C236" s="438"/>
    </row>
    <row r="237" spans="1:3">
      <c r="A237">
        <v>218</v>
      </c>
      <c r="B237" s="438">
        <f t="shared" ca="1" si="3"/>
        <v>0.46648260043066636</v>
      </c>
      <c r="C237" s="438"/>
    </row>
    <row r="238" spans="1:3">
      <c r="A238">
        <v>219</v>
      </c>
      <c r="B238" s="438">
        <f t="shared" ca="1" si="3"/>
        <v>5.4278386696475778E-3</v>
      </c>
      <c r="C238" s="438"/>
    </row>
    <row r="239" spans="1:3">
      <c r="A239">
        <v>220</v>
      </c>
      <c r="B239" s="438">
        <f t="shared" ca="1" si="3"/>
        <v>0.98912136206436974</v>
      </c>
      <c r="C239" s="438"/>
    </row>
    <row r="240" spans="1:3">
      <c r="A240">
        <v>221</v>
      </c>
      <c r="B240" s="438">
        <f t="shared" ca="1" si="3"/>
        <v>0.71220939998575261</v>
      </c>
      <c r="C240" s="438"/>
    </row>
    <row r="241" spans="1:3">
      <c r="A241">
        <v>222</v>
      </c>
      <c r="B241" s="438">
        <f t="shared" ca="1" si="3"/>
        <v>0.23429243856477999</v>
      </c>
      <c r="C241" s="438"/>
    </row>
    <row r="242" spans="1:3">
      <c r="A242">
        <v>223</v>
      </c>
      <c r="B242" s="438">
        <f t="shared" ca="1" si="3"/>
        <v>0.25820482320754046</v>
      </c>
      <c r="C242" s="438"/>
    </row>
    <row r="243" spans="1:3">
      <c r="A243">
        <v>224</v>
      </c>
      <c r="B243" s="438">
        <f t="shared" ca="1" si="3"/>
        <v>0.42551298778532165</v>
      </c>
      <c r="C243" s="438"/>
    </row>
    <row r="244" spans="1:3">
      <c r="A244">
        <v>225</v>
      </c>
      <c r="B244" s="438">
        <f t="shared" ca="1" si="3"/>
        <v>0.94190668725091786</v>
      </c>
      <c r="C244" s="438"/>
    </row>
    <row r="245" spans="1:3">
      <c r="A245">
        <v>226</v>
      </c>
      <c r="B245" s="438">
        <f t="shared" ca="1" si="3"/>
        <v>0.79900267699682037</v>
      </c>
      <c r="C245" s="438"/>
    </row>
    <row r="246" spans="1:3">
      <c r="A246">
        <v>227</v>
      </c>
      <c r="B246" s="438">
        <f t="shared" ca="1" si="3"/>
        <v>0.10658627013571831</v>
      </c>
      <c r="C246" s="438"/>
    </row>
    <row r="247" spans="1:3">
      <c r="A247">
        <v>228</v>
      </c>
      <c r="B247" s="438">
        <f t="shared" ca="1" si="3"/>
        <v>0.6211325435361863</v>
      </c>
      <c r="C247" s="438"/>
    </row>
    <row r="248" spans="1:3">
      <c r="A248">
        <v>229</v>
      </c>
      <c r="B248" s="438">
        <f t="shared" ca="1" si="3"/>
        <v>0.25378199079968322</v>
      </c>
      <c r="C248" s="438"/>
    </row>
    <row r="249" spans="1:3">
      <c r="A249">
        <v>230</v>
      </c>
      <c r="B249" s="438">
        <f t="shared" ca="1" si="3"/>
        <v>0.52998971982094645</v>
      </c>
      <c r="C249" s="438"/>
    </row>
    <row r="250" spans="1:3">
      <c r="A250">
        <v>231</v>
      </c>
      <c r="B250" s="438">
        <f t="shared" ca="1" si="3"/>
        <v>0.63774180704690608</v>
      </c>
      <c r="C250" s="438"/>
    </row>
    <row r="251" spans="1:3">
      <c r="A251">
        <v>232</v>
      </c>
      <c r="B251" s="438">
        <f t="shared" ca="1" si="3"/>
        <v>0.50805472606520308</v>
      </c>
      <c r="C251" s="438"/>
    </row>
    <row r="252" spans="1:3">
      <c r="A252">
        <v>233</v>
      </c>
      <c r="B252" s="438">
        <f t="shared" ca="1" si="3"/>
        <v>0.19298053218476596</v>
      </c>
      <c r="C252" s="438"/>
    </row>
    <row r="253" spans="1:3">
      <c r="A253">
        <v>234</v>
      </c>
      <c r="B253" s="438">
        <f t="shared" ca="1" si="3"/>
        <v>0.26039939662907052</v>
      </c>
      <c r="C253" s="438"/>
    </row>
    <row r="254" spans="1:3">
      <c r="A254">
        <v>235</v>
      </c>
      <c r="B254" s="438">
        <f t="shared" ca="1" si="3"/>
        <v>0.16253260017675597</v>
      </c>
      <c r="C254" s="438"/>
    </row>
    <row r="255" spans="1:3">
      <c r="A255">
        <v>236</v>
      </c>
      <c r="B255" s="438">
        <f t="shared" ca="1" si="3"/>
        <v>0.14274562928411427</v>
      </c>
      <c r="C255" s="438"/>
    </row>
    <row r="256" spans="1:3">
      <c r="A256">
        <v>237</v>
      </c>
      <c r="B256" s="438">
        <f t="shared" ca="1" si="3"/>
        <v>0.2183847245630739</v>
      </c>
      <c r="C256" s="438"/>
    </row>
    <row r="257" spans="1:3">
      <c r="A257">
        <v>238</v>
      </c>
      <c r="B257" s="438">
        <f t="shared" ca="1" si="3"/>
        <v>0.61131424688276614</v>
      </c>
      <c r="C257" s="438"/>
    </row>
    <row r="258" spans="1:3">
      <c r="A258">
        <v>239</v>
      </c>
      <c r="B258" s="438">
        <f t="shared" ca="1" si="3"/>
        <v>0.12742667083255554</v>
      </c>
      <c r="C258" s="438"/>
    </row>
    <row r="259" spans="1:3">
      <c r="A259">
        <v>240</v>
      </c>
      <c r="B259" s="438">
        <f t="shared" ca="1" si="3"/>
        <v>0.90496342437823407</v>
      </c>
      <c r="C259" s="438"/>
    </row>
    <row r="260" spans="1:3">
      <c r="A260">
        <v>241</v>
      </c>
      <c r="B260" s="438">
        <f t="shared" ca="1" si="3"/>
        <v>0.76972719878044638</v>
      </c>
      <c r="C260" s="438"/>
    </row>
    <row r="261" spans="1:3">
      <c r="A261">
        <v>242</v>
      </c>
      <c r="B261" s="438">
        <f t="shared" ca="1" si="3"/>
        <v>0.66055810205708587</v>
      </c>
      <c r="C261" s="438"/>
    </row>
    <row r="262" spans="1:3">
      <c r="A262">
        <v>243</v>
      </c>
      <c r="B262" s="438">
        <f t="shared" ca="1" si="3"/>
        <v>0.83605983789907801</v>
      </c>
      <c r="C262" s="438"/>
    </row>
    <row r="263" spans="1:3">
      <c r="A263">
        <v>244</v>
      </c>
      <c r="B263" s="438">
        <f t="shared" ca="1" si="3"/>
        <v>0.50361425130460091</v>
      </c>
      <c r="C263" s="438"/>
    </row>
    <row r="264" spans="1:3">
      <c r="A264">
        <v>245</v>
      </c>
      <c r="B264" s="438">
        <f t="shared" ca="1" si="3"/>
        <v>1.8745199799313994E-2</v>
      </c>
      <c r="C264" s="438"/>
    </row>
    <row r="265" spans="1:3">
      <c r="A265">
        <v>246</v>
      </c>
      <c r="B265" s="438">
        <f t="shared" ca="1" si="3"/>
        <v>0.7523546501161702</v>
      </c>
      <c r="C265" s="438"/>
    </row>
    <row r="266" spans="1:3">
      <c r="A266">
        <v>247</v>
      </c>
      <c r="B266" s="438">
        <f t="shared" ca="1" si="3"/>
        <v>0.35909782535624868</v>
      </c>
      <c r="C266" s="438"/>
    </row>
    <row r="267" spans="1:3">
      <c r="A267">
        <v>248</v>
      </c>
      <c r="B267" s="438">
        <f t="shared" ca="1" si="3"/>
        <v>0.4649174516427852</v>
      </c>
      <c r="C267" s="438"/>
    </row>
    <row r="268" spans="1:3">
      <c r="A268">
        <v>249</v>
      </c>
      <c r="B268" s="438">
        <f t="shared" ca="1" si="3"/>
        <v>0.27372774228951169</v>
      </c>
      <c r="C268" s="438"/>
    </row>
    <row r="269" spans="1:3">
      <c r="A269">
        <v>250</v>
      </c>
      <c r="B269" s="438">
        <f t="shared" ca="1" si="3"/>
        <v>0.67563296391106786</v>
      </c>
      <c r="C269" s="438"/>
    </row>
    <row r="270" spans="1:3">
      <c r="A270">
        <v>251</v>
      </c>
      <c r="B270" s="438">
        <f t="shared" ca="1" si="3"/>
        <v>0.56368415257148463</v>
      </c>
      <c r="C270" s="438"/>
    </row>
    <row r="271" spans="1:3">
      <c r="A271">
        <v>252</v>
      </c>
      <c r="B271" s="438">
        <f t="shared" ca="1" si="3"/>
        <v>0.20041646142109482</v>
      </c>
      <c r="C271" s="438"/>
    </row>
    <row r="272" spans="1:3">
      <c r="A272">
        <v>253</v>
      </c>
      <c r="B272" s="438">
        <f t="shared" ca="1" si="3"/>
        <v>0.11406030218015406</v>
      </c>
      <c r="C272" s="438"/>
    </row>
    <row r="273" spans="1:3">
      <c r="A273">
        <v>254</v>
      </c>
      <c r="B273" s="438">
        <f t="shared" ca="1" si="3"/>
        <v>0.71893808395020109</v>
      </c>
      <c r="C273" s="438"/>
    </row>
    <row r="274" spans="1:3">
      <c r="A274">
        <v>255</v>
      </c>
      <c r="B274" s="438">
        <f t="shared" ca="1" si="3"/>
        <v>0.52240081006768246</v>
      </c>
      <c r="C274" s="438"/>
    </row>
    <row r="275" spans="1:3">
      <c r="A275">
        <v>256</v>
      </c>
      <c r="B275" s="438">
        <f t="shared" ca="1" si="3"/>
        <v>0.56746671730786336</v>
      </c>
      <c r="C275" s="438"/>
    </row>
    <row r="276" spans="1:3">
      <c r="A276">
        <v>257</v>
      </c>
      <c r="B276" s="438">
        <f t="shared" ref="B276:B339" ca="1" si="4">RAND()</f>
        <v>0.9164850113207752</v>
      </c>
      <c r="C276" s="438"/>
    </row>
    <row r="277" spans="1:3">
      <c r="A277">
        <v>258</v>
      </c>
      <c r="B277" s="438">
        <f t="shared" ca="1" si="4"/>
        <v>0.20398807894887749</v>
      </c>
      <c r="C277" s="438"/>
    </row>
    <row r="278" spans="1:3">
      <c r="A278">
        <v>259</v>
      </c>
      <c r="B278" s="438">
        <f t="shared" ca="1" si="4"/>
        <v>2.4410009513573527E-3</v>
      </c>
      <c r="C278" s="438"/>
    </row>
    <row r="279" spans="1:3">
      <c r="A279">
        <v>260</v>
      </c>
      <c r="B279" s="438">
        <f t="shared" ca="1" si="4"/>
        <v>0.85005103941225557</v>
      </c>
      <c r="C279" s="438"/>
    </row>
    <row r="280" spans="1:3">
      <c r="A280">
        <v>261</v>
      </c>
      <c r="B280" s="438">
        <f t="shared" ca="1" si="4"/>
        <v>0.42001545670278428</v>
      </c>
      <c r="C280" s="438"/>
    </row>
    <row r="281" spans="1:3">
      <c r="A281">
        <v>262</v>
      </c>
      <c r="B281" s="438">
        <f t="shared" ca="1" si="4"/>
        <v>0.30379298237597485</v>
      </c>
      <c r="C281" s="438"/>
    </row>
    <row r="282" spans="1:3">
      <c r="A282">
        <v>263</v>
      </c>
      <c r="B282" s="438">
        <f t="shared" ca="1" si="4"/>
        <v>0.47080261023050518</v>
      </c>
      <c r="C282" s="438"/>
    </row>
    <row r="283" spans="1:3">
      <c r="A283">
        <v>264</v>
      </c>
      <c r="B283" s="438">
        <f t="shared" ca="1" si="4"/>
        <v>4.3252822170550154E-2</v>
      </c>
      <c r="C283" s="438"/>
    </row>
    <row r="284" spans="1:3">
      <c r="A284">
        <v>265</v>
      </c>
      <c r="B284" s="438">
        <f t="shared" ca="1" si="4"/>
        <v>0.13127603998698945</v>
      </c>
      <c r="C284" s="438"/>
    </row>
    <row r="285" spans="1:3">
      <c r="A285">
        <v>266</v>
      </c>
      <c r="B285" s="438">
        <f t="shared" ca="1" si="4"/>
        <v>0.69474805668476081</v>
      </c>
      <c r="C285" s="438"/>
    </row>
    <row r="286" spans="1:3">
      <c r="A286">
        <v>267</v>
      </c>
      <c r="B286" s="438">
        <f t="shared" ca="1" si="4"/>
        <v>0.56408826028318071</v>
      </c>
      <c r="C286" s="438"/>
    </row>
    <row r="287" spans="1:3">
      <c r="A287">
        <v>268</v>
      </c>
      <c r="B287" s="438">
        <f t="shared" ca="1" si="4"/>
        <v>0.34160197534855996</v>
      </c>
      <c r="C287" s="438"/>
    </row>
    <row r="288" spans="1:3">
      <c r="A288">
        <v>269</v>
      </c>
      <c r="B288" s="438">
        <f t="shared" ca="1" si="4"/>
        <v>0.96444843213411335</v>
      </c>
      <c r="C288" s="438"/>
    </row>
    <row r="289" spans="1:3">
      <c r="A289">
        <v>270</v>
      </c>
      <c r="B289" s="438">
        <f t="shared" ca="1" si="4"/>
        <v>0.39790785513504101</v>
      </c>
      <c r="C289" s="438"/>
    </row>
    <row r="290" spans="1:3">
      <c r="A290">
        <v>271</v>
      </c>
      <c r="B290" s="438">
        <f t="shared" ca="1" si="4"/>
        <v>0.5693162200049855</v>
      </c>
      <c r="C290" s="438"/>
    </row>
    <row r="291" spans="1:3">
      <c r="A291">
        <v>272</v>
      </c>
      <c r="B291" s="438">
        <f t="shared" ca="1" si="4"/>
        <v>0.12279806004699445</v>
      </c>
      <c r="C291" s="438"/>
    </row>
    <row r="292" spans="1:3">
      <c r="A292">
        <v>273</v>
      </c>
      <c r="B292" s="438">
        <f t="shared" ca="1" si="4"/>
        <v>0.62089561397591719</v>
      </c>
      <c r="C292" s="438"/>
    </row>
    <row r="293" spans="1:3">
      <c r="A293">
        <v>274</v>
      </c>
      <c r="B293" s="438">
        <f t="shared" ca="1" si="4"/>
        <v>0.39411686929922141</v>
      </c>
      <c r="C293" s="438"/>
    </row>
    <row r="294" spans="1:3">
      <c r="A294">
        <v>275</v>
      </c>
      <c r="B294" s="438">
        <f t="shared" ca="1" si="4"/>
        <v>0.62399103048651927</v>
      </c>
      <c r="C294" s="438"/>
    </row>
    <row r="295" spans="1:3">
      <c r="A295">
        <v>276</v>
      </c>
      <c r="B295" s="438">
        <f t="shared" ca="1" si="4"/>
        <v>0.82285832813593807</v>
      </c>
      <c r="C295" s="438"/>
    </row>
    <row r="296" spans="1:3">
      <c r="A296">
        <v>277</v>
      </c>
      <c r="B296" s="438">
        <f t="shared" ca="1" si="4"/>
        <v>0.86975104209167409</v>
      </c>
      <c r="C296" s="438"/>
    </row>
    <row r="297" spans="1:3">
      <c r="A297">
        <v>278</v>
      </c>
      <c r="B297" s="438">
        <f t="shared" ca="1" si="4"/>
        <v>0.28268212157306261</v>
      </c>
      <c r="C297" s="438"/>
    </row>
    <row r="298" spans="1:3">
      <c r="A298">
        <v>279</v>
      </c>
      <c r="B298" s="438">
        <f t="shared" ca="1" si="4"/>
        <v>0.34383373107245552</v>
      </c>
      <c r="C298" s="438"/>
    </row>
    <row r="299" spans="1:3">
      <c r="A299">
        <v>280</v>
      </c>
      <c r="B299" s="438">
        <f t="shared" ca="1" si="4"/>
        <v>0.21510826452584064</v>
      </c>
      <c r="C299" s="438"/>
    </row>
    <row r="300" spans="1:3">
      <c r="A300">
        <v>281</v>
      </c>
      <c r="B300" s="438">
        <f t="shared" ca="1" si="4"/>
        <v>0.72802032814245643</v>
      </c>
      <c r="C300" s="438"/>
    </row>
    <row r="301" spans="1:3">
      <c r="A301">
        <v>282</v>
      </c>
      <c r="B301" s="438">
        <f t="shared" ca="1" si="4"/>
        <v>0.3337210204349299</v>
      </c>
      <c r="C301" s="438"/>
    </row>
    <row r="302" spans="1:3">
      <c r="A302">
        <v>283</v>
      </c>
      <c r="B302" s="438">
        <f t="shared" ca="1" si="4"/>
        <v>9.0815280698573808E-2</v>
      </c>
      <c r="C302" s="438"/>
    </row>
    <row r="303" spans="1:3">
      <c r="A303">
        <v>284</v>
      </c>
      <c r="B303" s="438">
        <f t="shared" ca="1" si="4"/>
        <v>0.10764209778712797</v>
      </c>
      <c r="C303" s="438"/>
    </row>
    <row r="304" spans="1:3">
      <c r="A304">
        <v>285</v>
      </c>
      <c r="B304" s="438">
        <f t="shared" ca="1" si="4"/>
        <v>0.48144642856526021</v>
      </c>
      <c r="C304" s="438"/>
    </row>
    <row r="305" spans="1:3">
      <c r="A305">
        <v>286</v>
      </c>
      <c r="B305" s="438">
        <f t="shared" ca="1" si="4"/>
        <v>0.40275967300162052</v>
      </c>
      <c r="C305" s="438"/>
    </row>
    <row r="306" spans="1:3">
      <c r="A306">
        <v>287</v>
      </c>
      <c r="B306" s="438">
        <f t="shared" ca="1" si="4"/>
        <v>0.67996999214642795</v>
      </c>
      <c r="C306" s="438"/>
    </row>
    <row r="307" spans="1:3">
      <c r="A307">
        <v>288</v>
      </c>
      <c r="B307" s="438">
        <f t="shared" ca="1" si="4"/>
        <v>0.44955642022607378</v>
      </c>
      <c r="C307" s="438"/>
    </row>
    <row r="308" spans="1:3">
      <c r="A308">
        <v>289</v>
      </c>
      <c r="B308" s="438">
        <f t="shared" ca="1" si="4"/>
        <v>0.70663828002540274</v>
      </c>
      <c r="C308" s="438"/>
    </row>
    <row r="309" spans="1:3">
      <c r="A309">
        <v>290</v>
      </c>
      <c r="B309" s="438">
        <f t="shared" ca="1" si="4"/>
        <v>0.37099957953524232</v>
      </c>
      <c r="C309" s="438"/>
    </row>
    <row r="310" spans="1:3">
      <c r="A310">
        <v>291</v>
      </c>
      <c r="B310" s="438">
        <f t="shared" ca="1" si="4"/>
        <v>1.8871508315569052E-2</v>
      </c>
      <c r="C310" s="438"/>
    </row>
    <row r="311" spans="1:3">
      <c r="A311">
        <v>292</v>
      </c>
      <c r="B311" s="438">
        <f t="shared" ca="1" si="4"/>
        <v>0.31896731276189527</v>
      </c>
      <c r="C311" s="438"/>
    </row>
    <row r="312" spans="1:3">
      <c r="A312">
        <v>293</v>
      </c>
      <c r="B312" s="438">
        <f t="shared" ca="1" si="4"/>
        <v>0.58124338950515853</v>
      </c>
      <c r="C312" s="438"/>
    </row>
    <row r="313" spans="1:3">
      <c r="A313">
        <v>294</v>
      </c>
      <c r="B313" s="438">
        <f t="shared" ca="1" si="4"/>
        <v>0.74352620365690281</v>
      </c>
      <c r="C313" s="438"/>
    </row>
    <row r="314" spans="1:3">
      <c r="A314">
        <v>295</v>
      </c>
      <c r="B314" s="438">
        <f t="shared" ca="1" si="4"/>
        <v>0.20464832967121493</v>
      </c>
      <c r="C314" s="438"/>
    </row>
    <row r="315" spans="1:3">
      <c r="A315">
        <v>296</v>
      </c>
      <c r="B315" s="438">
        <f t="shared" ca="1" si="4"/>
        <v>0.11142100372685215</v>
      </c>
      <c r="C315" s="438"/>
    </row>
    <row r="316" spans="1:3">
      <c r="A316">
        <v>297</v>
      </c>
      <c r="B316" s="438">
        <f t="shared" ca="1" si="4"/>
        <v>0.3733056407908999</v>
      </c>
      <c r="C316" s="438"/>
    </row>
    <row r="317" spans="1:3">
      <c r="A317">
        <v>298</v>
      </c>
      <c r="B317" s="438">
        <f t="shared" ca="1" si="4"/>
        <v>0.78061781614186732</v>
      </c>
      <c r="C317" s="438"/>
    </row>
    <row r="318" spans="1:3">
      <c r="A318">
        <v>299</v>
      </c>
      <c r="B318" s="438">
        <f t="shared" ca="1" si="4"/>
        <v>0.85970741207536538</v>
      </c>
      <c r="C318" s="438"/>
    </row>
    <row r="319" spans="1:3">
      <c r="A319">
        <v>300</v>
      </c>
      <c r="B319" s="438">
        <f t="shared" ca="1" si="4"/>
        <v>0.2826326453290271</v>
      </c>
      <c r="C319" s="438"/>
    </row>
    <row r="320" spans="1:3">
      <c r="A320">
        <v>301</v>
      </c>
      <c r="B320" s="438">
        <f t="shared" ca="1" si="4"/>
        <v>0.45150145638107819</v>
      </c>
      <c r="C320" s="438"/>
    </row>
    <row r="321" spans="1:3">
      <c r="A321">
        <v>302</v>
      </c>
      <c r="B321" s="438">
        <f t="shared" ca="1" si="4"/>
        <v>0.39638620480715936</v>
      </c>
      <c r="C321" s="438"/>
    </row>
    <row r="322" spans="1:3">
      <c r="A322">
        <v>303</v>
      </c>
      <c r="B322" s="438">
        <f t="shared" ca="1" si="4"/>
        <v>0.38001077877154454</v>
      </c>
      <c r="C322" s="438"/>
    </row>
    <row r="323" spans="1:3">
      <c r="A323">
        <v>304</v>
      </c>
      <c r="B323" s="438">
        <f t="shared" ca="1" si="4"/>
        <v>0.9197474960247507</v>
      </c>
      <c r="C323" s="438"/>
    </row>
    <row r="324" spans="1:3">
      <c r="A324">
        <v>305</v>
      </c>
      <c r="B324" s="438">
        <f t="shared" ca="1" si="4"/>
        <v>0.33344667395364991</v>
      </c>
      <c r="C324" s="438"/>
    </row>
    <row r="325" spans="1:3">
      <c r="A325">
        <v>306</v>
      </c>
      <c r="B325" s="438">
        <f t="shared" ca="1" si="4"/>
        <v>7.7225364817630648E-2</v>
      </c>
      <c r="C325" s="438"/>
    </row>
    <row r="326" spans="1:3">
      <c r="A326">
        <v>307</v>
      </c>
      <c r="B326" s="438">
        <f t="shared" ca="1" si="4"/>
        <v>0.51249715433852372</v>
      </c>
      <c r="C326" s="438"/>
    </row>
    <row r="327" spans="1:3">
      <c r="A327">
        <v>308</v>
      </c>
      <c r="B327" s="438">
        <f t="shared" ca="1" si="4"/>
        <v>0.36361263052227288</v>
      </c>
      <c r="C327" s="438"/>
    </row>
    <row r="328" spans="1:3">
      <c r="A328">
        <v>309</v>
      </c>
      <c r="B328" s="438">
        <f t="shared" ca="1" si="4"/>
        <v>9.7267625277299041E-2</v>
      </c>
      <c r="C328" s="438"/>
    </row>
    <row r="329" spans="1:3">
      <c r="A329">
        <v>310</v>
      </c>
      <c r="B329" s="438">
        <f t="shared" ca="1" si="4"/>
        <v>0.33446898848493856</v>
      </c>
      <c r="C329" s="438"/>
    </row>
    <row r="330" spans="1:3">
      <c r="A330">
        <v>311</v>
      </c>
      <c r="B330" s="438">
        <f t="shared" ca="1" si="4"/>
        <v>0.18010410726389381</v>
      </c>
      <c r="C330" s="438"/>
    </row>
    <row r="331" spans="1:3">
      <c r="A331">
        <v>312</v>
      </c>
      <c r="B331" s="438">
        <f t="shared" ca="1" si="4"/>
        <v>0.78020268977437546</v>
      </c>
      <c r="C331" s="438"/>
    </row>
    <row r="332" spans="1:3">
      <c r="A332">
        <v>313</v>
      </c>
      <c r="B332" s="438">
        <f t="shared" ca="1" si="4"/>
        <v>0.56141636384493898</v>
      </c>
      <c r="C332" s="438"/>
    </row>
    <row r="333" spans="1:3">
      <c r="A333">
        <v>314</v>
      </c>
      <c r="B333" s="438">
        <f t="shared" ca="1" si="4"/>
        <v>0.77351188640107904</v>
      </c>
      <c r="C333" s="438"/>
    </row>
    <row r="334" spans="1:3">
      <c r="A334">
        <v>315</v>
      </c>
      <c r="B334" s="438">
        <f t="shared" ca="1" si="4"/>
        <v>0.75710545747453928</v>
      </c>
      <c r="C334" s="438"/>
    </row>
    <row r="335" spans="1:3">
      <c r="A335">
        <v>316</v>
      </c>
      <c r="B335" s="438">
        <f t="shared" ca="1" si="4"/>
        <v>0.67675425385702481</v>
      </c>
      <c r="C335" s="438"/>
    </row>
    <row r="336" spans="1:3">
      <c r="A336">
        <v>317</v>
      </c>
      <c r="B336" s="438">
        <f t="shared" ca="1" si="4"/>
        <v>0.23346620968240162</v>
      </c>
      <c r="C336" s="438"/>
    </row>
    <row r="337" spans="1:3">
      <c r="A337">
        <v>318</v>
      </c>
      <c r="B337" s="438">
        <f t="shared" ca="1" si="4"/>
        <v>0.84672217122177984</v>
      </c>
      <c r="C337" s="438"/>
    </row>
    <row r="338" spans="1:3">
      <c r="A338">
        <v>319</v>
      </c>
      <c r="B338" s="438">
        <f t="shared" ca="1" si="4"/>
        <v>0.27077879788588444</v>
      </c>
      <c r="C338" s="438"/>
    </row>
    <row r="339" spans="1:3">
      <c r="A339">
        <v>320</v>
      </c>
      <c r="B339" s="438">
        <f t="shared" ca="1" si="4"/>
        <v>4.6413710543760089E-2</v>
      </c>
      <c r="C339" s="438"/>
    </row>
    <row r="340" spans="1:3">
      <c r="A340">
        <v>321</v>
      </c>
      <c r="B340" s="438">
        <f t="shared" ref="B340:B403" ca="1" si="5">RAND()</f>
        <v>0.69775212875963266</v>
      </c>
      <c r="C340" s="438"/>
    </row>
    <row r="341" spans="1:3">
      <c r="A341">
        <v>322</v>
      </c>
      <c r="B341" s="438">
        <f t="shared" ca="1" si="5"/>
        <v>4.5148445997986286E-2</v>
      </c>
      <c r="C341" s="438"/>
    </row>
    <row r="342" spans="1:3">
      <c r="A342">
        <v>323</v>
      </c>
      <c r="B342" s="438">
        <f t="shared" ca="1" si="5"/>
        <v>0.54554008411366706</v>
      </c>
      <c r="C342" s="438"/>
    </row>
    <row r="343" spans="1:3">
      <c r="A343">
        <v>324</v>
      </c>
      <c r="B343" s="438">
        <f t="shared" ca="1" si="5"/>
        <v>0.64064742301487954</v>
      </c>
      <c r="C343" s="438"/>
    </row>
    <row r="344" spans="1:3">
      <c r="A344">
        <v>325</v>
      </c>
      <c r="B344" s="438">
        <f t="shared" ca="1" si="5"/>
        <v>0.55056072799126543</v>
      </c>
      <c r="C344" s="438"/>
    </row>
    <row r="345" spans="1:3">
      <c r="A345">
        <v>326</v>
      </c>
      <c r="B345" s="438">
        <f t="shared" ca="1" si="5"/>
        <v>0.59817668114801781</v>
      </c>
      <c r="C345" s="438"/>
    </row>
    <row r="346" spans="1:3">
      <c r="A346">
        <v>327</v>
      </c>
      <c r="B346" s="438">
        <f t="shared" ca="1" si="5"/>
        <v>0.66731394426231461</v>
      </c>
      <c r="C346" s="438"/>
    </row>
    <row r="347" spans="1:3">
      <c r="A347">
        <v>328</v>
      </c>
      <c r="B347" s="438">
        <f t="shared" ca="1" si="5"/>
        <v>0.29746786197783082</v>
      </c>
      <c r="C347" s="438"/>
    </row>
    <row r="348" spans="1:3">
      <c r="A348">
        <v>329</v>
      </c>
      <c r="B348" s="438">
        <f t="shared" ca="1" si="5"/>
        <v>0.66214308160170088</v>
      </c>
      <c r="C348" s="438"/>
    </row>
    <row r="349" spans="1:3">
      <c r="A349">
        <v>330</v>
      </c>
      <c r="B349" s="438">
        <f t="shared" ca="1" si="5"/>
        <v>0.16127653117139884</v>
      </c>
      <c r="C349" s="438"/>
    </row>
    <row r="350" spans="1:3">
      <c r="A350">
        <v>331</v>
      </c>
      <c r="B350" s="438">
        <f t="shared" ca="1" si="5"/>
        <v>0.98479701763556915</v>
      </c>
      <c r="C350" s="438"/>
    </row>
    <row r="351" spans="1:3">
      <c r="A351">
        <v>332</v>
      </c>
      <c r="B351" s="438">
        <f t="shared" ca="1" si="5"/>
        <v>0.45498882207577829</v>
      </c>
      <c r="C351" s="438"/>
    </row>
    <row r="352" spans="1:3">
      <c r="A352">
        <v>333</v>
      </c>
      <c r="B352" s="438">
        <f t="shared" ca="1" si="5"/>
        <v>0.69344954184002017</v>
      </c>
      <c r="C352" s="438"/>
    </row>
    <row r="353" spans="1:3">
      <c r="A353">
        <v>334</v>
      </c>
      <c r="B353" s="438">
        <f t="shared" ca="1" si="5"/>
        <v>0.29774095974390935</v>
      </c>
      <c r="C353" s="438"/>
    </row>
    <row r="354" spans="1:3">
      <c r="A354">
        <v>335</v>
      </c>
      <c r="B354" s="438">
        <f t="shared" ca="1" si="5"/>
        <v>0.93735522510218949</v>
      </c>
      <c r="C354" s="438"/>
    </row>
    <row r="355" spans="1:3">
      <c r="A355">
        <v>336</v>
      </c>
      <c r="B355" s="438">
        <f t="shared" ca="1" si="5"/>
        <v>0.26270796483973435</v>
      </c>
      <c r="C355" s="438"/>
    </row>
    <row r="356" spans="1:3">
      <c r="A356">
        <v>337</v>
      </c>
      <c r="B356" s="438">
        <f t="shared" ca="1" si="5"/>
        <v>0.40097195910264904</v>
      </c>
      <c r="C356" s="438"/>
    </row>
    <row r="357" spans="1:3">
      <c r="A357">
        <v>338</v>
      </c>
      <c r="B357" s="438">
        <f t="shared" ca="1" si="5"/>
        <v>0.78155645395792872</v>
      </c>
      <c r="C357" s="438"/>
    </row>
    <row r="358" spans="1:3">
      <c r="A358">
        <v>339</v>
      </c>
      <c r="B358" s="438">
        <f t="shared" ca="1" si="5"/>
        <v>0.3978180417703947</v>
      </c>
      <c r="C358" s="438"/>
    </row>
    <row r="359" spans="1:3">
      <c r="A359">
        <v>340</v>
      </c>
      <c r="B359" s="438">
        <f t="shared" ca="1" si="5"/>
        <v>0.37698328300353046</v>
      </c>
      <c r="C359" s="438"/>
    </row>
    <row r="360" spans="1:3">
      <c r="A360">
        <v>341</v>
      </c>
      <c r="B360" s="438">
        <f t="shared" ca="1" si="5"/>
        <v>0.62980789047197239</v>
      </c>
      <c r="C360" s="438"/>
    </row>
    <row r="361" spans="1:3">
      <c r="A361">
        <v>342</v>
      </c>
      <c r="B361" s="438">
        <f t="shared" ca="1" si="5"/>
        <v>0.51943689539087146</v>
      </c>
      <c r="C361" s="438"/>
    </row>
    <row r="362" spans="1:3">
      <c r="A362">
        <v>343</v>
      </c>
      <c r="B362" s="438">
        <f t="shared" ca="1" si="5"/>
        <v>0.16725064861743322</v>
      </c>
      <c r="C362" s="438"/>
    </row>
    <row r="363" spans="1:3">
      <c r="A363">
        <v>344</v>
      </c>
      <c r="B363" s="438">
        <f t="shared" ca="1" si="5"/>
        <v>0.42564220260208274</v>
      </c>
      <c r="C363" s="438"/>
    </row>
    <row r="364" spans="1:3">
      <c r="A364">
        <v>345</v>
      </c>
      <c r="B364" s="438">
        <f t="shared" ca="1" si="5"/>
        <v>1.7743495004423515E-2</v>
      </c>
      <c r="C364" s="438"/>
    </row>
    <row r="365" spans="1:3">
      <c r="A365">
        <v>346</v>
      </c>
      <c r="B365" s="438">
        <f t="shared" ca="1" si="5"/>
        <v>0.82796814788420048</v>
      </c>
      <c r="C365" s="438"/>
    </row>
    <row r="366" spans="1:3">
      <c r="A366">
        <v>347</v>
      </c>
      <c r="B366" s="438">
        <f t="shared" ca="1" si="5"/>
        <v>2.8292319350837758E-2</v>
      </c>
      <c r="C366" s="438"/>
    </row>
    <row r="367" spans="1:3">
      <c r="A367">
        <v>348</v>
      </c>
      <c r="B367" s="438">
        <f t="shared" ca="1" si="5"/>
        <v>0.26953669217309462</v>
      </c>
      <c r="C367" s="438"/>
    </row>
    <row r="368" spans="1:3">
      <c r="A368">
        <v>349</v>
      </c>
      <c r="B368" s="438">
        <f t="shared" ca="1" si="5"/>
        <v>0.61152176109147138</v>
      </c>
      <c r="C368" s="438"/>
    </row>
    <row r="369" spans="1:3">
      <c r="A369">
        <v>350</v>
      </c>
      <c r="B369" s="438">
        <f t="shared" ca="1" si="5"/>
        <v>0.27288967350320981</v>
      </c>
      <c r="C369" s="438"/>
    </row>
    <row r="370" spans="1:3">
      <c r="A370">
        <v>351</v>
      </c>
      <c r="B370" s="438">
        <f t="shared" ca="1" si="5"/>
        <v>0.66040840114253552</v>
      </c>
      <c r="C370" s="438"/>
    </row>
    <row r="371" spans="1:3">
      <c r="A371">
        <v>352</v>
      </c>
      <c r="B371" s="438">
        <f t="shared" ca="1" si="5"/>
        <v>0.1313086683042286</v>
      </c>
      <c r="C371" s="438"/>
    </row>
    <row r="372" spans="1:3">
      <c r="A372">
        <v>353</v>
      </c>
      <c r="B372" s="438">
        <f t="shared" ca="1" si="5"/>
        <v>0.34947772796816756</v>
      </c>
      <c r="C372" s="438"/>
    </row>
    <row r="373" spans="1:3">
      <c r="A373">
        <v>354</v>
      </c>
      <c r="B373" s="438">
        <f t="shared" ca="1" si="5"/>
        <v>0.30162780634949593</v>
      </c>
      <c r="C373" s="438"/>
    </row>
    <row r="374" spans="1:3">
      <c r="A374">
        <v>355</v>
      </c>
      <c r="B374" s="438">
        <f t="shared" ca="1" si="5"/>
        <v>0.1650998557608836</v>
      </c>
      <c r="C374" s="438"/>
    </row>
    <row r="375" spans="1:3">
      <c r="A375">
        <v>356</v>
      </c>
      <c r="B375" s="438">
        <f t="shared" ca="1" si="5"/>
        <v>0.71455015745814565</v>
      </c>
      <c r="C375" s="438"/>
    </row>
    <row r="376" spans="1:3">
      <c r="A376">
        <v>357</v>
      </c>
      <c r="B376" s="438">
        <f t="shared" ca="1" si="5"/>
        <v>0.88006929193763694</v>
      </c>
      <c r="C376" s="438"/>
    </row>
    <row r="377" spans="1:3">
      <c r="A377">
        <v>358</v>
      </c>
      <c r="B377" s="438">
        <f t="shared" ca="1" si="5"/>
        <v>0.55273529407971123</v>
      </c>
      <c r="C377" s="438"/>
    </row>
    <row r="378" spans="1:3">
      <c r="A378">
        <v>359</v>
      </c>
      <c r="B378" s="438">
        <f t="shared" ca="1" si="5"/>
        <v>0.32248054520012737</v>
      </c>
      <c r="C378" s="438"/>
    </row>
    <row r="379" spans="1:3">
      <c r="A379">
        <v>360</v>
      </c>
      <c r="B379" s="438">
        <f t="shared" ca="1" si="5"/>
        <v>1.0179977658281381E-2</v>
      </c>
      <c r="C379" s="438"/>
    </row>
    <row r="380" spans="1:3">
      <c r="A380">
        <v>361</v>
      </c>
      <c r="B380" s="438">
        <f t="shared" ca="1" si="5"/>
        <v>0.83610783780886178</v>
      </c>
      <c r="C380" s="438"/>
    </row>
    <row r="381" spans="1:3">
      <c r="A381">
        <v>362</v>
      </c>
      <c r="B381" s="438">
        <f t="shared" ca="1" si="5"/>
        <v>0.45653892069620206</v>
      </c>
      <c r="C381" s="438"/>
    </row>
    <row r="382" spans="1:3">
      <c r="A382">
        <v>363</v>
      </c>
      <c r="B382" s="438">
        <f t="shared" ca="1" si="5"/>
        <v>0.45393520124719711</v>
      </c>
      <c r="C382" s="438"/>
    </row>
    <row r="383" spans="1:3">
      <c r="A383">
        <v>364</v>
      </c>
      <c r="B383" s="438">
        <f t="shared" ca="1" si="5"/>
        <v>0.73803199014378507</v>
      </c>
      <c r="C383" s="438"/>
    </row>
    <row r="384" spans="1:3">
      <c r="A384">
        <v>365</v>
      </c>
      <c r="B384" s="438">
        <f t="shared" ca="1" si="5"/>
        <v>0.89177776666239073</v>
      </c>
      <c r="C384" s="438"/>
    </row>
    <row r="385" spans="1:3">
      <c r="A385">
        <v>366</v>
      </c>
      <c r="B385" s="438">
        <f t="shared" ca="1" si="5"/>
        <v>0.80666743702448152</v>
      </c>
      <c r="C385" s="438"/>
    </row>
    <row r="386" spans="1:3">
      <c r="A386">
        <v>367</v>
      </c>
      <c r="B386" s="438">
        <f t="shared" ca="1" si="5"/>
        <v>0.39235131300138715</v>
      </c>
      <c r="C386" s="438"/>
    </row>
    <row r="387" spans="1:3">
      <c r="A387">
        <v>368</v>
      </c>
      <c r="B387" s="438">
        <f t="shared" ca="1" si="5"/>
        <v>0.1335180392880515</v>
      </c>
      <c r="C387" s="438"/>
    </row>
    <row r="388" spans="1:3">
      <c r="A388">
        <v>369</v>
      </c>
      <c r="B388" s="438">
        <f t="shared" ca="1" si="5"/>
        <v>0.1516031101748665</v>
      </c>
      <c r="C388" s="438"/>
    </row>
    <row r="389" spans="1:3">
      <c r="A389">
        <v>370</v>
      </c>
      <c r="B389" s="438">
        <f t="shared" ca="1" si="5"/>
        <v>0.74800980286155916</v>
      </c>
      <c r="C389" s="438"/>
    </row>
    <row r="390" spans="1:3">
      <c r="A390">
        <v>371</v>
      </c>
      <c r="B390" s="438">
        <f t="shared" ca="1" si="5"/>
        <v>0.69271950131524918</v>
      </c>
      <c r="C390" s="438"/>
    </row>
    <row r="391" spans="1:3">
      <c r="A391">
        <v>372</v>
      </c>
      <c r="B391" s="438">
        <f t="shared" ca="1" si="5"/>
        <v>0.69396139124029066</v>
      </c>
      <c r="C391" s="438"/>
    </row>
    <row r="392" spans="1:3">
      <c r="A392">
        <v>373</v>
      </c>
      <c r="B392" s="438">
        <f t="shared" ca="1" si="5"/>
        <v>0.70172758488551956</v>
      </c>
      <c r="C392" s="438"/>
    </row>
    <row r="393" spans="1:3">
      <c r="A393">
        <v>374</v>
      </c>
      <c r="B393" s="438">
        <f t="shared" ca="1" si="5"/>
        <v>0.56193531370698957</v>
      </c>
      <c r="C393" s="438"/>
    </row>
    <row r="394" spans="1:3">
      <c r="A394">
        <v>375</v>
      </c>
      <c r="B394" s="438">
        <f t="shared" ca="1" si="5"/>
        <v>6.8994089600914243E-2</v>
      </c>
      <c r="C394" s="438"/>
    </row>
    <row r="395" spans="1:3">
      <c r="A395">
        <v>376</v>
      </c>
      <c r="B395" s="438">
        <f t="shared" ca="1" si="5"/>
        <v>0.67496814469614752</v>
      </c>
      <c r="C395" s="438"/>
    </row>
    <row r="396" spans="1:3">
      <c r="A396">
        <v>377</v>
      </c>
      <c r="B396" s="438">
        <f t="shared" ca="1" si="5"/>
        <v>0.92027721929418504</v>
      </c>
      <c r="C396" s="438"/>
    </row>
    <row r="397" spans="1:3">
      <c r="A397">
        <v>378</v>
      </c>
      <c r="B397" s="438">
        <f t="shared" ca="1" si="5"/>
        <v>0.59936434642275405</v>
      </c>
      <c r="C397" s="438"/>
    </row>
    <row r="398" spans="1:3">
      <c r="A398">
        <v>379</v>
      </c>
      <c r="B398" s="438">
        <f t="shared" ca="1" si="5"/>
        <v>5.6989524944780712E-2</v>
      </c>
      <c r="C398" s="438"/>
    </row>
    <row r="399" spans="1:3">
      <c r="A399">
        <v>380</v>
      </c>
      <c r="B399" s="438">
        <f t="shared" ca="1" si="5"/>
        <v>0.70614318171585122</v>
      </c>
      <c r="C399" s="438"/>
    </row>
    <row r="400" spans="1:3">
      <c r="A400">
        <v>381</v>
      </c>
      <c r="B400" s="438">
        <f t="shared" ca="1" si="5"/>
        <v>0.34245804601283791</v>
      </c>
      <c r="C400" s="438"/>
    </row>
    <row r="401" spans="1:3">
      <c r="A401">
        <v>382</v>
      </c>
      <c r="B401" s="438">
        <f t="shared" ca="1" si="5"/>
        <v>0.48645502403451779</v>
      </c>
      <c r="C401" s="438"/>
    </row>
    <row r="402" spans="1:3">
      <c r="A402">
        <v>383</v>
      </c>
      <c r="B402" s="438">
        <f t="shared" ca="1" si="5"/>
        <v>4.5265542593951658E-2</v>
      </c>
      <c r="C402" s="438"/>
    </row>
    <row r="403" spans="1:3">
      <c r="A403">
        <v>384</v>
      </c>
      <c r="B403" s="438">
        <f t="shared" ca="1" si="5"/>
        <v>0.74149832395339033</v>
      </c>
      <c r="C403" s="438"/>
    </row>
    <row r="404" spans="1:3">
      <c r="A404">
        <v>385</v>
      </c>
      <c r="B404" s="438">
        <f t="shared" ref="B404:B467" ca="1" si="6">RAND()</f>
        <v>0.22827057102572912</v>
      </c>
      <c r="C404" s="438"/>
    </row>
    <row r="405" spans="1:3">
      <c r="A405">
        <v>386</v>
      </c>
      <c r="B405" s="438">
        <f t="shared" ca="1" si="6"/>
        <v>0.2078535665639567</v>
      </c>
      <c r="C405" s="438"/>
    </row>
    <row r="406" spans="1:3">
      <c r="A406">
        <v>387</v>
      </c>
      <c r="B406" s="438">
        <f t="shared" ca="1" si="6"/>
        <v>2.9611644949990357E-2</v>
      </c>
      <c r="C406" s="438"/>
    </row>
    <row r="407" spans="1:3">
      <c r="A407">
        <v>388</v>
      </c>
      <c r="B407" s="438">
        <f t="shared" ca="1" si="6"/>
        <v>0.84375036180447438</v>
      </c>
      <c r="C407" s="438"/>
    </row>
    <row r="408" spans="1:3">
      <c r="A408">
        <v>389</v>
      </c>
      <c r="B408" s="438">
        <f t="shared" ca="1" si="6"/>
        <v>0.1724262697626584</v>
      </c>
      <c r="C408" s="438"/>
    </row>
    <row r="409" spans="1:3">
      <c r="A409">
        <v>390</v>
      </c>
      <c r="B409" s="438">
        <f t="shared" ca="1" si="6"/>
        <v>0.93697950035200872</v>
      </c>
      <c r="C409" s="438"/>
    </row>
    <row r="410" spans="1:3">
      <c r="A410">
        <v>391</v>
      </c>
      <c r="B410" s="438">
        <f t="shared" ca="1" si="6"/>
        <v>0.87116743626631532</v>
      </c>
      <c r="C410" s="438"/>
    </row>
    <row r="411" spans="1:3">
      <c r="A411">
        <v>392</v>
      </c>
      <c r="B411" s="438">
        <f t="shared" ca="1" si="6"/>
        <v>0.5040311823248631</v>
      </c>
      <c r="C411" s="438"/>
    </row>
    <row r="412" spans="1:3">
      <c r="A412">
        <v>393</v>
      </c>
      <c r="B412" s="438">
        <f t="shared" ca="1" si="6"/>
        <v>0.73709287371774157</v>
      </c>
      <c r="C412" s="438"/>
    </row>
    <row r="413" spans="1:3">
      <c r="A413">
        <v>394</v>
      </c>
      <c r="B413" s="438">
        <f t="shared" ca="1" si="6"/>
        <v>0.91160295240559819</v>
      </c>
      <c r="C413" s="438"/>
    </row>
    <row r="414" spans="1:3">
      <c r="A414">
        <v>395</v>
      </c>
      <c r="B414" s="438">
        <f t="shared" ca="1" si="6"/>
        <v>0.11460993663690733</v>
      </c>
      <c r="C414" s="438"/>
    </row>
    <row r="415" spans="1:3">
      <c r="A415">
        <v>396</v>
      </c>
      <c r="B415" s="438">
        <f t="shared" ca="1" si="6"/>
        <v>0.40950702096574965</v>
      </c>
      <c r="C415" s="438"/>
    </row>
    <row r="416" spans="1:3">
      <c r="A416">
        <v>397</v>
      </c>
      <c r="B416" s="438">
        <f t="shared" ca="1" si="6"/>
        <v>0.34304000326147155</v>
      </c>
      <c r="C416" s="438"/>
    </row>
    <row r="417" spans="1:3">
      <c r="A417">
        <v>398</v>
      </c>
      <c r="B417" s="438">
        <f t="shared" ca="1" si="6"/>
        <v>0.99175179322387752</v>
      </c>
      <c r="C417" s="438"/>
    </row>
    <row r="418" spans="1:3">
      <c r="A418">
        <v>399</v>
      </c>
      <c r="B418" s="438">
        <f t="shared" ca="1" si="6"/>
        <v>0.48980895034874128</v>
      </c>
      <c r="C418" s="438"/>
    </row>
    <row r="419" spans="1:3">
      <c r="A419">
        <v>400</v>
      </c>
      <c r="B419" s="438">
        <f t="shared" ca="1" si="6"/>
        <v>7.1178443700794958E-2</v>
      </c>
      <c r="C419" s="438"/>
    </row>
    <row r="420" spans="1:3">
      <c r="A420">
        <v>401</v>
      </c>
      <c r="B420" s="438">
        <f t="shared" ca="1" si="6"/>
        <v>0.12193488217991977</v>
      </c>
      <c r="C420" s="438"/>
    </row>
    <row r="421" spans="1:3">
      <c r="A421">
        <v>402</v>
      </c>
      <c r="B421" s="438">
        <f t="shared" ca="1" si="6"/>
        <v>0.1008084727074694</v>
      </c>
      <c r="C421" s="438"/>
    </row>
    <row r="422" spans="1:3">
      <c r="A422">
        <v>403</v>
      </c>
      <c r="B422" s="438">
        <f t="shared" ca="1" si="6"/>
        <v>0.51441179153423988</v>
      </c>
      <c r="C422" s="438"/>
    </row>
    <row r="423" spans="1:3">
      <c r="A423">
        <v>404</v>
      </c>
      <c r="B423" s="438">
        <f t="shared" ca="1" si="6"/>
        <v>0.73076053727690238</v>
      </c>
      <c r="C423" s="438"/>
    </row>
    <row r="424" spans="1:3">
      <c r="A424">
        <v>405</v>
      </c>
      <c r="B424" s="438">
        <f t="shared" ca="1" si="6"/>
        <v>0.58241074990656028</v>
      </c>
      <c r="C424" s="438"/>
    </row>
    <row r="425" spans="1:3">
      <c r="A425">
        <v>406</v>
      </c>
      <c r="B425" s="438">
        <f t="shared" ca="1" si="6"/>
        <v>0.22520661067740688</v>
      </c>
      <c r="C425" s="438"/>
    </row>
    <row r="426" spans="1:3">
      <c r="A426">
        <v>407</v>
      </c>
      <c r="B426" s="438">
        <f t="shared" ca="1" si="6"/>
        <v>0.79798575610487643</v>
      </c>
      <c r="C426" s="438"/>
    </row>
    <row r="427" spans="1:3">
      <c r="A427">
        <v>408</v>
      </c>
      <c r="B427" s="438">
        <f t="shared" ca="1" si="6"/>
        <v>0.75905401414449791</v>
      </c>
      <c r="C427" s="438"/>
    </row>
    <row r="428" spans="1:3">
      <c r="A428">
        <v>409</v>
      </c>
      <c r="B428" s="438">
        <f t="shared" ca="1" si="6"/>
        <v>0.93549354492862613</v>
      </c>
      <c r="C428" s="438"/>
    </row>
    <row r="429" spans="1:3">
      <c r="A429">
        <v>410</v>
      </c>
      <c r="B429" s="438">
        <f t="shared" ca="1" si="6"/>
        <v>0.74381232691680399</v>
      </c>
      <c r="C429" s="438"/>
    </row>
    <row r="430" spans="1:3">
      <c r="A430">
        <v>411</v>
      </c>
      <c r="B430" s="438">
        <f t="shared" ca="1" si="6"/>
        <v>0.95325615696713872</v>
      </c>
      <c r="C430" s="438"/>
    </row>
    <row r="431" spans="1:3">
      <c r="A431">
        <v>412</v>
      </c>
      <c r="B431" s="438">
        <f t="shared" ca="1" si="6"/>
        <v>7.386306756456662E-2</v>
      </c>
      <c r="C431" s="438"/>
    </row>
    <row r="432" spans="1:3">
      <c r="A432">
        <v>413</v>
      </c>
      <c r="B432" s="438">
        <f t="shared" ca="1" si="6"/>
        <v>0.49571869756965103</v>
      </c>
      <c r="C432" s="438"/>
    </row>
    <row r="433" spans="1:3">
      <c r="A433">
        <v>414</v>
      </c>
      <c r="B433" s="438">
        <f t="shared" ca="1" si="6"/>
        <v>0.64479447034349668</v>
      </c>
      <c r="C433" s="438"/>
    </row>
    <row r="434" spans="1:3">
      <c r="A434">
        <v>415</v>
      </c>
      <c r="B434" s="438">
        <f t="shared" ca="1" si="6"/>
        <v>0.81678699153775991</v>
      </c>
      <c r="C434" s="438"/>
    </row>
    <row r="435" spans="1:3">
      <c r="A435">
        <v>416</v>
      </c>
      <c r="B435" s="438">
        <f t="shared" ca="1" si="6"/>
        <v>0.2642848873327388</v>
      </c>
      <c r="C435" s="438"/>
    </row>
    <row r="436" spans="1:3">
      <c r="A436">
        <v>417</v>
      </c>
      <c r="B436" s="438">
        <f t="shared" ca="1" si="6"/>
        <v>0.24629271533806207</v>
      </c>
      <c r="C436" s="438"/>
    </row>
    <row r="437" spans="1:3">
      <c r="A437">
        <v>418</v>
      </c>
      <c r="B437" s="438">
        <f t="shared" ca="1" si="6"/>
        <v>0.79901048324619883</v>
      </c>
      <c r="C437" s="438"/>
    </row>
    <row r="438" spans="1:3">
      <c r="A438">
        <v>419</v>
      </c>
      <c r="B438" s="438">
        <f t="shared" ca="1" si="6"/>
        <v>3.0811089836113581E-3</v>
      </c>
      <c r="C438" s="438"/>
    </row>
    <row r="439" spans="1:3">
      <c r="A439">
        <v>420</v>
      </c>
      <c r="B439" s="438">
        <f t="shared" ca="1" si="6"/>
        <v>0.42100260488543473</v>
      </c>
      <c r="C439" s="438"/>
    </row>
    <row r="440" spans="1:3">
      <c r="A440">
        <v>421</v>
      </c>
      <c r="B440" s="438">
        <f t="shared" ca="1" si="6"/>
        <v>0.24699158045198955</v>
      </c>
      <c r="C440" s="438"/>
    </row>
    <row r="441" spans="1:3">
      <c r="A441">
        <v>422</v>
      </c>
      <c r="B441" s="438">
        <f t="shared" ca="1" si="6"/>
        <v>0.35437210241253436</v>
      </c>
      <c r="C441" s="438"/>
    </row>
    <row r="442" spans="1:3">
      <c r="A442">
        <v>423</v>
      </c>
      <c r="B442" s="438">
        <f t="shared" ca="1" si="6"/>
        <v>0.21269288716585599</v>
      </c>
      <c r="C442" s="438"/>
    </row>
    <row r="443" spans="1:3">
      <c r="A443">
        <v>424</v>
      </c>
      <c r="B443" s="438">
        <f t="shared" ca="1" si="6"/>
        <v>0.42399187099592606</v>
      </c>
      <c r="C443" s="438"/>
    </row>
    <row r="444" spans="1:3">
      <c r="A444">
        <v>425</v>
      </c>
      <c r="B444" s="438">
        <f t="shared" ca="1" si="6"/>
        <v>0.28880663718469535</v>
      </c>
      <c r="C444" s="438"/>
    </row>
    <row r="445" spans="1:3">
      <c r="A445">
        <v>426</v>
      </c>
      <c r="B445" s="438">
        <f t="shared" ca="1" si="6"/>
        <v>0.90077858505587671</v>
      </c>
      <c r="C445" s="438"/>
    </row>
    <row r="446" spans="1:3">
      <c r="A446">
        <v>427</v>
      </c>
      <c r="B446" s="438">
        <f t="shared" ca="1" si="6"/>
        <v>0.99461950002629873</v>
      </c>
      <c r="C446" s="438"/>
    </row>
    <row r="447" spans="1:3">
      <c r="A447">
        <v>428</v>
      </c>
      <c r="B447" s="438">
        <f t="shared" ca="1" si="6"/>
        <v>0.63406276842294318</v>
      </c>
      <c r="C447" s="438"/>
    </row>
    <row r="448" spans="1:3">
      <c r="A448">
        <v>429</v>
      </c>
      <c r="B448" s="438">
        <f t="shared" ca="1" si="6"/>
        <v>0.95813285307046048</v>
      </c>
      <c r="C448" s="438"/>
    </row>
    <row r="449" spans="1:3">
      <c r="A449">
        <v>430</v>
      </c>
      <c r="B449" s="438">
        <f t="shared" ca="1" si="6"/>
        <v>0.43163513357605221</v>
      </c>
      <c r="C449" s="438"/>
    </row>
    <row r="450" spans="1:3">
      <c r="A450">
        <v>431</v>
      </c>
      <c r="B450" s="438">
        <f t="shared" ca="1" si="6"/>
        <v>0.62541118416973118</v>
      </c>
      <c r="C450" s="438"/>
    </row>
    <row r="451" spans="1:3">
      <c r="A451">
        <v>432</v>
      </c>
      <c r="B451" s="438">
        <f t="shared" ca="1" si="6"/>
        <v>0.38287276740951381</v>
      </c>
      <c r="C451" s="438"/>
    </row>
    <row r="452" spans="1:3">
      <c r="A452">
        <v>433</v>
      </c>
      <c r="B452" s="438">
        <f t="shared" ca="1" si="6"/>
        <v>6.6723450715750587E-2</v>
      </c>
      <c r="C452" s="438"/>
    </row>
    <row r="453" spans="1:3">
      <c r="A453">
        <v>434</v>
      </c>
      <c r="B453" s="438">
        <f t="shared" ca="1" si="6"/>
        <v>0.2785029456438961</v>
      </c>
      <c r="C453" s="438"/>
    </row>
    <row r="454" spans="1:3">
      <c r="A454">
        <v>435</v>
      </c>
      <c r="B454" s="438">
        <f t="shared" ca="1" si="6"/>
        <v>0.28098414249001036</v>
      </c>
      <c r="C454" s="438"/>
    </row>
    <row r="455" spans="1:3">
      <c r="A455">
        <v>436</v>
      </c>
      <c r="B455" s="438">
        <f t="shared" ca="1" si="6"/>
        <v>0.1561053604013285</v>
      </c>
      <c r="C455" s="438"/>
    </row>
    <row r="456" spans="1:3">
      <c r="A456">
        <v>437</v>
      </c>
      <c r="B456" s="438">
        <f t="shared" ca="1" si="6"/>
        <v>0.44240715378501982</v>
      </c>
      <c r="C456" s="438"/>
    </row>
    <row r="457" spans="1:3">
      <c r="A457">
        <v>438</v>
      </c>
      <c r="B457" s="438">
        <f t="shared" ca="1" si="6"/>
        <v>0.61682850894944696</v>
      </c>
      <c r="C457" s="438"/>
    </row>
    <row r="458" spans="1:3">
      <c r="A458">
        <v>439</v>
      </c>
      <c r="B458" s="438">
        <f t="shared" ca="1" si="6"/>
        <v>0.85837973767246534</v>
      </c>
      <c r="C458" s="438"/>
    </row>
    <row r="459" spans="1:3">
      <c r="A459">
        <v>440</v>
      </c>
      <c r="B459" s="438">
        <f t="shared" ca="1" si="6"/>
        <v>3.0518136218585123E-2</v>
      </c>
      <c r="C459" s="438"/>
    </row>
    <row r="460" spans="1:3">
      <c r="A460">
        <v>441</v>
      </c>
      <c r="B460" s="438">
        <f t="shared" ca="1" si="6"/>
        <v>0.20793334073342118</v>
      </c>
      <c r="C460" s="438"/>
    </row>
    <row r="461" spans="1:3">
      <c r="A461">
        <v>442</v>
      </c>
      <c r="B461" s="438">
        <f t="shared" ca="1" si="6"/>
        <v>0.56731526590710279</v>
      </c>
      <c r="C461" s="438"/>
    </row>
    <row r="462" spans="1:3">
      <c r="A462">
        <v>443</v>
      </c>
      <c r="B462" s="438">
        <f t="shared" ca="1" si="6"/>
        <v>0.10359215368164998</v>
      </c>
      <c r="C462" s="438"/>
    </row>
    <row r="463" spans="1:3">
      <c r="A463">
        <v>444</v>
      </c>
      <c r="B463" s="438">
        <f t="shared" ca="1" si="6"/>
        <v>0.21876578715266448</v>
      </c>
      <c r="C463" s="438"/>
    </row>
    <row r="464" spans="1:3">
      <c r="A464">
        <v>445</v>
      </c>
      <c r="B464" s="438">
        <f t="shared" ca="1" si="6"/>
        <v>0.19372873700971649</v>
      </c>
      <c r="C464" s="438"/>
    </row>
    <row r="465" spans="1:3">
      <c r="A465">
        <v>446</v>
      </c>
      <c r="B465" s="438">
        <f t="shared" ca="1" si="6"/>
        <v>0.25983255128209737</v>
      </c>
      <c r="C465" s="438"/>
    </row>
    <row r="466" spans="1:3">
      <c r="A466">
        <v>447</v>
      </c>
      <c r="B466" s="438">
        <f t="shared" ca="1" si="6"/>
        <v>0.31712435361525437</v>
      </c>
      <c r="C466" s="438"/>
    </row>
    <row r="467" spans="1:3">
      <c r="A467">
        <v>448</v>
      </c>
      <c r="B467" s="438">
        <f t="shared" ca="1" si="6"/>
        <v>0.49933533772453753</v>
      </c>
      <c r="C467" s="438"/>
    </row>
    <row r="468" spans="1:3">
      <c r="A468">
        <v>449</v>
      </c>
      <c r="B468" s="438">
        <f t="shared" ref="B468:B518" ca="1" si="7">RAND()</f>
        <v>0.94125401513135287</v>
      </c>
      <c r="C468" s="438"/>
    </row>
    <row r="469" spans="1:3">
      <c r="A469">
        <v>450</v>
      </c>
      <c r="B469" s="438">
        <f t="shared" ca="1" si="7"/>
        <v>0.26797801490566742</v>
      </c>
      <c r="C469" s="438"/>
    </row>
    <row r="470" spans="1:3">
      <c r="A470">
        <v>451</v>
      </c>
      <c r="B470" s="438">
        <f t="shared" ca="1" si="7"/>
        <v>0.17271473374919832</v>
      </c>
      <c r="C470" s="438"/>
    </row>
    <row r="471" spans="1:3">
      <c r="A471">
        <v>452</v>
      </c>
      <c r="B471" s="438">
        <f t="shared" ca="1" si="7"/>
        <v>0.44112694561857069</v>
      </c>
      <c r="C471" s="438"/>
    </row>
    <row r="472" spans="1:3">
      <c r="A472">
        <v>453</v>
      </c>
      <c r="B472" s="438">
        <f t="shared" ca="1" si="7"/>
        <v>0.49605365095747178</v>
      </c>
      <c r="C472" s="438"/>
    </row>
    <row r="473" spans="1:3">
      <c r="A473">
        <v>454</v>
      </c>
      <c r="B473" s="438">
        <f t="shared" ca="1" si="7"/>
        <v>0.83527435120499938</v>
      </c>
      <c r="C473" s="438"/>
    </row>
    <row r="474" spans="1:3">
      <c r="A474">
        <v>455</v>
      </c>
      <c r="B474" s="438">
        <f t="shared" ca="1" si="7"/>
        <v>0.5479200332293781</v>
      </c>
      <c r="C474" s="438"/>
    </row>
    <row r="475" spans="1:3">
      <c r="A475">
        <v>456</v>
      </c>
      <c r="B475" s="438">
        <f t="shared" ca="1" si="7"/>
        <v>5.7799895685509917E-2</v>
      </c>
      <c r="C475" s="438"/>
    </row>
    <row r="476" spans="1:3">
      <c r="A476">
        <v>457</v>
      </c>
      <c r="B476" s="438">
        <f t="shared" ca="1" si="7"/>
        <v>0.43100874706684955</v>
      </c>
      <c r="C476" s="438"/>
    </row>
    <row r="477" spans="1:3">
      <c r="A477">
        <v>458</v>
      </c>
      <c r="B477" s="438">
        <f t="shared" ca="1" si="7"/>
        <v>0.46440447113013783</v>
      </c>
      <c r="C477" s="438"/>
    </row>
    <row r="478" spans="1:3">
      <c r="A478">
        <v>459</v>
      </c>
      <c r="B478" s="438">
        <f t="shared" ca="1" si="7"/>
        <v>0.69300575977872914</v>
      </c>
      <c r="C478" s="438"/>
    </row>
    <row r="479" spans="1:3">
      <c r="A479">
        <v>460</v>
      </c>
      <c r="B479" s="438">
        <f t="shared" ca="1" si="7"/>
        <v>0.28341887206905203</v>
      </c>
      <c r="C479" s="438"/>
    </row>
    <row r="480" spans="1:3">
      <c r="A480">
        <v>461</v>
      </c>
      <c r="B480" s="438">
        <f t="shared" ca="1" si="7"/>
        <v>0.37266075159215006</v>
      </c>
      <c r="C480" s="438"/>
    </row>
    <row r="481" spans="1:3">
      <c r="A481">
        <v>462</v>
      </c>
      <c r="B481" s="438">
        <f t="shared" ca="1" si="7"/>
        <v>0.70052185922408072</v>
      </c>
      <c r="C481" s="438"/>
    </row>
    <row r="482" spans="1:3">
      <c r="A482">
        <v>463</v>
      </c>
      <c r="B482" s="438">
        <f t="shared" ca="1" si="7"/>
        <v>0.73699438671808704</v>
      </c>
      <c r="C482" s="438"/>
    </row>
    <row r="483" spans="1:3">
      <c r="A483">
        <v>464</v>
      </c>
      <c r="B483" s="438">
        <f t="shared" ca="1" si="7"/>
        <v>0.88826246809843568</v>
      </c>
      <c r="C483" s="438"/>
    </row>
    <row r="484" spans="1:3">
      <c r="A484">
        <v>465</v>
      </c>
      <c r="B484" s="438">
        <f t="shared" ca="1" si="7"/>
        <v>0.47487182500579639</v>
      </c>
      <c r="C484" s="438"/>
    </row>
    <row r="485" spans="1:3">
      <c r="A485">
        <v>466</v>
      </c>
      <c r="B485" s="438">
        <f t="shared" ca="1" si="7"/>
        <v>9.7190734483129759E-2</v>
      </c>
      <c r="C485" s="438"/>
    </row>
    <row r="486" spans="1:3">
      <c r="A486">
        <v>467</v>
      </c>
      <c r="B486" s="438">
        <f t="shared" ca="1" si="7"/>
        <v>0.30931740222206883</v>
      </c>
      <c r="C486" s="438"/>
    </row>
    <row r="487" spans="1:3">
      <c r="A487">
        <v>468</v>
      </c>
      <c r="B487" s="438">
        <f t="shared" ca="1" si="7"/>
        <v>0.66513160637716284</v>
      </c>
      <c r="C487" s="438"/>
    </row>
    <row r="488" spans="1:3">
      <c r="A488">
        <v>469</v>
      </c>
      <c r="B488" s="438">
        <f t="shared" ca="1" si="7"/>
        <v>0.14912262230539808</v>
      </c>
      <c r="C488" s="438"/>
    </row>
    <row r="489" spans="1:3">
      <c r="A489">
        <v>470</v>
      </c>
      <c r="B489" s="438">
        <f t="shared" ca="1" si="7"/>
        <v>0.54785711116665792</v>
      </c>
      <c r="C489" s="438"/>
    </row>
    <row r="490" spans="1:3">
      <c r="A490">
        <v>471</v>
      </c>
      <c r="B490" s="438">
        <f t="shared" ca="1" si="7"/>
        <v>0.59997545484257664</v>
      </c>
      <c r="C490" s="438"/>
    </row>
    <row r="491" spans="1:3">
      <c r="A491">
        <v>472</v>
      </c>
      <c r="B491" s="438">
        <f t="shared" ca="1" si="7"/>
        <v>0.84627601839385758</v>
      </c>
      <c r="C491" s="438"/>
    </row>
    <row r="492" spans="1:3">
      <c r="A492">
        <v>473</v>
      </c>
      <c r="B492" s="438">
        <f t="shared" ca="1" si="7"/>
        <v>0.74800891358150423</v>
      </c>
      <c r="C492" s="438"/>
    </row>
    <row r="493" spans="1:3">
      <c r="A493">
        <v>474</v>
      </c>
      <c r="B493" s="438">
        <f t="shared" ca="1" si="7"/>
        <v>7.2275711552997057E-2</v>
      </c>
      <c r="C493" s="438"/>
    </row>
    <row r="494" spans="1:3">
      <c r="A494">
        <v>475</v>
      </c>
      <c r="B494" s="438">
        <f t="shared" ca="1" si="7"/>
        <v>0.11721893651896598</v>
      </c>
      <c r="C494" s="438"/>
    </row>
    <row r="495" spans="1:3">
      <c r="A495">
        <v>476</v>
      </c>
      <c r="B495" s="438">
        <f t="shared" ca="1" si="7"/>
        <v>0.28474999969663983</v>
      </c>
      <c r="C495" s="438"/>
    </row>
    <row r="496" spans="1:3">
      <c r="A496">
        <v>477</v>
      </c>
      <c r="B496" s="438">
        <f t="shared" ca="1" si="7"/>
        <v>0.55696880965317974</v>
      </c>
      <c r="C496" s="438"/>
    </row>
    <row r="497" spans="1:3">
      <c r="A497">
        <v>478</v>
      </c>
      <c r="B497" s="438">
        <f t="shared" ca="1" si="7"/>
        <v>0.47200151506439436</v>
      </c>
      <c r="C497" s="438"/>
    </row>
    <row r="498" spans="1:3">
      <c r="A498">
        <v>479</v>
      </c>
      <c r="B498" s="438">
        <f t="shared" ca="1" si="7"/>
        <v>0.15548794199672988</v>
      </c>
      <c r="C498" s="438"/>
    </row>
    <row r="499" spans="1:3">
      <c r="A499">
        <v>480</v>
      </c>
      <c r="B499" s="438">
        <f t="shared" ca="1" si="7"/>
        <v>0.29923326873171563</v>
      </c>
      <c r="C499" s="438"/>
    </row>
    <row r="500" spans="1:3">
      <c r="A500">
        <v>481</v>
      </c>
      <c r="B500" s="438">
        <f t="shared" ca="1" si="7"/>
        <v>0.93806029923243228</v>
      </c>
      <c r="C500" s="438"/>
    </row>
    <row r="501" spans="1:3">
      <c r="A501">
        <v>482</v>
      </c>
      <c r="B501" s="438">
        <f t="shared" ca="1" si="7"/>
        <v>0.50131487227456839</v>
      </c>
      <c r="C501" s="438"/>
    </row>
    <row r="502" spans="1:3">
      <c r="A502">
        <v>483</v>
      </c>
      <c r="B502" s="438">
        <f t="shared" ca="1" si="7"/>
        <v>0.48277518839801936</v>
      </c>
      <c r="C502" s="438"/>
    </row>
    <row r="503" spans="1:3">
      <c r="A503">
        <v>484</v>
      </c>
      <c r="B503" s="438">
        <f t="shared" ca="1" si="7"/>
        <v>0.94941290805729484</v>
      </c>
      <c r="C503" s="438"/>
    </row>
    <row r="504" spans="1:3">
      <c r="A504">
        <v>485</v>
      </c>
      <c r="B504" s="438">
        <f t="shared" ca="1" si="7"/>
        <v>3.0741715871373643E-2</v>
      </c>
      <c r="C504" s="438"/>
    </row>
    <row r="505" spans="1:3">
      <c r="A505">
        <v>486</v>
      </c>
      <c r="B505" s="438">
        <f t="shared" ca="1" si="7"/>
        <v>0.64927433341436136</v>
      </c>
      <c r="C505" s="438"/>
    </row>
    <row r="506" spans="1:3">
      <c r="A506">
        <v>487</v>
      </c>
      <c r="B506" s="438">
        <f t="shared" ca="1" si="7"/>
        <v>0.41868332411203202</v>
      </c>
      <c r="C506" s="438"/>
    </row>
    <row r="507" spans="1:3">
      <c r="A507">
        <v>488</v>
      </c>
      <c r="B507" s="438">
        <f t="shared" ca="1" si="7"/>
        <v>3.2820871844021937E-2</v>
      </c>
      <c r="C507" s="438"/>
    </row>
    <row r="508" spans="1:3">
      <c r="A508">
        <v>489</v>
      </c>
      <c r="B508" s="438">
        <f t="shared" ca="1" si="7"/>
        <v>0.51248090363058107</v>
      </c>
      <c r="C508" s="438"/>
    </row>
    <row r="509" spans="1:3">
      <c r="A509">
        <v>490</v>
      </c>
      <c r="B509" s="438">
        <f t="shared" ca="1" si="7"/>
        <v>0.91071741419395491</v>
      </c>
      <c r="C509" s="438"/>
    </row>
    <row r="510" spans="1:3">
      <c r="A510">
        <v>491</v>
      </c>
      <c r="B510" s="438">
        <f t="shared" ca="1" si="7"/>
        <v>0.80496858545158112</v>
      </c>
      <c r="C510" s="438"/>
    </row>
    <row r="511" spans="1:3">
      <c r="A511">
        <v>492</v>
      </c>
      <c r="B511" s="438">
        <f t="shared" ca="1" si="7"/>
        <v>0.36201062716024435</v>
      </c>
      <c r="C511" s="438"/>
    </row>
    <row r="512" spans="1:3">
      <c r="A512">
        <v>493</v>
      </c>
      <c r="B512" s="438">
        <f t="shared" ca="1" si="7"/>
        <v>0.25676834005055227</v>
      </c>
      <c r="C512" s="438"/>
    </row>
    <row r="513" spans="1:3">
      <c r="A513">
        <v>494</v>
      </c>
      <c r="B513" s="438">
        <f t="shared" ca="1" si="7"/>
        <v>0.98915664308436835</v>
      </c>
      <c r="C513" s="438"/>
    </row>
    <row r="514" spans="1:3">
      <c r="A514">
        <v>495</v>
      </c>
      <c r="B514" s="438">
        <f t="shared" ca="1" si="7"/>
        <v>0.29382243397225905</v>
      </c>
      <c r="C514" s="438"/>
    </row>
    <row r="515" spans="1:3">
      <c r="A515">
        <v>496</v>
      </c>
      <c r="B515" s="438">
        <f t="shared" ca="1" si="7"/>
        <v>0.1190077382740935</v>
      </c>
      <c r="C515" s="438"/>
    </row>
    <row r="516" spans="1:3">
      <c r="A516">
        <v>497</v>
      </c>
      <c r="B516" s="438">
        <f t="shared" ca="1" si="7"/>
        <v>0.30394721151390591</v>
      </c>
      <c r="C516" s="438"/>
    </row>
    <row r="517" spans="1:3">
      <c r="A517">
        <v>498</v>
      </c>
      <c r="B517" s="438">
        <f t="shared" ca="1" si="7"/>
        <v>0.16040080861945594</v>
      </c>
      <c r="C517" s="438"/>
    </row>
    <row r="518" spans="1:3">
      <c r="A518">
        <v>499</v>
      </c>
      <c r="B518" s="438">
        <f t="shared" ca="1" si="7"/>
        <v>9.3964605882808971E-2</v>
      </c>
      <c r="C518" s="438"/>
    </row>
    <row r="519" spans="1:3">
      <c r="A519">
        <v>500</v>
      </c>
      <c r="B519" s="438">
        <f ca="1">RAND()</f>
        <v>4.1195002948590798E-3</v>
      </c>
      <c r="C519" s="438"/>
    </row>
  </sheetData>
  <phoneticPr fontId="19" type="noConversion"/>
  <pageMargins left="0.75" right="0.75" top="1" bottom="1" header="0.5" footer="0.5"/>
  <pageSetup orientation="portrait" verticalDpi="0" r:id="rId1"/>
  <headerFooter alignWithMargins="0"/>
  <drawing r:id="rId2"/>
  <legacyDrawing r:id="rId3"/>
  <oleObjects>
    <oleObject progId="Equation.3" shapeId="28675" r:id="rId4"/>
    <oleObject progId="Equation.3" shapeId="28676" r:id="rId5"/>
    <oleObject progId="Equation.3" shapeId="28683" r:id="rId6"/>
    <oleObject progId="Equation.3" shapeId="28686" r:id="rId7"/>
    <oleObject progId="Equation.3" shapeId="28687" r:id="rId8"/>
  </oleObjec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1"/>
  <dimension ref="A1:M130"/>
  <sheetViews>
    <sheetView topLeftCell="A22" workbookViewId="0">
      <selection activeCell="G47" sqref="G47"/>
    </sheetView>
  </sheetViews>
  <sheetFormatPr defaultRowHeight="15"/>
  <cols>
    <col min="1" max="1" width="10.28515625" style="4" customWidth="1"/>
    <col min="2" max="2" width="16.85546875" style="4" customWidth="1"/>
    <col min="3" max="3" width="16.5703125" style="4" customWidth="1"/>
    <col min="4" max="4" width="6.85546875" style="4" customWidth="1"/>
    <col min="5" max="5" width="15.5703125" style="4" bestFit="1" customWidth="1"/>
    <col min="6" max="6" width="6.7109375" style="4" customWidth="1"/>
    <col min="7" max="13" width="10.28515625" style="4" customWidth="1"/>
  </cols>
  <sheetData>
    <row r="1" spans="1:13" ht="27">
      <c r="A1" s="403" t="s">
        <v>472</v>
      </c>
      <c r="B1" s="403"/>
      <c r="C1" s="404"/>
      <c r="D1" s="404"/>
      <c r="E1" s="404"/>
      <c r="F1" s="404"/>
      <c r="G1" s="404"/>
      <c r="H1" s="404"/>
      <c r="I1" s="404"/>
      <c r="J1" s="404"/>
      <c r="K1" s="404"/>
      <c r="L1" s="404"/>
      <c r="M1" s="404"/>
    </row>
    <row r="2" spans="1:13">
      <c r="A2" s="405"/>
      <c r="B2" s="405"/>
      <c r="C2" s="405"/>
      <c r="D2" s="401"/>
      <c r="E2" s="401"/>
      <c r="F2" s="401"/>
      <c r="G2" s="401"/>
      <c r="H2" s="401"/>
      <c r="I2" s="401"/>
      <c r="J2" s="401"/>
      <c r="K2" s="401"/>
      <c r="L2" s="401"/>
      <c r="M2" s="401"/>
    </row>
    <row r="3" spans="1:13">
      <c r="A3" s="405"/>
      <c r="B3" s="405"/>
      <c r="C3" s="405"/>
      <c r="D3" s="401"/>
      <c r="E3" s="401"/>
      <c r="F3" s="401"/>
      <c r="G3" s="401"/>
      <c r="H3" s="401"/>
      <c r="I3" s="401"/>
      <c r="J3" s="401"/>
      <c r="K3" s="401"/>
      <c r="L3" s="401"/>
      <c r="M3" s="401"/>
    </row>
    <row r="4" spans="1:13" ht="18">
      <c r="A4" s="405"/>
      <c r="B4" s="405"/>
      <c r="C4" s="405"/>
      <c r="D4" s="401"/>
      <c r="E4" s="401"/>
      <c r="F4" s="401"/>
      <c r="G4" s="406" t="s">
        <v>7</v>
      </c>
      <c r="H4" s="401"/>
      <c r="I4" s="401"/>
      <c r="J4" s="401"/>
      <c r="K4" s="401"/>
      <c r="L4" s="401"/>
      <c r="M4" s="401"/>
    </row>
    <row r="5" spans="1:13" ht="18">
      <c r="A5" s="401"/>
      <c r="B5" s="407" t="s">
        <v>3</v>
      </c>
      <c r="C5" s="401"/>
      <c r="D5" s="401"/>
      <c r="E5" s="401"/>
      <c r="F5" s="401"/>
      <c r="G5" s="401"/>
      <c r="H5" s="401"/>
      <c r="I5" s="401"/>
      <c r="J5" s="401"/>
      <c r="K5" s="401"/>
      <c r="L5" s="401"/>
      <c r="M5" s="401"/>
    </row>
    <row r="6" spans="1:13">
      <c r="A6" s="401"/>
      <c r="B6" s="393" t="s">
        <v>449</v>
      </c>
      <c r="C6" s="408"/>
      <c r="D6" s="408"/>
      <c r="E6" s="428">
        <v>100</v>
      </c>
      <c r="F6" s="401"/>
      <c r="G6" s="401"/>
      <c r="H6" s="401"/>
      <c r="I6" s="401"/>
      <c r="J6" s="401"/>
      <c r="K6" s="401"/>
      <c r="L6" s="401"/>
      <c r="M6" s="401"/>
    </row>
    <row r="7" spans="1:13">
      <c r="A7" s="401"/>
      <c r="B7" s="393" t="s">
        <v>0</v>
      </c>
      <c r="C7" s="409"/>
      <c r="D7" s="409"/>
      <c r="E7" s="390">
        <v>0.1</v>
      </c>
      <c r="F7" s="410"/>
      <c r="G7" s="401"/>
      <c r="H7" s="401"/>
      <c r="I7" s="401"/>
      <c r="J7" s="401"/>
      <c r="K7" s="401"/>
      <c r="L7" s="401"/>
      <c r="M7" s="401"/>
    </row>
    <row r="8" spans="1:13">
      <c r="A8" s="401"/>
      <c r="B8" s="393" t="s">
        <v>1</v>
      </c>
      <c r="C8" s="409"/>
      <c r="D8" s="409"/>
      <c r="E8" s="391">
        <v>0.03</v>
      </c>
      <c r="F8" s="410"/>
      <c r="G8" s="401"/>
      <c r="H8" s="401"/>
      <c r="I8" s="401"/>
      <c r="J8" s="401"/>
      <c r="K8" s="401"/>
      <c r="L8" s="401"/>
      <c r="M8" s="401"/>
    </row>
    <row r="9" spans="1:13">
      <c r="A9" s="401"/>
      <c r="B9" s="398" t="s">
        <v>2</v>
      </c>
      <c r="C9" s="411"/>
      <c r="D9" s="425"/>
      <c r="E9" s="390">
        <v>0.3</v>
      </c>
      <c r="F9" s="401"/>
      <c r="G9" s="401"/>
      <c r="H9" s="401"/>
      <c r="I9" s="401"/>
      <c r="J9" s="401"/>
      <c r="K9" s="401"/>
      <c r="L9" s="401"/>
      <c r="M9" s="401"/>
    </row>
    <row r="10" spans="1:13">
      <c r="A10" s="401"/>
      <c r="B10" s="412"/>
      <c r="C10" s="412"/>
      <c r="D10" s="412"/>
      <c r="E10" s="412"/>
      <c r="F10" s="401"/>
      <c r="G10" s="401"/>
      <c r="H10" s="401"/>
      <c r="I10" s="401"/>
      <c r="J10" s="401"/>
      <c r="K10" s="401"/>
      <c r="L10" s="401"/>
      <c r="M10" s="401"/>
    </row>
    <row r="11" spans="1:13">
      <c r="A11" s="401"/>
      <c r="B11" s="412"/>
      <c r="C11" s="412"/>
      <c r="D11" s="412"/>
      <c r="E11" s="412"/>
      <c r="F11" s="401"/>
      <c r="G11" s="401"/>
      <c r="H11" s="401"/>
      <c r="I11" s="401"/>
      <c r="J11" s="401"/>
      <c r="K11" s="401"/>
      <c r="L11" s="401"/>
      <c r="M11" s="401"/>
    </row>
    <row r="12" spans="1:13" ht="18">
      <c r="A12" s="401"/>
      <c r="B12" s="407" t="s">
        <v>4</v>
      </c>
      <c r="C12" s="401"/>
      <c r="D12" s="401"/>
      <c r="E12" s="401"/>
      <c r="F12" s="401"/>
      <c r="G12" s="401"/>
      <c r="H12" s="401"/>
      <c r="I12" s="401"/>
      <c r="J12" s="401"/>
      <c r="K12" s="401"/>
      <c r="L12" s="401"/>
      <c r="M12" s="401"/>
    </row>
    <row r="13" spans="1:13">
      <c r="A13" s="401"/>
      <c r="B13" s="393" t="s">
        <v>11</v>
      </c>
      <c r="C13" s="408"/>
      <c r="D13" s="408"/>
      <c r="E13" s="426">
        <v>1</v>
      </c>
      <c r="F13" s="401"/>
      <c r="G13" s="401"/>
      <c r="H13" s="401"/>
      <c r="I13" s="401"/>
      <c r="J13" s="401"/>
      <c r="K13" s="401"/>
      <c r="L13" s="401"/>
      <c r="M13" s="401"/>
    </row>
    <row r="14" spans="1:13">
      <c r="A14" s="401"/>
      <c r="B14" s="398" t="s">
        <v>6</v>
      </c>
      <c r="C14" s="411"/>
      <c r="D14" s="425"/>
      <c r="E14" s="427">
        <v>100</v>
      </c>
      <c r="F14" s="401"/>
      <c r="G14" s="402" t="s">
        <v>8</v>
      </c>
      <c r="H14" s="401"/>
      <c r="I14" s="401"/>
      <c r="J14" s="401"/>
      <c r="K14" s="401"/>
      <c r="L14" s="401"/>
      <c r="M14" s="401"/>
    </row>
    <row r="15" spans="1:13">
      <c r="A15" s="401"/>
      <c r="B15" s="401"/>
      <c r="C15" s="401"/>
      <c r="D15" s="401"/>
      <c r="E15" s="401"/>
      <c r="F15" s="413"/>
      <c r="G15" s="401"/>
      <c r="H15" s="401"/>
      <c r="I15" s="401"/>
      <c r="J15" s="401"/>
      <c r="K15" s="401"/>
      <c r="L15" s="401"/>
      <c r="M15" s="401"/>
    </row>
    <row r="16" spans="1:13">
      <c r="A16" s="401"/>
      <c r="B16" s="401"/>
      <c r="C16" s="401"/>
      <c r="D16" s="401"/>
      <c r="E16" s="401"/>
      <c r="F16" s="401"/>
      <c r="G16" s="401"/>
      <c r="H16" s="401"/>
      <c r="I16" s="401"/>
      <c r="J16" s="401"/>
      <c r="K16" s="401"/>
      <c r="L16" s="401"/>
      <c r="M16" s="401"/>
    </row>
    <row r="17" spans="1:13">
      <c r="A17" s="401" t="s">
        <v>446</v>
      </c>
      <c r="B17" s="401"/>
      <c r="C17" s="401"/>
      <c r="D17" s="401"/>
      <c r="E17" s="401"/>
      <c r="F17" s="401"/>
      <c r="G17" s="401"/>
      <c r="H17" s="401"/>
      <c r="I17" s="401"/>
      <c r="J17" s="401"/>
      <c r="K17" s="401"/>
      <c r="L17" s="401"/>
      <c r="M17" s="401"/>
    </row>
    <row r="18" spans="1:13" ht="18">
      <c r="A18" s="401"/>
      <c r="B18" s="414" t="s">
        <v>455</v>
      </c>
      <c r="C18" s="415"/>
      <c r="D18" s="416"/>
      <c r="E18" s="416"/>
      <c r="F18" s="401"/>
      <c r="G18" s="401"/>
      <c r="H18" s="401"/>
      <c r="I18" s="401"/>
      <c r="J18" s="401"/>
      <c r="K18" s="401"/>
      <c r="L18" s="401"/>
      <c r="M18" s="401"/>
    </row>
    <row r="19" spans="1:13">
      <c r="A19" s="401"/>
      <c r="B19" s="394" t="s">
        <v>10</v>
      </c>
      <c r="C19" s="395"/>
      <c r="D19" s="395"/>
      <c r="E19" s="399">
        <f>MC_Step/365.25</f>
        <v>2.7378507871321013E-3</v>
      </c>
      <c r="F19" s="401"/>
      <c r="G19" s="402" t="s">
        <v>459</v>
      </c>
      <c r="H19" s="401"/>
      <c r="I19" s="401"/>
      <c r="J19" s="401"/>
      <c r="K19" s="401"/>
      <c r="L19" s="401"/>
      <c r="M19" s="401"/>
    </row>
    <row r="20" spans="1:13">
      <c r="A20" s="401"/>
      <c r="B20" s="394" t="s">
        <v>9</v>
      </c>
      <c r="C20" s="395"/>
      <c r="D20" s="395"/>
      <c r="E20" s="476">
        <f>LN(1+MC_Interest)</f>
        <v>9.5310179804324935E-2</v>
      </c>
      <c r="F20" s="401"/>
      <c r="G20" s="401"/>
      <c r="H20" s="401"/>
      <c r="I20" s="401"/>
      <c r="J20" s="401"/>
      <c r="K20" s="401"/>
      <c r="L20" s="401"/>
      <c r="M20" s="401"/>
    </row>
    <row r="21" spans="1:13">
      <c r="A21" s="401"/>
      <c r="B21" s="396" t="s">
        <v>457</v>
      </c>
      <c r="C21" s="397"/>
      <c r="D21" s="429"/>
      <c r="E21" s="476">
        <f>LN(1+MC_Dividend)</f>
        <v>2.9558802241544429E-2</v>
      </c>
      <c r="F21" s="401"/>
      <c r="G21" s="401"/>
      <c r="H21" s="401"/>
      <c r="I21" s="401"/>
      <c r="J21" s="401"/>
      <c r="K21" s="401"/>
      <c r="L21" s="401"/>
      <c r="M21" s="401"/>
    </row>
    <row r="22" spans="1:13">
      <c r="A22" s="401"/>
      <c r="B22" s="401"/>
      <c r="C22" s="401"/>
      <c r="D22" s="401"/>
      <c r="E22" s="417"/>
      <c r="F22" s="401"/>
      <c r="G22" s="401"/>
      <c r="H22" s="401"/>
      <c r="I22" s="401"/>
      <c r="J22" s="401"/>
      <c r="K22" s="401"/>
      <c r="L22" s="401"/>
      <c r="M22" s="401"/>
    </row>
    <row r="23" spans="1:13">
      <c r="A23" s="401"/>
      <c r="B23" s="401"/>
      <c r="C23" s="401"/>
      <c r="D23" s="401"/>
      <c r="E23" s="413"/>
      <c r="F23" s="401"/>
      <c r="G23" s="401"/>
      <c r="H23" s="401"/>
      <c r="I23" s="401"/>
      <c r="J23" s="401"/>
      <c r="K23" s="401"/>
      <c r="L23" s="401"/>
      <c r="M23" s="401"/>
    </row>
    <row r="24" spans="1:13" ht="18">
      <c r="A24" s="264" t="s">
        <v>470</v>
      </c>
      <c r="B24" s="405"/>
      <c r="C24" s="405"/>
      <c r="D24" s="401"/>
      <c r="E24" s="401"/>
      <c r="F24" s="401"/>
      <c r="G24" s="401"/>
      <c r="H24" s="401"/>
      <c r="I24" s="401"/>
      <c r="J24" s="401"/>
      <c r="K24" s="401"/>
      <c r="L24" s="401"/>
      <c r="M24" s="401"/>
    </row>
    <row r="25" spans="1:13" ht="18">
      <c r="A25" s="264" t="s">
        <v>471</v>
      </c>
      <c r="B25" s="405"/>
      <c r="C25" s="405"/>
      <c r="D25" s="401"/>
      <c r="E25" s="401"/>
      <c r="F25" s="401"/>
      <c r="G25" s="401"/>
      <c r="H25" s="401"/>
      <c r="I25" s="401"/>
      <c r="J25" s="401"/>
      <c r="K25" s="401"/>
      <c r="L25" s="401"/>
      <c r="M25" s="401"/>
    </row>
    <row r="26" spans="1:13">
      <c r="A26" s="401"/>
      <c r="B26" s="401"/>
      <c r="C26" s="401"/>
      <c r="D26" s="401"/>
      <c r="E26" s="401"/>
      <c r="F26" s="401"/>
      <c r="G26" s="401"/>
      <c r="H26" s="401"/>
      <c r="I26" s="401"/>
      <c r="J26" s="401"/>
      <c r="K26" s="401"/>
      <c r="L26" s="401"/>
      <c r="M26" s="401"/>
    </row>
    <row r="27" spans="1:13">
      <c r="A27" s="401"/>
      <c r="B27" s="401"/>
      <c r="C27" s="401"/>
      <c r="D27" s="401"/>
      <c r="E27" s="401"/>
      <c r="F27" s="401"/>
      <c r="G27" s="401"/>
      <c r="H27" s="401"/>
      <c r="I27" s="401"/>
      <c r="J27" s="401"/>
      <c r="K27" s="401"/>
      <c r="L27" s="401"/>
      <c r="M27" s="401"/>
    </row>
    <row r="28" spans="1:13">
      <c r="A28" s="401"/>
      <c r="B28" s="430" t="s">
        <v>5</v>
      </c>
      <c r="C28" s="430" t="s">
        <v>468</v>
      </c>
      <c r="D28" s="401"/>
      <c r="E28" s="401"/>
      <c r="F28" s="401"/>
      <c r="G28" s="401"/>
      <c r="H28" s="401"/>
      <c r="I28" s="401"/>
      <c r="J28" s="401"/>
      <c r="K28" s="401"/>
      <c r="L28" s="401"/>
      <c r="M28" s="401"/>
    </row>
    <row r="29" spans="1:13">
      <c r="A29" s="401"/>
      <c r="B29" s="432">
        <v>0</v>
      </c>
      <c r="C29" s="421">
        <f>MC_Spot</f>
        <v>100</v>
      </c>
      <c r="D29" s="401"/>
      <c r="E29" s="401"/>
      <c r="F29" s="401"/>
      <c r="G29" s="401"/>
      <c r="H29" s="401"/>
      <c r="I29" s="401"/>
      <c r="J29" s="401"/>
      <c r="K29" s="401"/>
      <c r="L29" s="401"/>
      <c r="M29" s="401"/>
    </row>
    <row r="30" spans="1:13">
      <c r="A30" s="401"/>
      <c r="B30" s="432">
        <f t="shared" ref="B30:B61" si="0">IF(B29&lt;MC_NumOfSteps,B29+1,"")</f>
        <v>1</v>
      </c>
      <c r="C30" s="421">
        <f ca="1">C29*EXP((MC_InterestCC-MC_DividendCC-MC_Volatility*MC_Volatility/2)*MC_StepY+MC_Volatility*NORMSINV(RAND())*SQRT(MC_StepY))</f>
        <v>97.577806208256064</v>
      </c>
      <c r="D30" s="401"/>
      <c r="E30" s="401"/>
      <c r="F30" s="401"/>
      <c r="G30" s="401"/>
      <c r="H30" s="401"/>
      <c r="I30" s="401"/>
      <c r="J30" s="401"/>
      <c r="K30" s="401"/>
      <c r="L30" s="401"/>
      <c r="M30" s="401"/>
    </row>
    <row r="31" spans="1:13">
      <c r="A31" s="401"/>
      <c r="B31" s="432">
        <f t="shared" si="0"/>
        <v>2</v>
      </c>
      <c r="C31" s="421">
        <f ca="1">C30*EXP((MC_InterestCC-MC_DividendCC-MC_Volatility*MC_Volatility/2)*MC_StepY+MC_Volatility*NORMSINV(RAND())*SQRT(MC_StepY))</f>
        <v>96.378732594456821</v>
      </c>
      <c r="D31" s="401"/>
      <c r="E31" s="401"/>
      <c r="F31" s="401"/>
      <c r="G31" s="401"/>
      <c r="H31" s="401"/>
      <c r="I31" s="401"/>
      <c r="J31" s="401"/>
      <c r="K31" s="401"/>
      <c r="L31" s="401"/>
      <c r="M31" s="401"/>
    </row>
    <row r="32" spans="1:13">
      <c r="A32" s="401"/>
      <c r="B32" s="432">
        <f t="shared" si="0"/>
        <v>3</v>
      </c>
      <c r="C32" s="421">
        <f ca="1">C31*EXP((MC_InterestCC-MC_DividendCC-MC_Volatility*MC_Volatility/2)*MC_StepY+MC_Volatility*NORMSINV(RAND())*SQRT(MC_StepY))</f>
        <v>97.552179378451839</v>
      </c>
      <c r="D32" s="401"/>
      <c r="E32" s="401"/>
      <c r="F32" s="401"/>
      <c r="G32" s="401"/>
      <c r="H32" s="401"/>
      <c r="I32" s="401"/>
      <c r="J32" s="401"/>
      <c r="K32" s="401"/>
      <c r="L32" s="401"/>
      <c r="M32" s="401"/>
    </row>
    <row r="33" spans="2:3">
      <c r="B33" s="432">
        <f t="shared" si="0"/>
        <v>4</v>
      </c>
      <c r="C33" s="421">
        <f ca="1">C32*EXP((MC_InterestCC-MC_DividendCC-MC_Volatility*MC_Volatility/2)*MC_StepY+MC_Volatility*NORMSINV(RAND())*SQRT(MC_StepY))</f>
        <v>98.015833135276353</v>
      </c>
    </row>
    <row r="34" spans="2:3">
      <c r="B34" s="432">
        <f t="shared" si="0"/>
        <v>5</v>
      </c>
      <c r="C34" s="421">
        <f ca="1">C33*EXP((MC_InterestCC-MC_DividendCC-MC_Volatility*MC_Volatility/2)*MC_StepY+MC_Volatility*NORMSINV(RAND())*SQRT(MC_StepY))</f>
        <v>97.059374563123086</v>
      </c>
    </row>
    <row r="35" spans="2:3">
      <c r="B35" s="432">
        <f t="shared" si="0"/>
        <v>6</v>
      </c>
      <c r="C35" s="421">
        <f ca="1">C34*EXP((MC_InterestCC-MC_DividendCC-MC_Volatility*MC_Volatility/2)*MC_StepY+MC_Volatility*NORMSINV(RAND())*SQRT(MC_StepY))</f>
        <v>95.216744594418174</v>
      </c>
    </row>
    <row r="36" spans="2:3">
      <c r="B36" s="432">
        <f t="shared" si="0"/>
        <v>7</v>
      </c>
      <c r="C36" s="421">
        <f ca="1">C35*EXP((MC_InterestCC-MC_DividendCC-MC_Volatility*MC_Volatility/2)*MC_StepY+MC_Volatility*NORMSINV(RAND())*SQRT(MC_StepY))</f>
        <v>95.114076687596054</v>
      </c>
    </row>
    <row r="37" spans="2:3">
      <c r="B37" s="432">
        <f t="shared" si="0"/>
        <v>8</v>
      </c>
      <c r="C37" s="421">
        <f ca="1">C36*EXP((MC_InterestCC-MC_DividendCC-MC_Volatility*MC_Volatility/2)*MC_StepY+MC_Volatility*NORMSINV(RAND())*SQRT(MC_StepY))</f>
        <v>95.588894498255684</v>
      </c>
    </row>
    <row r="38" spans="2:3">
      <c r="B38" s="432">
        <f t="shared" si="0"/>
        <v>9</v>
      </c>
      <c r="C38" s="421">
        <f ca="1">C37*EXP((MC_InterestCC-MC_DividendCC-MC_Volatility*MC_Volatility/2)*MC_StepY+MC_Volatility*NORMSINV(RAND())*SQRT(MC_StepY))</f>
        <v>94.149427480370491</v>
      </c>
    </row>
    <row r="39" spans="2:3">
      <c r="B39" s="432">
        <f t="shared" si="0"/>
        <v>10</v>
      </c>
      <c r="C39" s="421">
        <f ca="1">C38*EXP((MC_InterestCC-MC_DividendCC-MC_Volatility*MC_Volatility/2)*MC_StepY+MC_Volatility*NORMSINV(RAND())*SQRT(MC_StepY))</f>
        <v>94.042082810931248</v>
      </c>
    </row>
    <row r="40" spans="2:3">
      <c r="B40" s="432">
        <f t="shared" si="0"/>
        <v>11</v>
      </c>
      <c r="C40" s="421">
        <f ca="1">C39*EXP((MC_InterestCC-MC_DividendCC-MC_Volatility*MC_Volatility/2)*MC_StepY+MC_Volatility*NORMSINV(RAND())*SQRT(MC_StepY))</f>
        <v>92.971958288973568</v>
      </c>
    </row>
    <row r="41" spans="2:3">
      <c r="B41" s="432">
        <f t="shared" si="0"/>
        <v>12</v>
      </c>
      <c r="C41" s="421">
        <f ca="1">C40*EXP((MC_InterestCC-MC_DividendCC-MC_Volatility*MC_Volatility/2)*MC_StepY+MC_Volatility*NORMSINV(RAND())*SQRT(MC_StepY))</f>
        <v>92.336807723953584</v>
      </c>
    </row>
    <row r="42" spans="2:3">
      <c r="B42" s="432">
        <f t="shared" si="0"/>
        <v>13</v>
      </c>
      <c r="C42" s="421">
        <f ca="1">C41*EXP((MC_InterestCC-MC_DividendCC-MC_Volatility*MC_Volatility/2)*MC_StepY+MC_Volatility*NORMSINV(RAND())*SQRT(MC_StepY))</f>
        <v>94.542345771200203</v>
      </c>
    </row>
    <row r="43" spans="2:3">
      <c r="B43" s="432">
        <f t="shared" si="0"/>
        <v>14</v>
      </c>
      <c r="C43" s="421">
        <f ca="1">C42*EXP((MC_InterestCC-MC_DividendCC-MC_Volatility*MC_Volatility/2)*MC_StepY+MC_Volatility*NORMSINV(RAND())*SQRT(MC_StepY))</f>
        <v>92.211653439116915</v>
      </c>
    </row>
    <row r="44" spans="2:3">
      <c r="B44" s="432">
        <f t="shared" si="0"/>
        <v>15</v>
      </c>
      <c r="C44" s="421">
        <f ca="1">C43*EXP((MC_InterestCC-MC_DividendCC-MC_Volatility*MC_Volatility/2)*MC_StepY+MC_Volatility*NORMSINV(RAND())*SQRT(MC_StepY))</f>
        <v>91.674412267124296</v>
      </c>
    </row>
    <row r="45" spans="2:3">
      <c r="B45" s="432">
        <f t="shared" si="0"/>
        <v>16</v>
      </c>
      <c r="C45" s="421">
        <f ca="1">C44*EXP((MC_InterestCC-MC_DividendCC-MC_Volatility*MC_Volatility/2)*MC_StepY+MC_Volatility*NORMSINV(RAND())*SQRT(MC_StepY))</f>
        <v>89.475892307406752</v>
      </c>
    </row>
    <row r="46" spans="2:3">
      <c r="B46" s="432">
        <f t="shared" si="0"/>
        <v>17</v>
      </c>
      <c r="C46" s="421">
        <f ca="1">C45*EXP((MC_InterestCC-MC_DividendCC-MC_Volatility*MC_Volatility/2)*MC_StepY+MC_Volatility*NORMSINV(RAND())*SQRT(MC_StepY))</f>
        <v>88.255165982337871</v>
      </c>
    </row>
    <row r="47" spans="2:3">
      <c r="B47" s="432">
        <f t="shared" si="0"/>
        <v>18</v>
      </c>
      <c r="C47" s="421">
        <f ca="1">C46*EXP((MC_InterestCC-MC_DividendCC-MC_Volatility*MC_Volatility/2)*MC_StepY+MC_Volatility*NORMSINV(RAND())*SQRT(MC_StepY))</f>
        <v>90.403276170048642</v>
      </c>
    </row>
    <row r="48" spans="2:3">
      <c r="B48" s="432">
        <f t="shared" si="0"/>
        <v>19</v>
      </c>
      <c r="C48" s="421">
        <f ca="1">C47*EXP((MC_InterestCC-MC_DividendCC-MC_Volatility*MC_Volatility/2)*MC_StepY+MC_Volatility*NORMSINV(RAND())*SQRT(MC_StepY))</f>
        <v>92.73561996037634</v>
      </c>
    </row>
    <row r="49" spans="2:3">
      <c r="B49" s="432">
        <f t="shared" si="0"/>
        <v>20</v>
      </c>
      <c r="C49" s="421">
        <f ca="1">C48*EXP((MC_InterestCC-MC_DividendCC-MC_Volatility*MC_Volatility/2)*MC_StepY+MC_Volatility*NORMSINV(RAND())*SQRT(MC_StepY))</f>
        <v>93.83863860088077</v>
      </c>
    </row>
    <row r="50" spans="2:3">
      <c r="B50" s="432">
        <f t="shared" si="0"/>
        <v>21</v>
      </c>
      <c r="C50" s="421">
        <f ca="1">C49*EXP((MC_InterestCC-MC_DividendCC-MC_Volatility*MC_Volatility/2)*MC_StepY+MC_Volatility*NORMSINV(RAND())*SQRT(MC_StepY))</f>
        <v>94.798290431459222</v>
      </c>
    </row>
    <row r="51" spans="2:3">
      <c r="B51" s="432">
        <f t="shared" si="0"/>
        <v>22</v>
      </c>
      <c r="C51" s="421">
        <f ca="1">C50*EXP((MC_InterestCC-MC_DividendCC-MC_Volatility*MC_Volatility/2)*MC_StepY+MC_Volatility*NORMSINV(RAND())*SQRT(MC_StepY))</f>
        <v>94.283795013267053</v>
      </c>
    </row>
    <row r="52" spans="2:3">
      <c r="B52" s="432">
        <f t="shared" si="0"/>
        <v>23</v>
      </c>
      <c r="C52" s="421">
        <f ca="1">C51*EXP((MC_InterestCC-MC_DividendCC-MC_Volatility*MC_Volatility/2)*MC_StepY+MC_Volatility*NORMSINV(RAND())*SQRT(MC_StepY))</f>
        <v>95.829492354902797</v>
      </c>
    </row>
    <row r="53" spans="2:3">
      <c r="B53" s="432">
        <f t="shared" si="0"/>
        <v>24</v>
      </c>
      <c r="C53" s="421">
        <f ca="1">C52*EXP((MC_InterestCC-MC_DividendCC-MC_Volatility*MC_Volatility/2)*MC_StepY+MC_Volatility*NORMSINV(RAND())*SQRT(MC_StepY))</f>
        <v>96.420610145705794</v>
      </c>
    </row>
    <row r="54" spans="2:3">
      <c r="B54" s="432">
        <f t="shared" si="0"/>
        <v>25</v>
      </c>
      <c r="C54" s="421">
        <f ca="1">C53*EXP((MC_InterestCC-MC_DividendCC-MC_Volatility*MC_Volatility/2)*MC_StepY+MC_Volatility*NORMSINV(RAND())*SQRT(MC_StepY))</f>
        <v>96.462438762154591</v>
      </c>
    </row>
    <row r="55" spans="2:3">
      <c r="B55" s="432">
        <f t="shared" si="0"/>
        <v>26</v>
      </c>
      <c r="C55" s="421">
        <f ca="1">C54*EXP((MC_InterestCC-MC_DividendCC-MC_Volatility*MC_Volatility/2)*MC_StepY+MC_Volatility*NORMSINV(RAND())*SQRT(MC_StepY))</f>
        <v>96.925151534594065</v>
      </c>
    </row>
    <row r="56" spans="2:3">
      <c r="B56" s="432">
        <f t="shared" si="0"/>
        <v>27</v>
      </c>
      <c r="C56" s="421">
        <f ca="1">C55*EXP((MC_InterestCC-MC_DividendCC-MC_Volatility*MC_Volatility/2)*MC_StepY+MC_Volatility*NORMSINV(RAND())*SQRT(MC_StepY))</f>
        <v>95.089105161804937</v>
      </c>
    </row>
    <row r="57" spans="2:3">
      <c r="B57" s="432">
        <f t="shared" si="0"/>
        <v>28</v>
      </c>
      <c r="C57" s="421">
        <f ca="1">C56*EXP((MC_InterestCC-MC_DividendCC-MC_Volatility*MC_Volatility/2)*MC_StepY+MC_Volatility*NORMSINV(RAND())*SQRT(MC_StepY))</f>
        <v>95.461030998364052</v>
      </c>
    </row>
    <row r="58" spans="2:3">
      <c r="B58" s="432">
        <f t="shared" si="0"/>
        <v>29</v>
      </c>
      <c r="C58" s="421">
        <f ca="1">C57*EXP((MC_InterestCC-MC_DividendCC-MC_Volatility*MC_Volatility/2)*MC_StepY+MC_Volatility*NORMSINV(RAND())*SQRT(MC_StepY))</f>
        <v>97.063888030448737</v>
      </c>
    </row>
    <row r="59" spans="2:3">
      <c r="B59" s="432">
        <f t="shared" si="0"/>
        <v>30</v>
      </c>
      <c r="C59" s="421">
        <f ca="1">C58*EXP((MC_InterestCC-MC_DividendCC-MC_Volatility*MC_Volatility/2)*MC_StepY+MC_Volatility*NORMSINV(RAND())*SQRT(MC_StepY))</f>
        <v>98.176078758277043</v>
      </c>
    </row>
    <row r="60" spans="2:3">
      <c r="B60" s="432">
        <f t="shared" si="0"/>
        <v>31</v>
      </c>
      <c r="C60" s="421">
        <f ca="1">C59*EXP((MC_InterestCC-MC_DividendCC-MC_Volatility*MC_Volatility/2)*MC_StepY+MC_Volatility*NORMSINV(RAND())*SQRT(MC_StepY))</f>
        <v>99.156921044257757</v>
      </c>
    </row>
    <row r="61" spans="2:3">
      <c r="B61" s="432">
        <f t="shared" si="0"/>
        <v>32</v>
      </c>
      <c r="C61" s="421">
        <f ca="1">C60*EXP((MC_InterestCC-MC_DividendCC-MC_Volatility*MC_Volatility/2)*MC_StepY+MC_Volatility*NORMSINV(RAND())*SQRT(MC_StepY))</f>
        <v>97.483279694100531</v>
      </c>
    </row>
    <row r="62" spans="2:3">
      <c r="B62" s="432">
        <f t="shared" ref="B62:B93" si="1">IF(B61&lt;MC_NumOfSteps,B61+1,"")</f>
        <v>33</v>
      </c>
      <c r="C62" s="421">
        <f ca="1">C61*EXP((MC_InterestCC-MC_DividendCC-MC_Volatility*MC_Volatility/2)*MC_StepY+MC_Volatility*NORMSINV(RAND())*SQRT(MC_StepY))</f>
        <v>96.178239082894976</v>
      </c>
    </row>
    <row r="63" spans="2:3">
      <c r="B63" s="432">
        <f t="shared" si="1"/>
        <v>34</v>
      </c>
      <c r="C63" s="421">
        <f ca="1">C62*EXP((MC_InterestCC-MC_DividendCC-MC_Volatility*MC_Volatility/2)*MC_StepY+MC_Volatility*NORMSINV(RAND())*SQRT(MC_StepY))</f>
        <v>94.003109626062923</v>
      </c>
    </row>
    <row r="64" spans="2:3">
      <c r="B64" s="432">
        <f t="shared" si="1"/>
        <v>35</v>
      </c>
      <c r="C64" s="421">
        <f ca="1">C63*EXP((MC_InterestCC-MC_DividendCC-MC_Volatility*MC_Volatility/2)*MC_StepY+MC_Volatility*NORMSINV(RAND())*SQRT(MC_StepY))</f>
        <v>94.518152245819124</v>
      </c>
    </row>
    <row r="65" spans="2:3">
      <c r="B65" s="432">
        <f t="shared" si="1"/>
        <v>36</v>
      </c>
      <c r="C65" s="421">
        <f ca="1">C64*EXP((MC_InterestCC-MC_DividendCC-MC_Volatility*MC_Volatility/2)*MC_StepY+MC_Volatility*NORMSINV(RAND())*SQRT(MC_StepY))</f>
        <v>96.454926081732637</v>
      </c>
    </row>
    <row r="66" spans="2:3">
      <c r="B66" s="432">
        <f t="shared" si="1"/>
        <v>37</v>
      </c>
      <c r="C66" s="421">
        <f ca="1">C65*EXP((MC_InterestCC-MC_DividendCC-MC_Volatility*MC_Volatility/2)*MC_StepY+MC_Volatility*NORMSINV(RAND())*SQRT(MC_StepY))</f>
        <v>94.345604500089735</v>
      </c>
    </row>
    <row r="67" spans="2:3">
      <c r="B67" s="432">
        <f t="shared" si="1"/>
        <v>38</v>
      </c>
      <c r="C67" s="421">
        <f ca="1">C66*EXP((MC_InterestCC-MC_DividendCC-MC_Volatility*MC_Volatility/2)*MC_StepY+MC_Volatility*NORMSINV(RAND())*SQRT(MC_StepY))</f>
        <v>95.471331137641315</v>
      </c>
    </row>
    <row r="68" spans="2:3">
      <c r="B68" s="432">
        <f t="shared" si="1"/>
        <v>39</v>
      </c>
      <c r="C68" s="421">
        <f ca="1">C67*EXP((MC_InterestCC-MC_DividendCC-MC_Volatility*MC_Volatility/2)*MC_StepY+MC_Volatility*NORMSINV(RAND())*SQRT(MC_StepY))</f>
        <v>94.454601425358277</v>
      </c>
    </row>
    <row r="69" spans="2:3">
      <c r="B69" s="432">
        <f t="shared" si="1"/>
        <v>40</v>
      </c>
      <c r="C69" s="421">
        <f ca="1">C68*EXP((MC_InterestCC-MC_DividendCC-MC_Volatility*MC_Volatility/2)*MC_StepY+MC_Volatility*NORMSINV(RAND())*SQRT(MC_StepY))</f>
        <v>95.444154713277186</v>
      </c>
    </row>
    <row r="70" spans="2:3">
      <c r="B70" s="432">
        <f t="shared" si="1"/>
        <v>41</v>
      </c>
      <c r="C70" s="421">
        <f ca="1">C69*EXP((MC_InterestCC-MC_DividendCC-MC_Volatility*MC_Volatility/2)*MC_StepY+MC_Volatility*NORMSINV(RAND())*SQRT(MC_StepY))</f>
        <v>95.986410356644484</v>
      </c>
    </row>
    <row r="71" spans="2:3">
      <c r="B71" s="432">
        <f t="shared" si="1"/>
        <v>42</v>
      </c>
      <c r="C71" s="421">
        <f ca="1">C70*EXP((MC_InterestCC-MC_DividendCC-MC_Volatility*MC_Volatility/2)*MC_StepY+MC_Volatility*NORMSINV(RAND())*SQRT(MC_StepY))</f>
        <v>95.742362504714421</v>
      </c>
    </row>
    <row r="72" spans="2:3">
      <c r="B72" s="432">
        <f t="shared" si="1"/>
        <v>43</v>
      </c>
      <c r="C72" s="421">
        <f ca="1">C71*EXP((MC_InterestCC-MC_DividendCC-MC_Volatility*MC_Volatility/2)*MC_StepY+MC_Volatility*NORMSINV(RAND())*SQRT(MC_StepY))</f>
        <v>96.595240269716157</v>
      </c>
    </row>
    <row r="73" spans="2:3">
      <c r="B73" s="432">
        <f t="shared" si="1"/>
        <v>44</v>
      </c>
      <c r="C73" s="421">
        <f ca="1">C72*EXP((MC_InterestCC-MC_DividendCC-MC_Volatility*MC_Volatility/2)*MC_StepY+MC_Volatility*NORMSINV(RAND())*SQRT(MC_StepY))</f>
        <v>97.608166636885102</v>
      </c>
    </row>
    <row r="74" spans="2:3">
      <c r="B74" s="432">
        <f t="shared" si="1"/>
        <v>45</v>
      </c>
      <c r="C74" s="421">
        <f ca="1">C73*EXP((MC_InterestCC-MC_DividendCC-MC_Volatility*MC_Volatility/2)*MC_StepY+MC_Volatility*NORMSINV(RAND())*SQRT(MC_StepY))</f>
        <v>98.744269765788204</v>
      </c>
    </row>
    <row r="75" spans="2:3">
      <c r="B75" s="432">
        <f t="shared" si="1"/>
        <v>46</v>
      </c>
      <c r="C75" s="421">
        <f ca="1">C74*EXP((MC_InterestCC-MC_DividendCC-MC_Volatility*MC_Volatility/2)*MC_StepY+MC_Volatility*NORMSINV(RAND())*SQRT(MC_StepY))</f>
        <v>97.512967656598406</v>
      </c>
    </row>
    <row r="76" spans="2:3">
      <c r="B76" s="432">
        <f t="shared" si="1"/>
        <v>47</v>
      </c>
      <c r="C76" s="421">
        <f ca="1">C75*EXP((MC_InterestCC-MC_DividendCC-MC_Volatility*MC_Volatility/2)*MC_StepY+MC_Volatility*NORMSINV(RAND())*SQRT(MC_StepY))</f>
        <v>99.740065937667552</v>
      </c>
    </row>
    <row r="77" spans="2:3">
      <c r="B77" s="432">
        <f t="shared" si="1"/>
        <v>48</v>
      </c>
      <c r="C77" s="421">
        <f ca="1">C76*EXP((MC_InterestCC-MC_DividendCC-MC_Volatility*MC_Volatility/2)*MC_StepY+MC_Volatility*NORMSINV(RAND())*SQRT(MC_StepY))</f>
        <v>97.684767611824014</v>
      </c>
    </row>
    <row r="78" spans="2:3">
      <c r="B78" s="432">
        <f t="shared" si="1"/>
        <v>49</v>
      </c>
      <c r="C78" s="421">
        <f ca="1">C77*EXP((MC_InterestCC-MC_DividendCC-MC_Volatility*MC_Volatility/2)*MC_StepY+MC_Volatility*NORMSINV(RAND())*SQRT(MC_StepY))</f>
        <v>98.701196749286296</v>
      </c>
    </row>
    <row r="79" spans="2:3">
      <c r="B79" s="432">
        <f t="shared" si="1"/>
        <v>50</v>
      </c>
      <c r="C79" s="421">
        <f ca="1">C78*EXP((MC_InterestCC-MC_DividendCC-MC_Volatility*MC_Volatility/2)*MC_StepY+MC_Volatility*NORMSINV(RAND())*SQRT(MC_StepY))</f>
        <v>98.424404416698593</v>
      </c>
    </row>
    <row r="80" spans="2:3">
      <c r="B80" s="432">
        <f t="shared" si="1"/>
        <v>51</v>
      </c>
      <c r="C80" s="421">
        <f ca="1">C79*EXP((MC_InterestCC-MC_DividendCC-MC_Volatility*MC_Volatility/2)*MC_StepY+MC_Volatility*NORMSINV(RAND())*SQRT(MC_StepY))</f>
        <v>96.792217952026689</v>
      </c>
    </row>
    <row r="81" spans="2:3">
      <c r="B81" s="432">
        <f t="shared" si="1"/>
        <v>52</v>
      </c>
      <c r="C81" s="421">
        <f ca="1">C80*EXP((MC_InterestCC-MC_DividendCC-MC_Volatility*MC_Volatility/2)*MC_StepY+MC_Volatility*NORMSINV(RAND())*SQRT(MC_StepY))</f>
        <v>98.053332428702461</v>
      </c>
    </row>
    <row r="82" spans="2:3">
      <c r="B82" s="432">
        <f t="shared" si="1"/>
        <v>53</v>
      </c>
      <c r="C82" s="421">
        <f ca="1">C81*EXP((MC_InterestCC-MC_DividendCC-MC_Volatility*MC_Volatility/2)*MC_StepY+MC_Volatility*NORMSINV(RAND())*SQRT(MC_StepY))</f>
        <v>98.065341297984261</v>
      </c>
    </row>
    <row r="83" spans="2:3">
      <c r="B83" s="432">
        <f t="shared" si="1"/>
        <v>54</v>
      </c>
      <c r="C83" s="421">
        <f ca="1">C82*EXP((MC_InterestCC-MC_DividendCC-MC_Volatility*MC_Volatility/2)*MC_StepY+MC_Volatility*NORMSINV(RAND())*SQRT(MC_StepY))</f>
        <v>93.957875050256163</v>
      </c>
    </row>
    <row r="84" spans="2:3">
      <c r="B84" s="432">
        <f t="shared" si="1"/>
        <v>55</v>
      </c>
      <c r="C84" s="421">
        <f ca="1">C83*EXP((MC_InterestCC-MC_DividendCC-MC_Volatility*MC_Volatility/2)*MC_StepY+MC_Volatility*NORMSINV(RAND())*SQRT(MC_StepY))</f>
        <v>90.355602690669784</v>
      </c>
    </row>
    <row r="85" spans="2:3">
      <c r="B85" s="432">
        <f t="shared" si="1"/>
        <v>56</v>
      </c>
      <c r="C85" s="421">
        <f ca="1">C84*EXP((MC_InterestCC-MC_DividendCC-MC_Volatility*MC_Volatility/2)*MC_StepY+MC_Volatility*NORMSINV(RAND())*SQRT(MC_StepY))</f>
        <v>91.789625565348089</v>
      </c>
    </row>
    <row r="86" spans="2:3">
      <c r="B86" s="432">
        <f t="shared" si="1"/>
        <v>57</v>
      </c>
      <c r="C86" s="421">
        <f ca="1">C85*EXP((MC_InterestCC-MC_DividendCC-MC_Volatility*MC_Volatility/2)*MC_StepY+MC_Volatility*NORMSINV(RAND())*SQRT(MC_StepY))</f>
        <v>91.819314272177706</v>
      </c>
    </row>
    <row r="87" spans="2:3">
      <c r="B87" s="432">
        <f t="shared" si="1"/>
        <v>58</v>
      </c>
      <c r="C87" s="421">
        <f ca="1">C86*EXP((MC_InterestCC-MC_DividendCC-MC_Volatility*MC_Volatility/2)*MC_StepY+MC_Volatility*NORMSINV(RAND())*SQRT(MC_StepY))</f>
        <v>91.706757854139255</v>
      </c>
    </row>
    <row r="88" spans="2:3">
      <c r="B88" s="432">
        <f t="shared" si="1"/>
        <v>59</v>
      </c>
      <c r="C88" s="421">
        <f ca="1">C87*EXP((MC_InterestCC-MC_DividendCC-MC_Volatility*MC_Volatility/2)*MC_StepY+MC_Volatility*NORMSINV(RAND())*SQRT(MC_StepY))</f>
        <v>93.147752137213089</v>
      </c>
    </row>
    <row r="89" spans="2:3">
      <c r="B89" s="432">
        <f t="shared" si="1"/>
        <v>60</v>
      </c>
      <c r="C89" s="421">
        <f ca="1">C88*EXP((MC_InterestCC-MC_DividendCC-MC_Volatility*MC_Volatility/2)*MC_StepY+MC_Volatility*NORMSINV(RAND())*SQRT(MC_StepY))</f>
        <v>93.274469927394875</v>
      </c>
    </row>
    <row r="90" spans="2:3">
      <c r="B90" s="432">
        <f t="shared" si="1"/>
        <v>61</v>
      </c>
      <c r="C90" s="421">
        <f ca="1">C89*EXP((MC_InterestCC-MC_DividendCC-MC_Volatility*MC_Volatility/2)*MC_StepY+MC_Volatility*NORMSINV(RAND())*SQRT(MC_StepY))</f>
        <v>93.900893067057098</v>
      </c>
    </row>
    <row r="91" spans="2:3">
      <c r="B91" s="432">
        <f t="shared" si="1"/>
        <v>62</v>
      </c>
      <c r="C91" s="421">
        <f ca="1">C90*EXP((MC_InterestCC-MC_DividendCC-MC_Volatility*MC_Volatility/2)*MC_StepY+MC_Volatility*NORMSINV(RAND())*SQRT(MC_StepY))</f>
        <v>90.470199003111844</v>
      </c>
    </row>
    <row r="92" spans="2:3">
      <c r="B92" s="432">
        <f t="shared" si="1"/>
        <v>63</v>
      </c>
      <c r="C92" s="421">
        <f ca="1">C91*EXP((MC_InterestCC-MC_DividendCC-MC_Volatility*MC_Volatility/2)*MC_StepY+MC_Volatility*NORMSINV(RAND())*SQRT(MC_StepY))</f>
        <v>87.852709534321761</v>
      </c>
    </row>
    <row r="93" spans="2:3">
      <c r="B93" s="432">
        <f t="shared" si="1"/>
        <v>64</v>
      </c>
      <c r="C93" s="421">
        <f ca="1">C92*EXP((MC_InterestCC-MC_DividendCC-MC_Volatility*MC_Volatility/2)*MC_StepY+MC_Volatility*NORMSINV(RAND())*SQRT(MC_StepY))</f>
        <v>89.176124565065109</v>
      </c>
    </row>
    <row r="94" spans="2:3">
      <c r="B94" s="432">
        <f t="shared" ref="B94:B130" si="2">IF(B93&lt;MC_NumOfSteps,B93+1,"")</f>
        <v>65</v>
      </c>
      <c r="C94" s="421">
        <f ca="1">C93*EXP((MC_InterestCC-MC_DividendCC-MC_Volatility*MC_Volatility/2)*MC_StepY+MC_Volatility*NORMSINV(RAND())*SQRT(MC_StepY))</f>
        <v>90.161160930368084</v>
      </c>
    </row>
    <row r="95" spans="2:3">
      <c r="B95" s="432">
        <f t="shared" si="2"/>
        <v>66</v>
      </c>
      <c r="C95" s="421">
        <f ca="1">C94*EXP((MC_InterestCC-MC_DividendCC-MC_Volatility*MC_Volatility/2)*MC_StepY+MC_Volatility*NORMSINV(RAND())*SQRT(MC_StepY))</f>
        <v>89.069757109763628</v>
      </c>
    </row>
    <row r="96" spans="2:3">
      <c r="B96" s="432">
        <f t="shared" si="2"/>
        <v>67</v>
      </c>
      <c r="C96" s="421">
        <f ca="1">C95*EXP((MC_InterestCC-MC_DividendCC-MC_Volatility*MC_Volatility/2)*MC_StepY+MC_Volatility*NORMSINV(RAND())*SQRT(MC_StepY))</f>
        <v>88.870817555173076</v>
      </c>
    </row>
    <row r="97" spans="2:3">
      <c r="B97" s="432">
        <f t="shared" si="2"/>
        <v>68</v>
      </c>
      <c r="C97" s="421">
        <f ca="1">C96*EXP((MC_InterestCC-MC_DividendCC-MC_Volatility*MC_Volatility/2)*MC_StepY+MC_Volatility*NORMSINV(RAND())*SQRT(MC_StepY))</f>
        <v>92.698330004981699</v>
      </c>
    </row>
    <row r="98" spans="2:3">
      <c r="B98" s="432">
        <f t="shared" si="2"/>
        <v>69</v>
      </c>
      <c r="C98" s="421">
        <f ca="1">C97*EXP((MC_InterestCC-MC_DividendCC-MC_Volatility*MC_Volatility/2)*MC_StepY+MC_Volatility*NORMSINV(RAND())*SQRT(MC_StepY))</f>
        <v>91.644409968646698</v>
      </c>
    </row>
    <row r="99" spans="2:3">
      <c r="B99" s="432">
        <f t="shared" si="2"/>
        <v>70</v>
      </c>
      <c r="C99" s="421">
        <f ca="1">C98*EXP((MC_InterestCC-MC_DividendCC-MC_Volatility*MC_Volatility/2)*MC_StepY+MC_Volatility*NORMSINV(RAND())*SQRT(MC_StepY))</f>
        <v>90.024254247201171</v>
      </c>
    </row>
    <row r="100" spans="2:3">
      <c r="B100" s="432">
        <f t="shared" si="2"/>
        <v>71</v>
      </c>
      <c r="C100" s="421">
        <f ca="1">C99*EXP((MC_InterestCC-MC_DividendCC-MC_Volatility*MC_Volatility/2)*MC_StepY+MC_Volatility*NORMSINV(RAND())*SQRT(MC_StepY))</f>
        <v>88.686583871161957</v>
      </c>
    </row>
    <row r="101" spans="2:3">
      <c r="B101" s="432">
        <f t="shared" si="2"/>
        <v>72</v>
      </c>
      <c r="C101" s="421">
        <f ca="1">C100*EXP((MC_InterestCC-MC_DividendCC-MC_Volatility*MC_Volatility/2)*MC_StepY+MC_Volatility*NORMSINV(RAND())*SQRT(MC_StepY))</f>
        <v>90.100631704561195</v>
      </c>
    </row>
    <row r="102" spans="2:3">
      <c r="B102" s="432">
        <f t="shared" si="2"/>
        <v>73</v>
      </c>
      <c r="C102" s="421">
        <f ca="1">C101*EXP((MC_InterestCC-MC_DividendCC-MC_Volatility*MC_Volatility/2)*MC_StepY+MC_Volatility*NORMSINV(RAND())*SQRT(MC_StepY))</f>
        <v>90.286399128039989</v>
      </c>
    </row>
    <row r="103" spans="2:3">
      <c r="B103" s="432">
        <f t="shared" si="2"/>
        <v>74</v>
      </c>
      <c r="C103" s="421">
        <f ca="1">C102*EXP((MC_InterestCC-MC_DividendCC-MC_Volatility*MC_Volatility/2)*MC_StepY+MC_Volatility*NORMSINV(RAND())*SQRT(MC_StepY))</f>
        <v>91.825429380851205</v>
      </c>
    </row>
    <row r="104" spans="2:3">
      <c r="B104" s="432">
        <f t="shared" si="2"/>
        <v>75</v>
      </c>
      <c r="C104" s="421">
        <f ca="1">C103*EXP((MC_InterestCC-MC_DividendCC-MC_Volatility*MC_Volatility/2)*MC_StepY+MC_Volatility*NORMSINV(RAND())*SQRT(MC_StepY))</f>
        <v>89.979919792345171</v>
      </c>
    </row>
    <row r="105" spans="2:3">
      <c r="B105" s="432">
        <f t="shared" si="2"/>
        <v>76</v>
      </c>
      <c r="C105" s="421">
        <f ca="1">C104*EXP((MC_InterestCC-MC_DividendCC-MC_Volatility*MC_Volatility/2)*MC_StepY+MC_Volatility*NORMSINV(RAND())*SQRT(MC_StepY))</f>
        <v>91.020879792109028</v>
      </c>
    </row>
    <row r="106" spans="2:3">
      <c r="B106" s="432">
        <f t="shared" si="2"/>
        <v>77</v>
      </c>
      <c r="C106" s="421">
        <f ca="1">C105*EXP((MC_InterestCC-MC_DividendCC-MC_Volatility*MC_Volatility/2)*MC_StepY+MC_Volatility*NORMSINV(RAND())*SQRT(MC_StepY))</f>
        <v>90.298414317684561</v>
      </c>
    </row>
    <row r="107" spans="2:3">
      <c r="B107" s="432">
        <f t="shared" si="2"/>
        <v>78</v>
      </c>
      <c r="C107" s="421">
        <f ca="1">C106*EXP((MC_InterestCC-MC_DividendCC-MC_Volatility*MC_Volatility/2)*MC_StepY+MC_Volatility*NORMSINV(RAND())*SQRT(MC_StepY))</f>
        <v>90.52318900472099</v>
      </c>
    </row>
    <row r="108" spans="2:3">
      <c r="B108" s="432">
        <f t="shared" si="2"/>
        <v>79</v>
      </c>
      <c r="C108" s="421">
        <f ca="1">C107*EXP((MC_InterestCC-MC_DividendCC-MC_Volatility*MC_Volatility/2)*MC_StepY+MC_Volatility*NORMSINV(RAND())*SQRT(MC_StepY))</f>
        <v>90.015695777432811</v>
      </c>
    </row>
    <row r="109" spans="2:3">
      <c r="B109" s="432">
        <f t="shared" si="2"/>
        <v>80</v>
      </c>
      <c r="C109" s="421">
        <f ca="1">C108*EXP((MC_InterestCC-MC_DividendCC-MC_Volatility*MC_Volatility/2)*MC_StepY+MC_Volatility*NORMSINV(RAND())*SQRT(MC_StepY))</f>
        <v>90.594383331833754</v>
      </c>
    </row>
    <row r="110" spans="2:3">
      <c r="B110" s="432">
        <f t="shared" si="2"/>
        <v>81</v>
      </c>
      <c r="C110" s="421">
        <f ca="1">C109*EXP((MC_InterestCC-MC_DividendCC-MC_Volatility*MC_Volatility/2)*MC_StepY+MC_Volatility*NORMSINV(RAND())*SQRT(MC_StepY))</f>
        <v>91.523939335352964</v>
      </c>
    </row>
    <row r="111" spans="2:3">
      <c r="B111" s="432">
        <f t="shared" si="2"/>
        <v>82</v>
      </c>
      <c r="C111" s="421">
        <f ca="1">C110*EXP((MC_InterestCC-MC_DividendCC-MC_Volatility*MC_Volatility/2)*MC_StepY+MC_Volatility*NORMSINV(RAND())*SQRT(MC_StepY))</f>
        <v>92.352017721067455</v>
      </c>
    </row>
    <row r="112" spans="2:3">
      <c r="B112" s="432">
        <f t="shared" si="2"/>
        <v>83</v>
      </c>
      <c r="C112" s="421">
        <f ca="1">C111*EXP((MC_InterestCC-MC_DividendCC-MC_Volatility*MC_Volatility/2)*MC_StepY+MC_Volatility*NORMSINV(RAND())*SQRT(MC_StepY))</f>
        <v>93.035079605001656</v>
      </c>
    </row>
    <row r="113" spans="2:3">
      <c r="B113" s="432">
        <f t="shared" si="2"/>
        <v>84</v>
      </c>
      <c r="C113" s="421">
        <f ca="1">C112*EXP((MC_InterestCC-MC_DividendCC-MC_Volatility*MC_Volatility/2)*MC_StepY+MC_Volatility*NORMSINV(RAND())*SQRT(MC_StepY))</f>
        <v>93.847942397117066</v>
      </c>
    </row>
    <row r="114" spans="2:3">
      <c r="B114" s="432">
        <f t="shared" si="2"/>
        <v>85</v>
      </c>
      <c r="C114" s="421">
        <f ca="1">C113*EXP((MC_InterestCC-MC_DividendCC-MC_Volatility*MC_Volatility/2)*MC_StepY+MC_Volatility*NORMSINV(RAND())*SQRT(MC_StepY))</f>
        <v>93.956005235290903</v>
      </c>
    </row>
    <row r="115" spans="2:3">
      <c r="B115" s="432">
        <f t="shared" si="2"/>
        <v>86</v>
      </c>
      <c r="C115" s="421">
        <f ca="1">C114*EXP((MC_InterestCC-MC_DividendCC-MC_Volatility*MC_Volatility/2)*MC_StepY+MC_Volatility*NORMSINV(RAND())*SQRT(MC_StepY))</f>
        <v>92.327831287636386</v>
      </c>
    </row>
    <row r="116" spans="2:3">
      <c r="B116" s="432">
        <f t="shared" si="2"/>
        <v>87</v>
      </c>
      <c r="C116" s="421">
        <f ca="1">C115*EXP((MC_InterestCC-MC_DividendCC-MC_Volatility*MC_Volatility/2)*MC_StepY+MC_Volatility*NORMSINV(RAND())*SQRT(MC_StepY))</f>
        <v>92.525056925698195</v>
      </c>
    </row>
    <row r="117" spans="2:3">
      <c r="B117" s="432">
        <f t="shared" si="2"/>
        <v>88</v>
      </c>
      <c r="C117" s="421">
        <f ca="1">C116*EXP((MC_InterestCC-MC_DividendCC-MC_Volatility*MC_Volatility/2)*MC_StepY+MC_Volatility*NORMSINV(RAND())*SQRT(MC_StepY))</f>
        <v>96.31183452566367</v>
      </c>
    </row>
    <row r="118" spans="2:3">
      <c r="B118" s="432">
        <f t="shared" si="2"/>
        <v>89</v>
      </c>
      <c r="C118" s="421">
        <f ca="1">C117*EXP((MC_InterestCC-MC_DividendCC-MC_Volatility*MC_Volatility/2)*MC_StepY+MC_Volatility*NORMSINV(RAND())*SQRT(MC_StepY))</f>
        <v>96.484392850259397</v>
      </c>
    </row>
    <row r="119" spans="2:3">
      <c r="B119" s="432">
        <f t="shared" si="2"/>
        <v>90</v>
      </c>
      <c r="C119" s="421">
        <f ca="1">C118*EXP((MC_InterestCC-MC_DividendCC-MC_Volatility*MC_Volatility/2)*MC_StepY+MC_Volatility*NORMSINV(RAND())*SQRT(MC_StepY))</f>
        <v>95.831209069435204</v>
      </c>
    </row>
    <row r="120" spans="2:3">
      <c r="B120" s="432">
        <f t="shared" si="2"/>
        <v>91</v>
      </c>
      <c r="C120" s="421">
        <f ca="1">C119*EXP((MC_InterestCC-MC_DividendCC-MC_Volatility*MC_Volatility/2)*MC_StepY+MC_Volatility*NORMSINV(RAND())*SQRT(MC_StepY))</f>
        <v>96.276536894105277</v>
      </c>
    </row>
    <row r="121" spans="2:3">
      <c r="B121" s="432">
        <f t="shared" si="2"/>
        <v>92</v>
      </c>
      <c r="C121" s="421">
        <f ca="1">C120*EXP((MC_InterestCC-MC_DividendCC-MC_Volatility*MC_Volatility/2)*MC_StepY+MC_Volatility*NORMSINV(RAND())*SQRT(MC_StepY))</f>
        <v>93.838514205400514</v>
      </c>
    </row>
    <row r="122" spans="2:3">
      <c r="B122" s="432">
        <f t="shared" si="2"/>
        <v>93</v>
      </c>
      <c r="C122" s="421">
        <f ca="1">C121*EXP((MC_InterestCC-MC_DividendCC-MC_Volatility*MC_Volatility/2)*MC_StepY+MC_Volatility*NORMSINV(RAND())*SQRT(MC_StepY))</f>
        <v>94.544697235076541</v>
      </c>
    </row>
    <row r="123" spans="2:3">
      <c r="B123" s="432">
        <f t="shared" si="2"/>
        <v>94</v>
      </c>
      <c r="C123" s="421">
        <f ca="1">C122*EXP((MC_InterestCC-MC_DividendCC-MC_Volatility*MC_Volatility/2)*MC_StepY+MC_Volatility*NORMSINV(RAND())*SQRT(MC_StepY))</f>
        <v>94.78202022488172</v>
      </c>
    </row>
    <row r="124" spans="2:3">
      <c r="B124" s="432">
        <f t="shared" si="2"/>
        <v>95</v>
      </c>
      <c r="C124" s="421">
        <f ca="1">C123*EXP((MC_InterestCC-MC_DividendCC-MC_Volatility*MC_Volatility/2)*MC_StepY+MC_Volatility*NORMSINV(RAND())*SQRT(MC_StepY))</f>
        <v>92.173608480044649</v>
      </c>
    </row>
    <row r="125" spans="2:3">
      <c r="B125" s="432">
        <f t="shared" si="2"/>
        <v>96</v>
      </c>
      <c r="C125" s="421">
        <f ca="1">C124*EXP((MC_InterestCC-MC_DividendCC-MC_Volatility*MC_Volatility/2)*MC_StepY+MC_Volatility*NORMSINV(RAND())*SQRT(MC_StepY))</f>
        <v>90.979714430405849</v>
      </c>
    </row>
    <row r="126" spans="2:3">
      <c r="B126" s="432">
        <f t="shared" si="2"/>
        <v>97</v>
      </c>
      <c r="C126" s="421">
        <f ca="1">C125*EXP((MC_InterestCC-MC_DividendCC-MC_Volatility*MC_Volatility/2)*MC_StepY+MC_Volatility*NORMSINV(RAND())*SQRT(MC_StepY))</f>
        <v>90.700509981270585</v>
      </c>
    </row>
    <row r="127" spans="2:3">
      <c r="B127" s="432">
        <f t="shared" si="2"/>
        <v>98</v>
      </c>
      <c r="C127" s="421">
        <f ca="1">C126*EXP((MC_InterestCC-MC_DividendCC-MC_Volatility*MC_Volatility/2)*MC_StepY+MC_Volatility*NORMSINV(RAND())*SQRT(MC_StepY))</f>
        <v>91.682773798937006</v>
      </c>
    </row>
    <row r="128" spans="2:3">
      <c r="B128" s="432">
        <f t="shared" si="2"/>
        <v>99</v>
      </c>
      <c r="C128" s="421">
        <f ca="1">C127*EXP((MC_InterestCC-MC_DividendCC-MC_Volatility*MC_Volatility/2)*MC_StepY+MC_Volatility*NORMSINV(RAND())*SQRT(MC_StepY))</f>
        <v>94.571184736023966</v>
      </c>
    </row>
    <row r="129" spans="2:3">
      <c r="B129" s="432">
        <f t="shared" si="2"/>
        <v>100</v>
      </c>
      <c r="C129" s="421">
        <f ca="1">C128*EXP((MC_InterestCC-MC_DividendCC-MC_Volatility*MC_Volatility/2)*MC_StepY+MC_Volatility*NORMSINV(RAND())*SQRT(MC_StepY))</f>
        <v>94.676006368600099</v>
      </c>
    </row>
    <row r="130" spans="2:3">
      <c r="B130" s="431" t="str">
        <f t="shared" si="2"/>
        <v/>
      </c>
    </row>
  </sheetData>
  <phoneticPr fontId="19" type="noConversion"/>
  <pageMargins left="0.75" right="0.75" top="1" bottom="1" header="0.5" footer="0.5"/>
  <pageSetup orientation="portrait" verticalDpi="0" r:id="rId1"/>
  <headerFooter alignWithMargins="0"/>
  <drawing r:id="rId2"/>
  <legacyDrawing r:id="rId3"/>
  <oleObjects>
    <oleObject progId="Equation.3" shapeId="27655" r:id="rId4"/>
  </oleObjec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9"/>
  <dimension ref="A1:M44"/>
  <sheetViews>
    <sheetView showGridLines="0" tabSelected="1" workbookViewId="0">
      <selection activeCell="J27" sqref="J27"/>
    </sheetView>
  </sheetViews>
  <sheetFormatPr defaultColWidth="10.28515625" defaultRowHeight="15"/>
  <cols>
    <col min="1" max="1" width="10.28515625" style="401" customWidth="1"/>
    <col min="2" max="2" width="16.85546875" style="401" customWidth="1"/>
    <col min="3" max="3" width="10.28515625" style="401" customWidth="1"/>
    <col min="4" max="4" width="14.5703125" style="401" customWidth="1"/>
    <col min="5" max="5" width="15.5703125" style="401" bestFit="1" customWidth="1"/>
    <col min="6" max="16384" width="10.28515625" style="401"/>
  </cols>
  <sheetData>
    <row r="1" spans="1:13" ht="27">
      <c r="A1" s="403" t="s">
        <v>458</v>
      </c>
      <c r="B1" s="403"/>
      <c r="C1" s="404"/>
      <c r="D1" s="404"/>
      <c r="E1" s="404"/>
      <c r="F1" s="404"/>
      <c r="G1" s="404"/>
      <c r="H1" s="404"/>
      <c r="I1" s="404"/>
      <c r="J1" s="404"/>
      <c r="K1" s="404"/>
      <c r="L1" s="404"/>
      <c r="M1" s="404"/>
    </row>
    <row r="2" spans="1:13">
      <c r="A2" s="405"/>
      <c r="B2" s="405"/>
      <c r="C2" s="405"/>
    </row>
    <row r="3" spans="1:13" ht="18">
      <c r="A3" s="264" t="s">
        <v>460</v>
      </c>
      <c r="B3" s="405"/>
      <c r="C3" s="405"/>
    </row>
    <row r="4" spans="1:13">
      <c r="A4" s="405"/>
      <c r="B4" s="405"/>
      <c r="C4" s="405"/>
    </row>
    <row r="5" spans="1:13" ht="18">
      <c r="A5" s="405"/>
      <c r="B5" s="405"/>
      <c r="C5" s="405"/>
      <c r="G5" s="406" t="s">
        <v>458</v>
      </c>
    </row>
    <row r="6" spans="1:13" ht="18">
      <c r="B6" s="407" t="s">
        <v>453</v>
      </c>
    </row>
    <row r="7" spans="1:13">
      <c r="B7" s="393" t="s">
        <v>449</v>
      </c>
      <c r="C7" s="408"/>
      <c r="D7" s="408"/>
      <c r="E7" s="387">
        <v>100</v>
      </c>
    </row>
    <row r="8" spans="1:13">
      <c r="B8" s="393" t="s">
        <v>452</v>
      </c>
      <c r="C8" s="409"/>
      <c r="D8" s="409"/>
      <c r="E8" s="388">
        <v>80</v>
      </c>
      <c r="F8" s="410"/>
    </row>
    <row r="9" spans="1:13">
      <c r="B9" s="393" t="s">
        <v>450</v>
      </c>
      <c r="C9" s="409"/>
      <c r="D9" s="409"/>
      <c r="E9" s="389">
        <v>365</v>
      </c>
      <c r="F9" s="410"/>
    </row>
    <row r="10" spans="1:13">
      <c r="B10" s="393" t="s">
        <v>228</v>
      </c>
      <c r="C10" s="409"/>
      <c r="D10" s="409"/>
      <c r="E10" s="390">
        <v>0.02</v>
      </c>
    </row>
    <row r="11" spans="1:13">
      <c r="B11" s="393" t="s">
        <v>463</v>
      </c>
      <c r="C11" s="409"/>
      <c r="D11" s="409"/>
      <c r="E11" s="391">
        <v>0.25</v>
      </c>
    </row>
    <row r="12" spans="1:13">
      <c r="B12" s="398" t="s">
        <v>451</v>
      </c>
      <c r="C12" s="411"/>
      <c r="D12" s="411"/>
      <c r="E12" s="392">
        <v>0</v>
      </c>
    </row>
    <row r="13" spans="1:13">
      <c r="B13" s="412"/>
      <c r="C13" s="412"/>
      <c r="D13" s="412"/>
      <c r="E13" s="412"/>
    </row>
    <row r="15" spans="1:13">
      <c r="F15" s="413"/>
    </row>
    <row r="17" spans="1:7">
      <c r="A17" s="401" t="s">
        <v>446</v>
      </c>
    </row>
    <row r="18" spans="1:7" ht="18">
      <c r="B18" s="414" t="s">
        <v>455</v>
      </c>
      <c r="C18" s="415"/>
      <c r="D18" s="416"/>
      <c r="E18" s="416"/>
    </row>
    <row r="19" spans="1:7">
      <c r="B19" s="394" t="s">
        <v>454</v>
      </c>
      <c r="C19" s="395"/>
      <c r="D19" s="395"/>
      <c r="E19" s="399">
        <f>BS_Maturity/365.25</f>
        <v>0.99931553730321698</v>
      </c>
      <c r="G19" s="402" t="s">
        <v>459</v>
      </c>
    </row>
    <row r="20" spans="1:7">
      <c r="B20" s="394" t="s">
        <v>456</v>
      </c>
      <c r="C20" s="395"/>
      <c r="D20" s="395"/>
      <c r="E20" s="476">
        <f>LN(1+BS_Interest)</f>
        <v>1.980262729617973E-2</v>
      </c>
    </row>
    <row r="21" spans="1:7">
      <c r="B21" s="394" t="s">
        <v>457</v>
      </c>
      <c r="C21" s="395"/>
      <c r="D21" s="395"/>
      <c r="E21" s="476">
        <f>LN(1+BS_Dividend)</f>
        <v>0</v>
      </c>
    </row>
    <row r="22" spans="1:7">
      <c r="B22" s="394" t="s">
        <v>447</v>
      </c>
      <c r="C22" s="395"/>
      <c r="D22" s="395"/>
      <c r="E22" s="399">
        <f>(LN(BS_Spot/BS_Strike)+(BS_InterestCC-BS_DividendCC+BS_Volatility*BS_Volatility/2)*BS_MaturityY)/(BS_Volatility*SQRT(BS_MaturityY))</f>
        <v>1.0970204390145586</v>
      </c>
    </row>
    <row r="23" spans="1:7">
      <c r="B23" s="394" t="s">
        <v>448</v>
      </c>
      <c r="C23" s="395"/>
      <c r="D23" s="395"/>
      <c r="E23" s="400">
        <f>BS_d1-BS_Volatility*SQRT(BS_MaturityY)</f>
        <v>0.84710601149695597</v>
      </c>
    </row>
    <row r="24" spans="1:7">
      <c r="B24" s="394"/>
      <c r="C24" s="395"/>
      <c r="D24" s="395"/>
      <c r="E24" s="400"/>
    </row>
    <row r="25" spans="1:7">
      <c r="B25" s="394" t="s">
        <v>461</v>
      </c>
      <c r="C25" s="395"/>
      <c r="D25" s="395"/>
      <c r="E25" s="400">
        <f>BS_Spot*NORMDIST(BS_d1,0,1,1)-BS_Strike*EXP(-BS_InterestCC*BS_MaturityY)*NORMDIST(BS_d2,0,1,1)</f>
        <v>23.502271495244266</v>
      </c>
    </row>
    <row r="26" spans="1:7">
      <c r="B26" s="396" t="s">
        <v>462</v>
      </c>
      <c r="C26" s="397"/>
      <c r="D26" s="397"/>
      <c r="E26" s="400">
        <f>BS_Strike*EXP(-BS_InterestCC*BS_MaturityY)*NORMDIST(-BS_d2,0,1,1)-BS_Spot*NORMDIST(-BS_d1,0,1,1)</f>
        <v>1.9347071228160768</v>
      </c>
    </row>
    <row r="27" spans="1:7">
      <c r="E27" s="417"/>
    </row>
    <row r="28" spans="1:7">
      <c r="E28" s="413"/>
    </row>
    <row r="30" spans="1:7" ht="18">
      <c r="A30" s="264" t="s">
        <v>464</v>
      </c>
    </row>
    <row r="31" spans="1:7" ht="18">
      <c r="A31" s="264" t="s">
        <v>465</v>
      </c>
    </row>
    <row r="33" spans="2:4">
      <c r="C33" s="422" t="s">
        <v>466</v>
      </c>
      <c r="D33" s="422" t="s">
        <v>467</v>
      </c>
    </row>
    <row r="34" spans="2:4">
      <c r="B34" s="418" t="s">
        <v>463</v>
      </c>
      <c r="C34" s="420">
        <f>E25</f>
        <v>23.502271495244266</v>
      </c>
      <c r="D34" s="420">
        <f>E26</f>
        <v>1.9347071228160768</v>
      </c>
    </row>
    <row r="35" spans="2:4">
      <c r="B35" s="419">
        <v>0.05</v>
      </c>
      <c r="C35" s="421">
        <f t="dataTable" ref="C35:D44" dt2D="0" dtr="0" r1="E11"/>
        <v>21.567564868181321</v>
      </c>
      <c r="D35" s="423">
        <v>4.9575313479896554E-7</v>
      </c>
    </row>
    <row r="36" spans="2:4">
      <c r="B36" s="419">
        <v>0.1</v>
      </c>
      <c r="C36" s="421">
        <v>21.589525582626067</v>
      </c>
      <c r="D36" s="423">
        <v>2.1961210197877556E-2</v>
      </c>
    </row>
    <row r="37" spans="2:4">
      <c r="B37" s="419">
        <v>0.15</v>
      </c>
      <c r="C37" s="421">
        <v>21.861264040578234</v>
      </c>
      <c r="D37" s="423">
        <v>0.29369966815004034</v>
      </c>
    </row>
    <row r="38" spans="2:4">
      <c r="B38" s="419">
        <v>0.2</v>
      </c>
      <c r="C38" s="421">
        <v>22.52735067434773</v>
      </c>
      <c r="D38" s="423">
        <v>0.95978630191953584</v>
      </c>
    </row>
    <row r="39" spans="2:4">
      <c r="B39" s="419">
        <v>0.25</v>
      </c>
      <c r="C39" s="421">
        <v>23.502271495244266</v>
      </c>
      <c r="D39" s="423">
        <v>1.9347071228160768</v>
      </c>
    </row>
    <row r="40" spans="2:4">
      <c r="B40" s="419">
        <v>0.3</v>
      </c>
      <c r="C40" s="421">
        <v>24.68322857350956</v>
      </c>
      <c r="D40" s="423">
        <v>3.1156642010813584</v>
      </c>
    </row>
    <row r="41" spans="2:4">
      <c r="B41" s="419">
        <v>0.35</v>
      </c>
      <c r="C41" s="421">
        <v>25.999144774107691</v>
      </c>
      <c r="D41" s="423">
        <v>4.4315804016794935</v>
      </c>
    </row>
    <row r="42" spans="2:4">
      <c r="B42" s="419">
        <v>0.4</v>
      </c>
      <c r="C42" s="421">
        <v>27.404504282953887</v>
      </c>
      <c r="D42" s="423">
        <v>5.8369399105257038</v>
      </c>
    </row>
    <row r="43" spans="2:4">
      <c r="B43" s="419">
        <v>0.45</v>
      </c>
      <c r="C43" s="421">
        <v>28.86986590701094</v>
      </c>
      <c r="D43" s="423">
        <v>7.3023015345827496</v>
      </c>
    </row>
    <row r="44" spans="2:4">
      <c r="B44" s="419">
        <v>0.5</v>
      </c>
      <c r="C44" s="421">
        <v>30.375574324549035</v>
      </c>
      <c r="D44" s="423">
        <v>8.8080099521208481</v>
      </c>
    </row>
  </sheetData>
  <phoneticPr fontId="21" type="noConversion"/>
  <pageMargins left="0.75" right="0.75" top="1" bottom="1" header="0.5" footer="0.5"/>
  <pageSetup orientation="portrait" r:id="rId1"/>
  <headerFooter alignWithMargins="0"/>
  <drawing r:id="rId2"/>
  <legacyDrawing r:id="rId3"/>
  <oleObjects>
    <oleObject progId="Equation.3" shapeId="25601" r:id="rId4"/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30</vt:i4>
      </vt:variant>
    </vt:vector>
  </HeadingPairs>
  <TitlesOfParts>
    <vt:vector size="48" baseType="lpstr">
      <vt:lpstr>Table of Contents</vt:lpstr>
      <vt:lpstr>Very Basics</vt:lpstr>
      <vt:lpstr>Navigating</vt:lpstr>
      <vt:lpstr>Copy &amp; Paste</vt:lpstr>
      <vt:lpstr>Formatting cells</vt:lpstr>
      <vt:lpstr>Formula</vt:lpstr>
      <vt:lpstr>Build-In Functions</vt:lpstr>
      <vt:lpstr>Build-In Functions (Time Value)</vt:lpstr>
      <vt:lpstr>Build-In Functions (Stat)</vt:lpstr>
      <vt:lpstr>Rand</vt:lpstr>
      <vt:lpstr>Security (Price Model)</vt:lpstr>
      <vt:lpstr>Data Table</vt:lpstr>
      <vt:lpstr>Pivot Table</vt:lpstr>
      <vt:lpstr>Solver</vt:lpstr>
      <vt:lpstr>Misc</vt:lpstr>
      <vt:lpstr>Normal Variates</vt:lpstr>
      <vt:lpstr>Monte Carlo</vt:lpstr>
      <vt:lpstr>BS</vt:lpstr>
      <vt:lpstr>_1_</vt:lpstr>
      <vt:lpstr>_2_</vt:lpstr>
      <vt:lpstr>_3_</vt:lpstr>
      <vt:lpstr>_4_</vt:lpstr>
      <vt:lpstr>_5_</vt:lpstr>
      <vt:lpstr>_6_</vt:lpstr>
      <vt:lpstr>BS_d1</vt:lpstr>
      <vt:lpstr>BS_d2</vt:lpstr>
      <vt:lpstr>BS_Dividend</vt:lpstr>
      <vt:lpstr>BS_DividendCC</vt:lpstr>
      <vt:lpstr>BS_Interest</vt:lpstr>
      <vt:lpstr>BS_InterestCC</vt:lpstr>
      <vt:lpstr>BS_Maturity</vt:lpstr>
      <vt:lpstr>BS_MaturityY</vt:lpstr>
      <vt:lpstr>BS_Spot</vt:lpstr>
      <vt:lpstr>BS_Strike</vt:lpstr>
      <vt:lpstr>BS_Volatility</vt:lpstr>
      <vt:lpstr>Go_To_This_Cell</vt:lpstr>
      <vt:lpstr>Interest_At_Maturity</vt:lpstr>
      <vt:lpstr>MC_Dividend</vt:lpstr>
      <vt:lpstr>MC_DividendCC</vt:lpstr>
      <vt:lpstr>MC_Interest</vt:lpstr>
      <vt:lpstr>MC_InterestCC</vt:lpstr>
      <vt:lpstr>MC_NumOfSteps</vt:lpstr>
      <vt:lpstr>MC_Spot</vt:lpstr>
      <vt:lpstr>MC_Step</vt:lpstr>
      <vt:lpstr>MC_StepY</vt:lpstr>
      <vt:lpstr>MC_Volatility</vt:lpstr>
      <vt:lpstr>One_Month_Fixed</vt:lpstr>
      <vt:lpstr>testrange</vt:lpstr>
    </vt:vector>
  </TitlesOfParts>
  <Company>SBC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CD Shum</cp:lastModifiedBy>
  <cp:lastPrinted>2008-06-23T07:43:02Z</cp:lastPrinted>
  <dcterms:created xsi:type="dcterms:W3CDTF">1998-02-25T07:19:13Z</dcterms:created>
  <dcterms:modified xsi:type="dcterms:W3CDTF">2010-12-22T09:10:48Z</dcterms:modified>
</cp:coreProperties>
</file>